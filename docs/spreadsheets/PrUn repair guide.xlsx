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BUI" sheetId="1" r:id="rId5"/>
    <sheet state="hidden" name="CXP" sheetId="2" r:id="rId6"/>
    <sheet state="hidden" name="Plot" sheetId="3" r:id="rId7"/>
    <sheet state="hidden" name="GuidePlot12" sheetId="4" r:id="rId8"/>
    <sheet state="hidden" name="GuidePlot3" sheetId="5" r:id="rId9"/>
    <sheet state="visible" name="Guide" sheetId="6" r:id="rId10"/>
    <sheet state="visible" name="Calculator" sheetId="7" r:id="rId11"/>
  </sheets>
  <definedNames>
    <definedName hidden="1" localSheetId="6" name="Z_72AF063F_D992_4A4D_89DD_CAB3FE28CC53_.wvu.FilterData">Calculator!$B$4:$F$8</definedName>
  </definedNames>
  <calcPr/>
  <customWorkbookViews>
    <customWorkbookView activeSheetId="0" maximized="1" windowHeight="0" windowWidth="0" guid="{72AF063F-D992-4A4D-89DD-CAB3FE28CC53}" name="Filter 1"/>
  </customWorkbookViews>
</workbook>
</file>

<file path=xl/sharedStrings.xml><?xml version="1.0" encoding="utf-8"?>
<sst xmlns="http://schemas.openxmlformats.org/spreadsheetml/2006/main" count="147" uniqueCount="132">
  <si>
    <t>day</t>
  </si>
  <si>
    <t>eff</t>
  </si>
  <si>
    <t>MCG</t>
  </si>
  <si>
    <t>AEF</t>
  </si>
  <si>
    <t>MGC</t>
  </si>
  <si>
    <t>BL</t>
  </si>
  <si>
    <t>INS</t>
  </si>
  <si>
    <t>TSH</t>
  </si>
  <si>
    <t>SEA</t>
  </si>
  <si>
    <t>HSE</t>
  </si>
  <si>
    <t>total</t>
  </si>
  <si>
    <t>daily output</t>
  </si>
  <si>
    <t>d_out integral</t>
  </si>
  <si>
    <t>do_int normalized</t>
  </si>
  <si>
    <t>rep_sum normalized</t>
  </si>
  <si>
    <t>profit</t>
  </si>
  <si>
    <t>highlight</t>
  </si>
  <si>
    <t>best value:</t>
  </si>
  <si>
    <t>argmax:</t>
  </si>
  <si>
    <t>day:</t>
  </si>
  <si>
    <t>BSE</t>
  </si>
  <si>
    <t>LBH</t>
  </si>
  <si>
    <t>LSE</t>
  </si>
  <si>
    <t>BDE</t>
  </si>
  <si>
    <t>TRU</t>
  </si>
  <si>
    <t>BBH</t>
  </si>
  <si>
    <t>BTA</t>
  </si>
  <si>
    <t>BSE cost</t>
  </si>
  <si>
    <t>BBH cost</t>
  </si>
  <si>
    <t>BTA cost</t>
  </si>
  <si>
    <t>BDE cost</t>
  </si>
  <si>
    <t>repair cost</t>
  </si>
  <si>
    <t>daily profit</t>
  </si>
  <si>
    <t>avg daily profit</t>
  </si>
  <si>
    <t>LDE</t>
  </si>
  <si>
    <t>avg rep cost</t>
  </si>
  <si>
    <t>true daily profit</t>
  </si>
  <si>
    <t>PrUn building repair guide</t>
  </si>
  <si>
    <t>v1.2, by MoonSugarTravels</t>
  </si>
  <si>
    <r>
      <rPr>
        <rFont val="Arial"/>
        <color theme="1"/>
      </rPr>
      <t xml:space="preserve">Welcome to the complete guide on PrUn building repairs. I'll talk you through the building degradation mechanics and repair optimizations, so that hopefully by the end you'll be able to understand the answers to the following common questions:
* How do repairs impact efficiency/profitability of my company?
* </t>
    </r>
    <r>
      <rPr>
        <rFont val="Arial"/>
        <b/>
        <color theme="1"/>
      </rPr>
      <t>When should I repair my buildings?</t>
    </r>
  </si>
  <si>
    <r>
      <rPr>
        <i/>
      </rPr>
      <t>Yadda yadda I don't care, just tell me when!</t>
    </r>
    <r>
      <rPr/>
      <t xml:space="preserve"> -- okay, okay!
</t>
    </r>
    <r>
      <rPr>
        <color rgb="FF1155CC"/>
        <u/>
      </rPr>
      <t>Head on to the "Calculator" sheet :)</t>
    </r>
  </si>
  <si>
    <t>PART 1: BEGINNER LEVEL</t>
  </si>
  <si>
    <r>
      <rPr/>
      <t>Let's start with the basic formulas. [</t>
    </r>
    <r>
      <rPr>
        <color rgb="FF1155CC"/>
        <u/>
      </rPr>
      <t>source</t>
    </r>
    <r>
      <rPr/>
      <t>]
Buildings continuously degrade over time, whether they're working or not. The efficiency of a building is equal to its condition, which depends on time according to the following function:</t>
    </r>
  </si>
  <si>
    <r>
      <rPr>
        <rFont val="Arial"/>
        <i/>
        <color theme="1"/>
      </rPr>
      <t>But hold on Moon! The FNAR page says it might be either 100.87 or 107.87 due to "a bug"!</t>
    </r>
    <r>
      <rPr>
        <rFont val="Arial"/>
        <color theme="1"/>
      </rPr>
      <t xml:space="preserve"> - yes, that's true. We'll get to it later.</t>
    </r>
  </si>
  <si>
    <t>Where η is the condition (efficiency) and D is equal to the number of days since last repair. It's easier to understand this function by looking at its plot:</t>
  </si>
  <si>
    <t>What if I have multiple buildings, possibly with different conditions?</t>
  </si>
  <si>
    <r>
      <rPr>
        <rFont val="Arial"/>
        <color theme="1"/>
      </rPr>
      <t xml:space="preserve">The game tracks the condition of each building individually, but for your production order calculations, they're all treated as a "bunch", i.e. orders will take the same time to execute, regardless of which "spot" in the production line they occupy. The overall "production line condition" that the new order window displays is </t>
    </r>
    <r>
      <rPr>
        <rFont val="Arial"/>
        <b/>
        <color theme="1"/>
      </rPr>
      <t>the average of conditions of all buildings of this type</t>
    </r>
    <r>
      <rPr>
        <rFont val="Arial"/>
        <color theme="1"/>
      </rPr>
      <t xml:space="preserve"> in that base.</t>
    </r>
  </si>
  <si>
    <t>As you can see, until about 30 days the buildings look "as new". Around day 60 the efficiency starts taking a noticeable drop, and by day 90 it falls below 80%, which means your orders will be taking ~25% longer to complete. So you probably want to repair sometime before that happens. But when exactly?</t>
  </si>
  <si>
    <r>
      <rPr>
        <rFont val="Arial"/>
        <color theme="1"/>
      </rPr>
      <t xml:space="preserve">Also notice that the efficiency will </t>
    </r>
    <r>
      <rPr>
        <rFont val="Arial"/>
        <b/>
        <color theme="1"/>
      </rPr>
      <t>never</t>
    </r>
    <r>
      <rPr>
        <rFont val="Arial"/>
        <color theme="1"/>
      </rPr>
      <t xml:space="preserve"> fall below 33%, even if you don't repair the building ever.</t>
    </r>
  </si>
  <si>
    <r>
      <rPr/>
      <t>To answer that, we have to know how expensive repairs are. The community has figured the formula here as well. [</t>
    </r>
    <r>
      <rPr>
        <color rgb="FF1155CC"/>
        <u/>
      </rPr>
      <t>source</t>
    </r>
    <r>
      <rPr/>
      <t>]</t>
    </r>
  </si>
  <si>
    <r>
      <rPr>
        <rFont val="Arial"/>
        <i/>
        <color theme="1"/>
      </rPr>
      <t>ReclaimableCost</t>
    </r>
    <r>
      <rPr>
        <rFont val="Arial"/>
        <color theme="1"/>
      </rPr>
      <t xml:space="preserve"> is exactly what the BBL buffer - i.e. the BUILDINGS command in your base view - shows as "reclaimable materials".
D again stands for "days since last repair". The ⌊⌋ denotes the floor operation (rounding down to a full integer).</t>
    </r>
  </si>
  <si>
    <t>Notice that there is no difference between repairing a building, and demolishing&amp;rebuilding it.</t>
  </si>
  <si>
    <r>
      <rPr>
        <rFont val="Arial"/>
        <color theme="1"/>
      </rPr>
      <t>This equation applies to every single construction material that a building is made of (</t>
    </r>
    <r>
      <rPr>
        <rFont val="Arial"/>
        <i/>
        <color theme="1"/>
      </rPr>
      <t>BuildingCost</t>
    </r>
    <r>
      <rPr>
        <rFont val="Arial"/>
        <color theme="1"/>
      </rPr>
      <t xml:space="preserve">) independently. </t>
    </r>
    <r>
      <rPr>
        <rFont val="Arial"/>
        <b/>
        <color theme="1"/>
      </rPr>
      <t>This includes all additional resources pertaining to environmental conditions of your planet</t>
    </r>
    <r>
      <rPr>
        <rFont val="Arial"/>
        <color theme="1"/>
      </rPr>
      <t xml:space="preserve"> (so SEA, INS, TSH etc.).</t>
    </r>
  </si>
  <si>
    <r>
      <rPr/>
      <t xml:space="preserve">Yes, </t>
    </r>
    <r>
      <rPr>
        <color rgb="FF1155CC"/>
        <u/>
      </rPr>
      <t>the wiki</t>
    </r>
    <r>
      <rPr/>
      <t xml:space="preserve"> lied to you when it said that they "will be required </t>
    </r>
    <r>
      <rPr>
        <i/>
      </rPr>
      <t>once</t>
    </r>
    <r>
      <rPr/>
      <t>". You have to replace that HSE unit with every single repair.</t>
    </r>
  </si>
  <si>
    <r>
      <rPr>
        <rFont val="Arial"/>
        <color theme="1"/>
      </rPr>
      <t xml:space="preserve">Let's take a typical EXT for an example. On a standard all-green rocky planet, it costs 16 BSE and 100 MCG to build. At, say, D=13 days, repairs will cost 2 BSE and 8 MCG. At D=22 it will still be 2 BSE but 13 MCG. But the following day, at D=23, it will be </t>
    </r>
    <r>
      <rPr>
        <rFont val="Arial"/>
        <b/>
        <color theme="1"/>
      </rPr>
      <t>3 BSE</t>
    </r>
    <r>
      <rPr>
        <rFont val="Arial"/>
        <color theme="1"/>
      </rPr>
      <t xml:space="preserve"> and 13 MCG.</t>
    </r>
  </si>
  <si>
    <t>Due to the floor operation, some days will thus appear "worse" for repairs. Why repair at D=13 if the cost is pretty much the same as 9 days later? However, waiting a day too long can cause the cost to spike by one full unit, which might be expensive. This "ticking" behavior is worth investigating closer. Let's plot how the BSE cost changes in time (we'll skip MCG for brevity).</t>
  </si>
  <si>
    <t>The "slopes" for each tick should be perfectly vertical, as the cost on day 11 hour 8 will not be "1.2 BSE", it immediately ticks by one full unit, obviously. Sadly, google sheets can't do that (AFAIK).</t>
  </si>
  <si>
    <t>We can see that the repair cost of an EXT rises ("ticks") in regular intervals. Since there is no cost difference for repairs on day 13 and 22 (except a couple MCG which we can safely ignore), we would rather repair at the end of such an interval than at the beginning.</t>
  </si>
  <si>
    <r>
      <rPr>
        <rFont val="Arial"/>
        <color theme="1"/>
      </rPr>
      <t>To confirm this intuition, let's do a little math (skip this part if you feel that's obvious).
Repairing in 13-day intervals will cost us 2 BSE every 13 days. That's 2/13=</t>
    </r>
    <r>
      <rPr>
        <rFont val="Arial"/>
        <b/>
        <color theme="1"/>
      </rPr>
      <t>0.13 BSE/day</t>
    </r>
    <r>
      <rPr>
        <rFont val="Arial"/>
        <color theme="1"/>
      </rPr>
      <t xml:space="preserve">. Over 6 months, this will amount to 27.7 BSE.
However, if we repair in 22-day intervals, the same 2 BSE is divided onto 22 days, i.e. </t>
    </r>
    <r>
      <rPr>
        <rFont val="Arial"/>
        <b/>
        <color theme="1"/>
      </rPr>
      <t>0.09 BSE/day</t>
    </r>
    <r>
      <rPr>
        <rFont val="Arial"/>
        <color theme="1"/>
      </rPr>
      <t>, or 16.4 BSE over half a year.</t>
    </r>
  </si>
  <si>
    <r>
      <rPr>
        <rFont val="Arial"/>
        <color theme="1"/>
      </rPr>
      <t xml:space="preserve">Okay so </t>
    </r>
    <r>
      <rPr>
        <rFont val="Arial"/>
        <b/>
        <color theme="1"/>
      </rPr>
      <t>how often do we need to repair?</t>
    </r>
    <r>
      <rPr>
        <rFont val="Arial"/>
        <color theme="1"/>
      </rPr>
      <t xml:space="preserve"> How to find the "ticks" for other buildings? Which ticks to choose?</t>
    </r>
  </si>
  <si>
    <r>
      <rPr>
        <rFont val="Arial"/>
        <color theme="1"/>
      </rPr>
      <t xml:space="preserve">For </t>
    </r>
    <r>
      <rPr>
        <rFont val="Arial"/>
        <color theme="1"/>
        <u/>
      </rPr>
      <t>simple buildings</t>
    </r>
    <r>
      <rPr>
        <rFont val="Arial"/>
        <color theme="1"/>
      </rPr>
      <t xml:space="preserve"> such as an EXT we can find this value explicitly. Since repair costs tick regularly, and after 180 days the cost is equal to the building cost, we can simply divide:</t>
    </r>
  </si>
  <si>
    <r>
      <rPr>
        <rFont val="Arial"/>
        <color theme="1"/>
      </rPr>
      <t xml:space="preserve">Advice: try not to time the actual repairs to the last possible moment with hour precision. When </t>
    </r>
    <r>
      <rPr>
        <rFont val="Arial"/>
        <i/>
        <color theme="1"/>
      </rPr>
      <t>exactly</t>
    </r>
    <r>
      <rPr>
        <rFont val="Arial"/>
        <color theme="1"/>
      </rPr>
      <t xml:space="preserve"> does the game update the repair costs is not known - research is ongoing.</t>
    </r>
  </si>
  <si>
    <t>And find that repairing an EXT every 11.25 days yields the best efficiency. Every 15 days for a RIG, 45 for a FRM, etc.</t>
  </si>
  <si>
    <t>What about more complex buildings that consist of several different materials with different costs? Let's study a Weaving Plant. A WPL costs 6 LBH, 3 LSE, 2 BDE, and 6 TRU to construct (plus MCG, but we'll skip it for now). Let's see how each material ticks on a plot:</t>
  </si>
  <si>
    <t>Since LBH and TRU are both 6 units, their plots overlap.</t>
  </si>
  <si>
    <t>Clearly there is a nice regularity: something ticks every 30 days. But which tick is the best? 30 for LBH &amp; TRU? 60 for LBH, TRU and LSE? Maybe 90 for LBH, TRU and BDE?</t>
  </si>
  <si>
    <r>
      <rPr>
        <rFont val="Arial"/>
        <color theme="1"/>
      </rPr>
      <t xml:space="preserve">Obviously we don't care about the </t>
    </r>
    <r>
      <rPr>
        <rFont val="Arial"/>
        <i/>
        <color theme="1"/>
      </rPr>
      <t>amount</t>
    </r>
    <r>
      <rPr>
        <rFont val="Arial"/>
        <color theme="1"/>
      </rPr>
      <t xml:space="preserve"> of repair material, but its value. So the simplest logic we could apply would be to repair when </t>
    </r>
    <r>
      <rPr>
        <rFont val="Arial"/>
        <b/>
        <color theme="1"/>
      </rPr>
      <t>the most expensive material</t>
    </r>
    <r>
      <rPr>
        <rFont val="Arial"/>
        <color theme="1"/>
      </rPr>
      <t xml:space="preserve"> in the mix is about to tick. So in the case of a WPL we'd pick LSE, which leaves us with just one viable repair period of 60 days.</t>
    </r>
  </si>
  <si>
    <r>
      <rPr>
        <rFont val="Arial"/>
        <color theme="1"/>
      </rPr>
      <t xml:space="preserve">But what if the building does not have such a clear dominance of one material over the others? How often to repair an INC? What if I'm on a </t>
    </r>
    <r>
      <rPr>
        <rFont val="Arial"/>
        <color theme="1"/>
      </rPr>
      <t>gaseous planet</t>
    </r>
    <r>
      <rPr>
        <rFont val="Arial"/>
        <color theme="1"/>
      </rPr>
      <t xml:space="preserve"> and instead of MCG I have to supply AEF for repairs - surely this cannot be so conveniently ignored, right?
If your mind is full of questions like these, you're ready to enter the advanced section.</t>
    </r>
  </si>
  <si>
    <t>PART 2: ADVANCED LEVEL</t>
  </si>
  <si>
    <r>
      <rPr>
        <rFont val="Arial"/>
        <color theme="1"/>
      </rPr>
      <t xml:space="preserve">As mentioned above, we don't care about the amount of stuff it takes to repair something, but the </t>
    </r>
    <r>
      <rPr>
        <rFont val="Arial"/>
        <b/>
        <color theme="1"/>
      </rPr>
      <t>value</t>
    </r>
    <r>
      <rPr>
        <rFont val="Arial"/>
        <color theme="1"/>
      </rPr>
      <t xml:space="preserve"> of that stuff. Therefore, it would be more useful to draw a "tick" plot but for the value of each material. Let's do this using an INC as an example. As a reminder, it costs 4 BSE, 3 BBH, 2 BDE, and 1 BTA to build (plus MCG and whatever else). Average prices for each of those mats (taken from the Hortus CX) should appear in the cells just below:</t>
    </r>
  </si>
  <si>
    <t>ICA/BSE</t>
  </si>
  <si>
    <t>ICA/BBH</t>
  </si>
  <si>
    <t>ICA/BDE</t>
  </si>
  <si>
    <t>ICA/BTA</t>
  </si>
  <si>
    <t>This here plot shows ticks of individual materials, measured by their value:</t>
  </si>
  <si>
    <t>While this breaks down the repair cost into fine detail, it's not very helpful in deciding when to repair. What we're really asking is: "what is the total cost of repairing on day X"? Let's plot the sum of all costs:</t>
  </si>
  <si>
    <t>Yes, for simplicity I skipped MCG here. It's linear anyway, so conclusions would be the same, only the numeric value at the end is a bit lower than the actual cost.</t>
  </si>
  <si>
    <t>For day 45:</t>
  </si>
  <si>
    <t>ICA / 45 days =</t>
  </si>
  <si>
    <t>ICA worth of repairs, per day</t>
  </si>
  <si>
    <t>For day 60:</t>
  </si>
  <si>
    <t>ICA / 60 days =</t>
  </si>
  <si>
    <t>Apparently, waiting those 15 more days every time will save us some money in the long run. Granted, in the case of a single INC it does not seem significant. But this logic applied to more expensive buildings, perhaps located on hostile planets, for a large area base - might yield a noticeable optimization.</t>
  </si>
  <si>
    <t>There's only one catch with the above reasoning, and it's the very first plot in this guide: building efficiency, which keeps dropping over those 15 extra days. We're at 98.7% efficiency on day 45, but that drops to 96.4% on day 60. You might ask: what if this drop in efficiency is not worth the 15 ICA saving from delayed repair?
To answer this question, we need to reach one level deeper. Welcome to the expert section.</t>
  </si>
  <si>
    <t>PART 3: EXPERT LEVEL</t>
  </si>
  <si>
    <r>
      <rPr>
        <rFont val="Arial"/>
        <color theme="1"/>
      </rPr>
      <t xml:space="preserve">The big picture of it all is that we don't care about minimizing repair costs. We care about </t>
    </r>
    <r>
      <rPr>
        <rFont val="Arial"/>
        <b/>
        <color theme="1"/>
      </rPr>
      <t>maximizing profit</t>
    </r>
    <r>
      <rPr>
        <rFont val="Arial"/>
        <color theme="1"/>
      </rPr>
      <t xml:space="preserve"> from each building.</t>
    </r>
  </si>
  <si>
    <r>
      <rPr>
        <rFont val="Arial"/>
        <color theme="1"/>
      </rPr>
      <t xml:space="preserve">To figure that out, we have to first calculate the profit from a building, considering its condition. To make this example interesting, let's go a little wild and put a TNP on SE-648c, which requires INS and HSE. Let's assume we've done the initial calculations (experts, CoGC, HQ etc.) and we arrived at some profit estimation for the building. Let's say that we estimated about </t>
    </r>
    <r>
      <rPr>
        <rFont val="Arial"/>
        <b/>
        <color theme="1"/>
      </rPr>
      <t>8k ICA daily profit</t>
    </r>
    <r>
      <rPr>
        <rFont val="Arial"/>
        <color theme="1"/>
      </rPr>
      <t xml:space="preserve"> at 100% </t>
    </r>
    <r>
      <rPr>
        <rFont val="Arial"/>
        <color theme="1"/>
        <u/>
      </rPr>
      <t>building</t>
    </r>
    <r>
      <rPr>
        <rFont val="Arial"/>
        <color theme="1"/>
      </rPr>
      <t xml:space="preserve"> efficiency (yeah SE-648c isn't really a good place for it; anyway).</t>
    </r>
  </si>
  <si>
    <t>Let's see how this daily profit looks like if we consider the efficiency decay:</t>
  </si>
  <si>
    <t>Yes, it's just the efficiency curve from the first plot multiplied by 8k.</t>
  </si>
  <si>
    <r>
      <rPr>
        <rFont val="Arial"/>
        <color theme="1"/>
      </rPr>
      <t xml:space="preserve">What we really want to know however, is what the </t>
    </r>
    <r>
      <rPr>
        <rFont val="Arial"/>
        <b/>
        <color theme="1"/>
      </rPr>
      <t>average</t>
    </r>
    <r>
      <rPr>
        <rFont val="Arial"/>
        <color theme="1"/>
      </rPr>
      <t xml:space="preserve"> profit would be, if we maintained a steady repair period of X days.
Think of it like this: if we repair every 60 days, how much total profit do we make (since it's clearly not 60 x 8k). We will find this by calculating a cumulative sum from 0 to N days (for N in range 1-180) and dividing by N to get the average daily profit. (Yes, this is conceptually equivalent to integrating the above curve.)</t>
    </r>
  </si>
  <si>
    <r>
      <rPr>
        <rFont val="Arial"/>
        <color theme="1"/>
      </rPr>
      <t xml:space="preserve">Note that this plot does </t>
    </r>
    <r>
      <rPr>
        <rFont val="Arial"/>
        <b/>
        <color theme="1"/>
      </rPr>
      <t>not</t>
    </r>
    <r>
      <rPr>
        <rFont val="Arial"/>
        <color theme="1"/>
      </rPr>
      <t xml:space="preserve"> end at around 5.6k, but would continue dropping all the way down to 2.6k over the next months.</t>
    </r>
  </si>
  <si>
    <r>
      <rPr>
        <rFont val="Arial"/>
        <color theme="1"/>
      </rPr>
      <t xml:space="preserve">Interpretation of the above plot is as follows: if you choose to repair said TNP every N days, say N=90, you read the value of the plotted function at said N (in this case about 7695 ICA), and this is the actual </t>
    </r>
    <r>
      <rPr>
        <rFont val="Arial"/>
        <b/>
        <color theme="1"/>
      </rPr>
      <t>average daily profit</t>
    </r>
    <r>
      <rPr>
        <rFont val="Arial"/>
        <color theme="1"/>
      </rPr>
      <t xml:space="preserve"> this building makes over its lifetime.</t>
    </r>
  </si>
  <si>
    <t>ELI5: On day 1 it will make 8000 in profits, on day 42 - 7297, on day 90 - 6394 ICA. But the average from the entire period is 7695.</t>
  </si>
  <si>
    <r>
      <rPr>
        <rFont val="Arial"/>
        <color theme="1"/>
      </rPr>
      <t xml:space="preserve">Now we're ready to include repair costs in the calculation. The overall profit from our building, assuming we repair every N days, is the average daily profit </t>
    </r>
    <r>
      <rPr>
        <rFont val="Arial"/>
        <b/>
        <color theme="1"/>
      </rPr>
      <t>minus</t>
    </r>
    <r>
      <rPr>
        <rFont val="Arial"/>
        <color theme="1"/>
      </rPr>
      <t xml:space="preserve"> average cost of repairs in this cycle. Therefore, let's see how the costs of repairs of a TNP look like:</t>
    </r>
  </si>
  <si>
    <t>The Y-axis is deliberately cut at 100k so that we can see details better.</t>
  </si>
  <si>
    <t>This plot shows the amount you have to pay for a repair if you do it on Nth day since the last one. This cost should be averaged out, e.g. if you repair on day 15 where the first peak occurs, you have 15 days to cover this cost in profits. Let's now find how the average daily cost of repairs depends on the repair period:</t>
  </si>
  <si>
    <t>The Y-axis is deliberately cut at 5k so that we can see details better.</t>
  </si>
  <si>
    <r>
      <rPr>
        <rFont val="Arial"/>
        <color theme="1"/>
      </rPr>
      <t xml:space="preserve">We interpret this plot in a similar way as the "average daily profit" one: if we choose to repair every N days, we read the value of the plotted function at said N, and this is the average amount we have to </t>
    </r>
    <r>
      <rPr>
        <rFont val="Arial"/>
        <b/>
        <color theme="1"/>
      </rPr>
      <t>save daily</t>
    </r>
    <r>
      <rPr>
        <rFont val="Arial"/>
        <color theme="1"/>
      </rPr>
      <t xml:space="preserve"> in order to afford a repair on day N.</t>
    </r>
  </si>
  <si>
    <r>
      <rPr>
        <rFont val="Arial"/>
        <color theme="1"/>
      </rPr>
      <t xml:space="preserve">So, to sum up: we know how much our TNP makes every day </t>
    </r>
    <r>
      <rPr>
        <rFont val="Arial"/>
        <b/>
        <color theme="1"/>
      </rPr>
      <t>on average</t>
    </r>
    <r>
      <rPr>
        <rFont val="Arial"/>
        <color theme="1"/>
      </rPr>
      <t>, and we know how much repairs of a TNP cost</t>
    </r>
    <r>
      <rPr>
        <rFont val="Arial"/>
        <b/>
        <color theme="1"/>
      </rPr>
      <t xml:space="preserve"> on average</t>
    </r>
    <r>
      <rPr>
        <rFont val="Arial"/>
        <color theme="1"/>
      </rPr>
      <t>. The final step is to subtract one from the other - this will be the true profit our TNP would make, depending on a chosen repair schedule:</t>
    </r>
  </si>
  <si>
    <t>As you can see, this function has rather complicated characteristics, but we can understand what's going on:</t>
  </si>
  <si>
    <t>* if we choose to repair very often, the true profit will be very low - even below zero if we were so mad as to repair every 2-3 days</t>
  </si>
  <si>
    <t>* if we choose to repair very rarely, the true profit will also be very low - because the efficiency of our building drops significantly with age</t>
  </si>
  <si>
    <t>* there exist small peaks in the plot, corresponding to the "tick" moments of constituent materials - repairing right after something "ticks" is a waste, better to wait just before another "tick" and repair in the last possible moment</t>
  </si>
  <si>
    <r>
      <rPr>
        <rFont val="Arial"/>
        <color theme="1"/>
      </rPr>
      <t xml:space="preserve">* the middle part of the graph (usually between 40-90 days, depends on the building) is </t>
    </r>
    <r>
      <rPr>
        <rFont val="Arial"/>
        <i/>
        <color theme="1"/>
      </rPr>
      <t>approximately</t>
    </r>
    <r>
      <rPr>
        <rFont val="Arial"/>
        <color theme="1"/>
      </rPr>
      <t xml:space="preserve"> constant, which means missing a precise repair date does not lose a huge amount of money (e.g. missing the repair on day 45 would only lose about 300 ICA per day per building); it's up to you to decide how much to minmax this part of the game.</t>
    </r>
  </si>
  <si>
    <r>
      <rPr>
        <rFont val="Arial"/>
        <b/>
        <color theme="1"/>
      </rPr>
      <t>How to find the optimal repair schedule?</t>
    </r>
    <r>
      <rPr>
        <rFont val="Arial"/>
        <color theme="1"/>
      </rPr>
      <t xml:space="preserve"> Find such an N (number of days between repairs) that yields the highest average true profit. In this case here we have two good candidates:</t>
    </r>
  </si>
  <si>
    <t>N = 45 days, with average profit equal to:</t>
  </si>
  <si>
    <t>ICA / day</t>
  </si>
  <si>
    <t>N = 60 days, with average profit equal to:</t>
  </si>
  <si>
    <r>
      <rPr/>
      <t xml:space="preserve">Yay! Now we know how often to repair </t>
    </r>
    <r>
      <rPr>
        <i/>
      </rPr>
      <t>any</t>
    </r>
    <r>
      <rPr/>
      <t xml:space="preserve"> building, how flexible can we be about it, and how much it impacts our business! Isn't it cool?
Takeaways from all this:
1) We know how exactly does the </t>
    </r>
    <r>
      <rPr>
        <color rgb="FF1155CC"/>
        <u/>
      </rPr>
      <t>Calculator</t>
    </r>
    <r>
      <rPr/>
      <t xml:space="preserve"> work.
2) We moved to the right side of the graph below:</t>
    </r>
  </si>
  <si>
    <t>APPENDIX: "The bug"</t>
  </si>
  <si>
    <r>
      <rPr>
        <rFont val="Arial"/>
        <color theme="1"/>
      </rPr>
      <t xml:space="preserve">Oh yeah, the famed 7-day bug that sometimes makes the constant in the efficiency formula be equal to 107.87 instead of 100.87. Let me share my </t>
    </r>
    <r>
      <rPr>
        <rFont val="Arial"/>
        <b/>
        <color theme="1"/>
      </rPr>
      <t>personal</t>
    </r>
    <r>
      <rPr>
        <rFont val="Arial"/>
        <color theme="1"/>
      </rPr>
      <t xml:space="preserve"> research into the matter.</t>
    </r>
    <r>
      <rPr>
        <rFont val="Arial"/>
        <b/>
        <color theme="1"/>
      </rPr>
      <t xml:space="preserve">
</t>
    </r>
    <r>
      <rPr>
        <rFont val="Arial"/>
        <color theme="1"/>
      </rPr>
      <t xml:space="preserve">At the moment of writing, my company has over 200 buildings that produce something and need repairs. I monitor every single one of them individually, and </t>
    </r>
    <r>
      <rPr>
        <rFont val="Arial"/>
        <b/>
        <color theme="1"/>
        <u/>
      </rPr>
      <t>every single one of them</t>
    </r>
    <r>
      <rPr>
        <rFont val="Arial"/>
        <color theme="1"/>
      </rPr>
      <t xml:space="preserve"> was affected by this "bug" the first time I placed it, </t>
    </r>
    <r>
      <rPr>
        <rFont val="Arial"/>
        <b/>
        <color theme="1"/>
        <u/>
      </rPr>
      <t>until the first repair</t>
    </r>
    <r>
      <rPr>
        <rFont val="Arial"/>
        <color theme="1"/>
      </rPr>
      <t xml:space="preserve">. My theory is that it's not a bug, but an undocumented feature: you get 7 days of degradation-free operation the first time you construct a building. According to this </t>
    </r>
    <r>
      <rPr>
        <rFont val="Arial"/>
        <i/>
        <color theme="1"/>
      </rPr>
      <t>rule</t>
    </r>
    <r>
      <rPr>
        <rFont val="Arial"/>
        <color theme="1"/>
      </rPr>
      <t xml:space="preserve">, when I start a new thing, say a BMP that wants to be repaired every 45 days, the </t>
    </r>
    <r>
      <rPr>
        <rFont val="Arial"/>
        <b/>
        <color theme="1"/>
      </rPr>
      <t>first</t>
    </r>
    <r>
      <rPr>
        <rFont val="Arial"/>
        <color theme="1"/>
      </rPr>
      <t xml:space="preserve"> repair of this BMP will actually occur in 52 days. After that, every subsequent repair will be 45 days after the last.
I'm pretty confident in this rule - enough that I wrote it into my own spreadsheet. But YMMV so please confirm that with your own buildings, I take no responsibility for your damage :P</t>
    </r>
  </si>
  <si>
    <t>PrUn building repair calculator</t>
  </si>
  <si>
    <t>v1.01, by MoonSugarTravels</t>
  </si>
  <si>
    <t>To use the calculator, first create your copy of this sheet using the google sheets main menu: File→Make a copy</t>
  </si>
  <si>
    <t>BUI:</t>
  </si>
  <si>
    <t>TNP</t>
  </si>
  <si>
    <t>PLANET:</t>
  </si>
  <si>
    <t>basic profit:</t>
  </si>
  <si>
    <t>$/day</t>
  </si>
  <si>
    <t>rocky?</t>
  </si>
  <si>
    <t>get material prices from CX:</t>
  </si>
  <si>
    <t>IC1</t>
  </si>
  <si>
    <t>gravity</t>
  </si>
  <si>
    <t>normal</t>
  </si>
  <si>
    <t>temperature</t>
  </si>
  <si>
    <t>low</t>
  </si>
  <si>
    <t>show total?</t>
  </si>
  <si>
    <t>pressure</t>
  </si>
  <si>
    <t>high</t>
  </si>
  <si>
    <t>Best strategy:</t>
  </si>
  <si>
    <t>days</t>
  </si>
  <si>
    <t>Material breakdown: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</si>
</sst>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9">
    <font>
      <sz val="10.0"/>
      <color rgb="FF000000"/>
      <name val="Arial"/>
      <scheme val="minor"/>
    </font>
    <font>
      <color theme="1"/>
      <name val="Arial"/>
      <scheme val="minor"/>
    </font>
    <font>
      <sz val="9.0"/>
      <color rgb="FF000000"/>
      <name val="&quot;Google Sans Mono&quot;"/>
    </font>
    <font>
      <b/>
      <sz val="15.0"/>
      <color theme="1"/>
      <name val="Arial"/>
      <scheme val="minor"/>
    </font>
    <font>
      <u/>
      <color rgb="FF0000FF"/>
    </font>
    <font>
      <b/>
      <u/>
      <color theme="1"/>
      <name val="Arial"/>
      <scheme val="minor"/>
    </font>
    <font>
      <i/>
      <color theme="1"/>
      <name val="Arial"/>
      <scheme val="minor"/>
    </font>
    <font>
      <u/>
      <color rgb="FF0000FF"/>
    </font>
    <font>
      <b/>
      <color theme="1"/>
      <name val="Arial"/>
      <scheme val="minor"/>
    </font>
  </fonts>
  <fills count="6">
    <fill>
      <patternFill patternType="none"/>
    </fill>
    <fill>
      <patternFill patternType="lightGray"/>
    </fill>
    <fill>
      <patternFill patternType="solid">
        <fgColor rgb="FFFFFFFF"/>
        <bgColor rgb="FFFFFFFF"/>
      </patternFill>
    </fill>
    <fill>
      <patternFill patternType="solid">
        <fgColor rgb="FFFF9900"/>
        <bgColor rgb="FFFF9900"/>
      </patternFill>
    </fill>
    <fill>
      <patternFill patternType="solid">
        <fgColor rgb="FFF3F3F3"/>
        <bgColor rgb="FFF3F3F3"/>
      </patternFill>
    </fill>
    <fill>
      <patternFill patternType="solid">
        <fgColor rgb="FFB6D7A8"/>
        <bgColor rgb="FFB6D7A8"/>
      </patternFill>
    </fill>
  </fills>
  <borders count="9">
    <border/>
    <border>
      <left style="thin">
        <color rgb="FF000000"/>
      </left>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Font="1"/>
    <xf borderId="0" fillId="2" fontId="2" numFmtId="0" xfId="0" applyFill="1" applyFont="1"/>
    <xf borderId="0" fillId="3" fontId="1" numFmtId="0" xfId="0" applyAlignment="1" applyFill="1" applyFont="1">
      <alignment readingOrder="0"/>
    </xf>
    <xf borderId="1" fillId="0" fontId="1" numFmtId="0" xfId="0" applyBorder="1" applyFont="1"/>
    <xf borderId="0" fillId="0" fontId="1" numFmtId="0" xfId="0" applyAlignment="1" applyFont="1">
      <alignment readingOrder="0"/>
    </xf>
    <xf borderId="0" fillId="0" fontId="1" numFmtId="3" xfId="0" applyAlignment="1" applyFont="1" applyNumberFormat="1">
      <alignment readingOrder="0"/>
    </xf>
    <xf borderId="1" fillId="0" fontId="1" numFmtId="0" xfId="0" applyAlignment="1" applyBorder="1" applyFont="1">
      <alignment readingOrder="0"/>
    </xf>
    <xf borderId="0" fillId="0" fontId="1" numFmtId="10" xfId="0" applyFont="1" applyNumberFormat="1"/>
    <xf borderId="2" fillId="0" fontId="1" numFmtId="0" xfId="0" applyAlignment="1" applyBorder="1" applyFont="1">
      <alignment readingOrder="0"/>
    </xf>
    <xf borderId="2" fillId="0" fontId="1" numFmtId="0" xfId="0" applyBorder="1" applyFont="1"/>
    <xf borderId="0" fillId="0" fontId="1" numFmtId="2" xfId="0" applyFont="1" applyNumberFormat="1"/>
    <xf borderId="0" fillId="4" fontId="3" numFmtId="0" xfId="0" applyAlignment="1" applyFill="1" applyFont="1">
      <alignment horizontal="center" readingOrder="0"/>
    </xf>
    <xf borderId="0" fillId="4" fontId="1" numFmtId="0" xfId="0" applyAlignment="1" applyFont="1">
      <alignment horizontal="right" readingOrder="0"/>
    </xf>
    <xf borderId="0" fillId="0" fontId="1" numFmtId="0" xfId="0" applyAlignment="1" applyFont="1">
      <alignment readingOrder="0" shrinkToFit="0" wrapText="1"/>
    </xf>
    <xf borderId="0" fillId="0" fontId="4" numFmtId="0" xfId="0" applyAlignment="1" applyFont="1">
      <alignment readingOrder="0" shrinkToFit="0" wrapText="1"/>
    </xf>
    <xf borderId="0" fillId="4" fontId="5" numFmtId="0" xfId="0" applyAlignment="1" applyFont="1">
      <alignment horizontal="center" readingOrder="0" shrinkToFit="0" wrapText="1"/>
    </xf>
    <xf borderId="0" fillId="0" fontId="1" numFmtId="0" xfId="0" applyAlignment="1" applyFont="1">
      <alignment readingOrder="0" shrinkToFit="0" vertical="bottom" wrapText="1"/>
    </xf>
    <xf borderId="0" fillId="0" fontId="1" numFmtId="0" xfId="0" applyAlignment="1" applyFont="1">
      <alignment horizontal="center"/>
    </xf>
    <xf borderId="0" fillId="0" fontId="1" numFmtId="0" xfId="0" applyAlignment="1" applyFont="1">
      <alignment readingOrder="0" shrinkToFit="0" wrapText="1"/>
    </xf>
    <xf borderId="0" fillId="0" fontId="6" numFmtId="0" xfId="0" applyAlignment="1" applyFont="1">
      <alignment readingOrder="0"/>
    </xf>
    <xf borderId="0" fillId="0" fontId="1" numFmtId="0" xfId="0" applyAlignment="1" applyFont="1">
      <alignment readingOrder="0" shrinkToFit="0" vertical="top" wrapText="1"/>
    </xf>
    <xf borderId="0" fillId="0" fontId="7" numFmtId="0" xfId="0" applyAlignment="1" applyFont="1">
      <alignment readingOrder="0"/>
    </xf>
    <xf borderId="0" fillId="0" fontId="1" numFmtId="164" xfId="0" applyFont="1" applyNumberFormat="1"/>
    <xf quotePrefix="1" borderId="0" fillId="0" fontId="1" numFmtId="0" xfId="0" applyAlignment="1" applyFont="1">
      <alignment readingOrder="0"/>
    </xf>
    <xf quotePrefix="1" borderId="0" fillId="0" fontId="1" numFmtId="0" xfId="0" applyAlignment="1" applyFont="1">
      <alignment readingOrder="0" shrinkToFit="0" wrapText="1"/>
    </xf>
    <xf borderId="0" fillId="4" fontId="6" numFmtId="0" xfId="0" applyAlignment="1" applyFont="1">
      <alignment readingOrder="0"/>
    </xf>
    <xf borderId="0" fillId="0" fontId="1" numFmtId="0" xfId="0" applyAlignment="1" applyFont="1">
      <alignment horizontal="right" readingOrder="0"/>
    </xf>
    <xf borderId="0" fillId="3" fontId="1" numFmtId="0" xfId="0" applyAlignment="1" applyFont="1">
      <alignment horizontal="right" readingOrder="0"/>
    </xf>
    <xf borderId="3" fillId="0" fontId="1" numFmtId="0" xfId="0" applyAlignment="1" applyBorder="1" applyFont="1">
      <alignment readingOrder="0"/>
    </xf>
    <xf borderId="4" fillId="5" fontId="8" numFmtId="0" xfId="0" applyBorder="1" applyFill="1" applyFont="1"/>
    <xf borderId="4" fillId="0" fontId="1" numFmtId="0" xfId="0" applyAlignment="1" applyBorder="1" applyFont="1">
      <alignment readingOrder="0"/>
    </xf>
    <xf borderId="4" fillId="0" fontId="1" numFmtId="0" xfId="0" applyBorder="1" applyFont="1"/>
    <xf borderId="5" fillId="0" fontId="1" numFmtId="0" xfId="0" applyBorder="1" applyFont="1"/>
    <xf borderId="6" fillId="0" fontId="1" numFmtId="0" xfId="0" applyBorder="1" applyFont="1"/>
    <xf borderId="7" fillId="0" fontId="1" numFmtId="0" xfId="0" applyBorder="1" applyFont="1"/>
    <xf borderId="8" fillId="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cat>
            <c:strRef>
              <c:f>Plot!$A$3:$A$183</c:f>
            </c:strRef>
          </c:cat>
          <c:val>
            <c:numRef>
              <c:f>Plot!$B$3:$B$183</c:f>
              <c:numCache/>
            </c:numRef>
          </c:val>
          <c:smooth val="0"/>
        </c:ser>
        <c:axId val="169196509"/>
        <c:axId val="1395122178"/>
      </c:lineChart>
      <c:catAx>
        <c:axId val="1691965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days since repair</a:t>
                </a:r>
              </a:p>
            </c:rich>
          </c:tx>
          <c:overlay val="0"/>
        </c:title>
        <c:numFmt formatCode="General" sourceLinked="1"/>
        <c:majorTickMark val="none"/>
        <c:minorTickMark val="none"/>
        <c:spPr/>
        <c:txPr>
          <a:bodyPr/>
          <a:lstStyle/>
          <a:p>
            <a:pPr lvl="0">
              <a:defRPr b="0">
                <a:solidFill>
                  <a:srgbClr val="000000"/>
                </a:solidFill>
                <a:latin typeface="+mn-lt"/>
              </a:defRPr>
            </a:pPr>
          </a:p>
        </c:txPr>
        <c:crossAx val="1395122178"/>
      </c:catAx>
      <c:valAx>
        <c:axId val="1395122178"/>
        <c:scaling>
          <c:orientation val="minMax"/>
          <c:max val="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condition (efficiency)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919650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GuidePlot12!$C$2</c:f>
            </c:strRef>
          </c:tx>
          <c:spPr>
            <a:ln cmpd="sng">
              <a:solidFill>
                <a:srgbClr val="4285F4"/>
              </a:solidFill>
            </a:ln>
          </c:spPr>
          <c:marker>
            <c:symbol val="none"/>
          </c:marker>
          <c:cat>
            <c:strRef>
              <c:f>GuidePlot12!$A$3:$A$183</c:f>
            </c:strRef>
          </c:cat>
          <c:val>
            <c:numRef>
              <c:f>GuidePlot12!$C$3:$C$183</c:f>
              <c:numCache/>
            </c:numRef>
          </c:val>
          <c:smooth val="0"/>
        </c:ser>
        <c:axId val="2045651702"/>
        <c:axId val="1671945167"/>
      </c:lineChart>
      <c:catAx>
        <c:axId val="20456517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days since repair</a:t>
                </a:r>
              </a:p>
            </c:rich>
          </c:tx>
          <c:overlay val="0"/>
        </c:title>
        <c:numFmt formatCode="General" sourceLinked="1"/>
        <c:majorTickMark val="none"/>
        <c:minorTickMark val="none"/>
        <c:spPr/>
        <c:txPr>
          <a:bodyPr/>
          <a:lstStyle/>
          <a:p>
            <a:pPr lvl="0">
              <a:defRPr b="0">
                <a:solidFill>
                  <a:srgbClr val="000000"/>
                </a:solidFill>
                <a:latin typeface="+mn-lt"/>
              </a:defRPr>
            </a:pPr>
          </a:p>
        </c:txPr>
        <c:crossAx val="1671945167"/>
      </c:catAx>
      <c:valAx>
        <c:axId val="16719451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repair cost (units)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45651702"/>
      </c:valAx>
    </c:plotArea>
    <c:legend>
      <c:legendPos val="t"/>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GuidePlot12!$D$2</c:f>
            </c:strRef>
          </c:tx>
          <c:spPr>
            <a:ln cmpd="sng">
              <a:solidFill>
                <a:srgbClr val="4285F4"/>
              </a:solidFill>
            </a:ln>
          </c:spPr>
          <c:marker>
            <c:symbol val="none"/>
          </c:marker>
          <c:cat>
            <c:strRef>
              <c:f>GuidePlot12!$A$3:$A$183</c:f>
            </c:strRef>
          </c:cat>
          <c:val>
            <c:numRef>
              <c:f>GuidePlot12!$D$3:$D$183</c:f>
              <c:numCache/>
            </c:numRef>
          </c:val>
          <c:smooth val="0"/>
        </c:ser>
        <c:ser>
          <c:idx val="1"/>
          <c:order val="1"/>
          <c:tx>
            <c:strRef>
              <c:f>GuidePlot12!$E$2</c:f>
            </c:strRef>
          </c:tx>
          <c:spPr>
            <a:ln cmpd="sng">
              <a:solidFill>
                <a:srgbClr val="EA4335"/>
              </a:solidFill>
            </a:ln>
          </c:spPr>
          <c:marker>
            <c:symbol val="none"/>
          </c:marker>
          <c:cat>
            <c:strRef>
              <c:f>GuidePlot12!$A$3:$A$183</c:f>
            </c:strRef>
          </c:cat>
          <c:val>
            <c:numRef>
              <c:f>GuidePlot12!$E$3:$E$183</c:f>
              <c:numCache/>
            </c:numRef>
          </c:val>
          <c:smooth val="0"/>
        </c:ser>
        <c:ser>
          <c:idx val="2"/>
          <c:order val="2"/>
          <c:tx>
            <c:strRef>
              <c:f>GuidePlot12!$F$2</c:f>
            </c:strRef>
          </c:tx>
          <c:spPr>
            <a:ln cmpd="sng">
              <a:solidFill>
                <a:srgbClr val="FBBC04"/>
              </a:solidFill>
            </a:ln>
          </c:spPr>
          <c:marker>
            <c:symbol val="none"/>
          </c:marker>
          <c:cat>
            <c:strRef>
              <c:f>GuidePlot12!$A$3:$A$183</c:f>
            </c:strRef>
          </c:cat>
          <c:val>
            <c:numRef>
              <c:f>GuidePlot12!$F$3:$F$183</c:f>
              <c:numCache/>
            </c:numRef>
          </c:val>
          <c:smooth val="0"/>
        </c:ser>
        <c:ser>
          <c:idx val="3"/>
          <c:order val="3"/>
          <c:tx>
            <c:strRef>
              <c:f>GuidePlot12!$G$2</c:f>
            </c:strRef>
          </c:tx>
          <c:spPr>
            <a:ln cmpd="sng">
              <a:solidFill>
                <a:srgbClr val="34A853"/>
              </a:solidFill>
            </a:ln>
          </c:spPr>
          <c:marker>
            <c:symbol val="none"/>
          </c:marker>
          <c:cat>
            <c:strRef>
              <c:f>GuidePlot12!$A$3:$A$183</c:f>
            </c:strRef>
          </c:cat>
          <c:val>
            <c:numRef>
              <c:f>GuidePlot12!$G$3:$G$183</c:f>
              <c:numCache/>
            </c:numRef>
          </c:val>
          <c:smooth val="0"/>
        </c:ser>
        <c:axId val="897367837"/>
        <c:axId val="1650942296"/>
      </c:lineChart>
      <c:catAx>
        <c:axId val="8973678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days since repair</a:t>
                </a:r>
              </a:p>
            </c:rich>
          </c:tx>
          <c:overlay val="0"/>
        </c:title>
        <c:numFmt formatCode="General" sourceLinked="1"/>
        <c:majorTickMark val="none"/>
        <c:minorTickMark val="none"/>
        <c:spPr/>
        <c:txPr>
          <a:bodyPr/>
          <a:lstStyle/>
          <a:p>
            <a:pPr lvl="0">
              <a:defRPr b="0">
                <a:solidFill>
                  <a:srgbClr val="000000"/>
                </a:solidFill>
                <a:latin typeface="+mn-lt"/>
              </a:defRPr>
            </a:pPr>
          </a:p>
        </c:txPr>
        <c:crossAx val="1650942296"/>
      </c:catAx>
      <c:valAx>
        <c:axId val="16509422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repair cost (units)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97367837"/>
      </c:valAx>
    </c:plotArea>
    <c:legend>
      <c:legendPos val="t"/>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GuidePlot12!$L$2</c:f>
            </c:strRef>
          </c:tx>
          <c:spPr>
            <a:ln cmpd="sng">
              <a:solidFill>
                <a:srgbClr val="4285F4"/>
              </a:solidFill>
            </a:ln>
          </c:spPr>
          <c:marker>
            <c:symbol val="none"/>
          </c:marker>
          <c:cat>
            <c:strRef>
              <c:f>GuidePlot12!$A$3:$A$183</c:f>
            </c:strRef>
          </c:cat>
          <c:val>
            <c:numRef>
              <c:f>GuidePlot12!$L$3:$L$183</c:f>
              <c:numCache/>
            </c:numRef>
          </c:val>
          <c:smooth val="0"/>
        </c:ser>
        <c:ser>
          <c:idx val="1"/>
          <c:order val="1"/>
          <c:tx>
            <c:strRef>
              <c:f>GuidePlot12!$M$2</c:f>
            </c:strRef>
          </c:tx>
          <c:spPr>
            <a:ln cmpd="sng">
              <a:solidFill>
                <a:srgbClr val="EA4335"/>
              </a:solidFill>
            </a:ln>
          </c:spPr>
          <c:marker>
            <c:symbol val="none"/>
          </c:marker>
          <c:cat>
            <c:strRef>
              <c:f>GuidePlot12!$A$3:$A$183</c:f>
            </c:strRef>
          </c:cat>
          <c:val>
            <c:numRef>
              <c:f>GuidePlot12!$M$3:$M$183</c:f>
              <c:numCache/>
            </c:numRef>
          </c:val>
          <c:smooth val="0"/>
        </c:ser>
        <c:ser>
          <c:idx val="2"/>
          <c:order val="2"/>
          <c:tx>
            <c:strRef>
              <c:f>GuidePlot12!$N$2</c:f>
            </c:strRef>
          </c:tx>
          <c:spPr>
            <a:ln cmpd="sng">
              <a:solidFill>
                <a:srgbClr val="FBBC04"/>
              </a:solidFill>
            </a:ln>
          </c:spPr>
          <c:marker>
            <c:symbol val="none"/>
          </c:marker>
          <c:cat>
            <c:strRef>
              <c:f>GuidePlot12!$A$3:$A$183</c:f>
            </c:strRef>
          </c:cat>
          <c:val>
            <c:numRef>
              <c:f>GuidePlot12!$N$3:$N$183</c:f>
              <c:numCache/>
            </c:numRef>
          </c:val>
          <c:smooth val="0"/>
        </c:ser>
        <c:ser>
          <c:idx val="3"/>
          <c:order val="3"/>
          <c:tx>
            <c:strRef>
              <c:f>GuidePlot12!$O$2</c:f>
            </c:strRef>
          </c:tx>
          <c:spPr>
            <a:ln cmpd="sng">
              <a:solidFill>
                <a:srgbClr val="34A853"/>
              </a:solidFill>
            </a:ln>
          </c:spPr>
          <c:marker>
            <c:symbol val="none"/>
          </c:marker>
          <c:cat>
            <c:strRef>
              <c:f>GuidePlot12!$A$3:$A$183</c:f>
            </c:strRef>
          </c:cat>
          <c:val>
            <c:numRef>
              <c:f>GuidePlot12!$O$3:$O$183</c:f>
              <c:numCache/>
            </c:numRef>
          </c:val>
          <c:smooth val="0"/>
        </c:ser>
        <c:axId val="1557305188"/>
        <c:axId val="419860058"/>
      </c:lineChart>
      <c:catAx>
        <c:axId val="15573051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days since repair</a:t>
                </a:r>
              </a:p>
            </c:rich>
          </c:tx>
          <c:overlay val="0"/>
        </c:title>
        <c:numFmt formatCode="General" sourceLinked="1"/>
        <c:majorTickMark val="none"/>
        <c:minorTickMark val="none"/>
        <c:spPr/>
        <c:txPr>
          <a:bodyPr/>
          <a:lstStyle/>
          <a:p>
            <a:pPr lvl="0">
              <a:defRPr b="0">
                <a:solidFill>
                  <a:srgbClr val="000000"/>
                </a:solidFill>
                <a:latin typeface="+mn-lt"/>
              </a:defRPr>
            </a:pPr>
          </a:p>
        </c:txPr>
        <c:crossAx val="419860058"/>
      </c:catAx>
      <c:valAx>
        <c:axId val="4198600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repair cost (ICA)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57305188"/>
      </c:valAx>
    </c:plotArea>
    <c:legend>
      <c:legendPos val="t"/>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GuidePlot12!$L$2</c:f>
            </c:strRef>
          </c:tx>
          <c:spPr>
            <a:ln cmpd="sng">
              <a:solidFill>
                <a:srgbClr val="999999">
                  <a:alpha val="100000"/>
                </a:srgbClr>
              </a:solidFill>
            </a:ln>
          </c:spPr>
          <c:marker>
            <c:symbol val="none"/>
          </c:marker>
          <c:dPt>
            <c:idx val="161"/>
            <c:marker>
              <c:symbol val="none"/>
            </c:marker>
          </c:dPt>
          <c:dPt>
            <c:idx val="164"/>
            <c:marker>
              <c:symbol val="none"/>
            </c:marker>
          </c:dPt>
          <c:dPt>
            <c:idx val="165"/>
            <c:marker>
              <c:symbol val="none"/>
            </c:marker>
          </c:dPt>
          <c:dPt>
            <c:idx val="166"/>
            <c:marker>
              <c:symbol val="none"/>
            </c:marker>
          </c:dPt>
          <c:cat>
            <c:strRef>
              <c:f>GuidePlot12!$A$3:$A$183</c:f>
            </c:strRef>
          </c:cat>
          <c:val>
            <c:numRef>
              <c:f>GuidePlot12!$L$3:$L$183</c:f>
              <c:numCache/>
            </c:numRef>
          </c:val>
          <c:smooth val="0"/>
        </c:ser>
        <c:ser>
          <c:idx val="1"/>
          <c:order val="1"/>
          <c:tx>
            <c:strRef>
              <c:f>GuidePlot12!$M$2</c:f>
            </c:strRef>
          </c:tx>
          <c:spPr>
            <a:ln cmpd="sng">
              <a:solidFill>
                <a:srgbClr val="999999">
                  <a:alpha val="100000"/>
                </a:srgbClr>
              </a:solidFill>
            </a:ln>
          </c:spPr>
          <c:marker>
            <c:symbol val="none"/>
          </c:marker>
          <c:dPt>
            <c:idx val="141"/>
            <c:marker>
              <c:symbol val="none"/>
            </c:marker>
          </c:dPt>
          <c:cat>
            <c:strRef>
              <c:f>GuidePlot12!$A$3:$A$183</c:f>
            </c:strRef>
          </c:cat>
          <c:val>
            <c:numRef>
              <c:f>GuidePlot12!$M$3:$M$183</c:f>
              <c:numCache/>
            </c:numRef>
          </c:val>
          <c:smooth val="0"/>
        </c:ser>
        <c:ser>
          <c:idx val="2"/>
          <c:order val="2"/>
          <c:tx>
            <c:strRef>
              <c:f>GuidePlot12!$N$2</c:f>
            </c:strRef>
          </c:tx>
          <c:spPr>
            <a:ln cmpd="sng">
              <a:solidFill>
                <a:srgbClr val="999999">
                  <a:alpha val="100000"/>
                </a:srgbClr>
              </a:solidFill>
            </a:ln>
          </c:spPr>
          <c:marker>
            <c:symbol val="none"/>
          </c:marker>
          <c:cat>
            <c:strRef>
              <c:f>GuidePlot12!$A$3:$A$183</c:f>
            </c:strRef>
          </c:cat>
          <c:val>
            <c:numRef>
              <c:f>GuidePlot12!$N$3:$N$183</c:f>
              <c:numCache/>
            </c:numRef>
          </c:val>
          <c:smooth val="0"/>
        </c:ser>
        <c:ser>
          <c:idx val="3"/>
          <c:order val="3"/>
          <c:tx>
            <c:strRef>
              <c:f>GuidePlot12!$O$2</c:f>
            </c:strRef>
          </c:tx>
          <c:spPr>
            <a:ln cmpd="sng">
              <a:solidFill>
                <a:srgbClr val="999999">
                  <a:alpha val="100000"/>
                </a:srgbClr>
              </a:solidFill>
            </a:ln>
          </c:spPr>
          <c:marker>
            <c:symbol val="none"/>
          </c:marker>
          <c:cat>
            <c:strRef>
              <c:f>GuidePlot12!$A$3:$A$183</c:f>
            </c:strRef>
          </c:cat>
          <c:val>
            <c:numRef>
              <c:f>GuidePlot12!$O$3:$O$183</c:f>
              <c:numCache/>
            </c:numRef>
          </c:val>
          <c:smooth val="0"/>
        </c:ser>
        <c:ser>
          <c:idx val="4"/>
          <c:order val="4"/>
          <c:tx>
            <c:strRef>
              <c:f>GuidePlot12!$P$2</c:f>
            </c:strRef>
          </c:tx>
          <c:spPr>
            <a:ln cmpd="sng">
              <a:solidFill>
                <a:srgbClr val="FF9900">
                  <a:alpha val="100000"/>
                </a:srgbClr>
              </a:solidFill>
            </a:ln>
          </c:spPr>
          <c:marker>
            <c:symbol val="none"/>
          </c:marker>
          <c:dPt>
            <c:idx val="27"/>
            <c:marker>
              <c:symbol val="none"/>
            </c:marker>
          </c:dPt>
          <c:cat>
            <c:strRef>
              <c:f>GuidePlot12!$A$3:$A$183</c:f>
            </c:strRef>
          </c:cat>
          <c:val>
            <c:numRef>
              <c:f>GuidePlot12!$P$3:$P$183</c:f>
              <c:numCache/>
            </c:numRef>
          </c:val>
          <c:smooth val="0"/>
        </c:ser>
        <c:axId val="32444906"/>
        <c:axId val="1869638508"/>
      </c:lineChart>
      <c:catAx>
        <c:axId val="324449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days since repair</a:t>
                </a:r>
              </a:p>
            </c:rich>
          </c:tx>
          <c:overlay val="0"/>
        </c:title>
        <c:numFmt formatCode="General" sourceLinked="1"/>
        <c:majorTickMark val="none"/>
        <c:minorTickMark val="none"/>
        <c:spPr/>
        <c:txPr>
          <a:bodyPr/>
          <a:lstStyle/>
          <a:p>
            <a:pPr lvl="0">
              <a:defRPr b="0">
                <a:solidFill>
                  <a:srgbClr val="000000"/>
                </a:solidFill>
                <a:latin typeface="+mn-lt"/>
              </a:defRPr>
            </a:pPr>
          </a:p>
        </c:txPr>
        <c:crossAx val="1869638508"/>
      </c:catAx>
      <c:valAx>
        <c:axId val="186963850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repair cost (ICA)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2444906"/>
      </c:valAx>
    </c:plotArea>
    <c:legend>
      <c:legendPos val="t"/>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cat>
            <c:strRef>
              <c:f>GuidePlot3!$A$4:$A$184</c:f>
            </c:strRef>
          </c:cat>
          <c:val>
            <c:numRef>
              <c:f>GuidePlot3!$C$3:$C$184</c:f>
              <c:numCache/>
            </c:numRef>
          </c:val>
          <c:smooth val="0"/>
        </c:ser>
        <c:axId val="977975657"/>
        <c:axId val="1337334478"/>
      </c:lineChart>
      <c:catAx>
        <c:axId val="9779756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days since repair</a:t>
                </a:r>
              </a:p>
            </c:rich>
          </c:tx>
          <c:overlay val="0"/>
        </c:title>
        <c:numFmt formatCode="General" sourceLinked="1"/>
        <c:majorTickMark val="none"/>
        <c:minorTickMark val="none"/>
        <c:spPr/>
        <c:txPr>
          <a:bodyPr/>
          <a:lstStyle/>
          <a:p>
            <a:pPr lvl="0">
              <a:defRPr b="0">
                <a:solidFill>
                  <a:srgbClr val="000000"/>
                </a:solidFill>
                <a:latin typeface="+mn-lt"/>
              </a:defRPr>
            </a:pPr>
          </a:p>
        </c:txPr>
        <c:crossAx val="1337334478"/>
      </c:catAx>
      <c:valAx>
        <c:axId val="1337334478"/>
        <c:scaling>
          <c:orientation val="minMax"/>
          <c:max val="9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daily profit (ICA)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77975657"/>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GuidePlot3!$D$2</c:f>
            </c:strRef>
          </c:tx>
          <c:spPr>
            <a:ln cmpd="sng">
              <a:solidFill>
                <a:srgbClr val="4285F4"/>
              </a:solidFill>
            </a:ln>
          </c:spPr>
          <c:marker>
            <c:symbol val="none"/>
          </c:marker>
          <c:cat>
            <c:strRef>
              <c:f>GuidePlot3!$A$4:$A$183</c:f>
            </c:strRef>
          </c:cat>
          <c:val>
            <c:numRef>
              <c:f>GuidePlot3!$D$3:$D$183</c:f>
              <c:numCache/>
            </c:numRef>
          </c:val>
          <c:smooth val="0"/>
        </c:ser>
        <c:axId val="876312571"/>
        <c:axId val="2071618476"/>
      </c:lineChart>
      <c:catAx>
        <c:axId val="8763125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days between repairs</a:t>
                </a:r>
              </a:p>
            </c:rich>
          </c:tx>
          <c:overlay val="0"/>
        </c:title>
        <c:numFmt formatCode="General" sourceLinked="1"/>
        <c:majorTickMark val="none"/>
        <c:minorTickMark val="none"/>
        <c:spPr/>
        <c:txPr>
          <a:bodyPr/>
          <a:lstStyle/>
          <a:p>
            <a:pPr lvl="0">
              <a:defRPr b="0">
                <a:solidFill>
                  <a:srgbClr val="000000"/>
                </a:solidFill>
                <a:latin typeface="+mn-lt"/>
              </a:defRPr>
            </a:pPr>
          </a:p>
        </c:txPr>
        <c:crossAx val="2071618476"/>
      </c:catAx>
      <c:valAx>
        <c:axId val="2071618476"/>
        <c:scaling>
          <c:orientation val="minMax"/>
          <c:max val="9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daily profit (ICA)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76312571"/>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GuidePlot3!$E$3</c:f>
            </c:strRef>
          </c:tx>
          <c:spPr>
            <a:ln cmpd="sng">
              <a:solidFill>
                <a:srgbClr val="4285F4"/>
              </a:solidFill>
            </a:ln>
          </c:spPr>
          <c:marker>
            <c:symbol val="none"/>
          </c:marker>
          <c:cat>
            <c:strRef>
              <c:f>GuidePlot3!$A$4:$A$183</c:f>
            </c:strRef>
          </c:cat>
          <c:val>
            <c:numRef>
              <c:f>GuidePlot3!$E$4:$E$184</c:f>
              <c:numCache/>
            </c:numRef>
          </c:val>
          <c:smooth val="0"/>
        </c:ser>
        <c:ser>
          <c:idx val="1"/>
          <c:order val="1"/>
          <c:tx>
            <c:strRef>
              <c:f>GuidePlot3!$F$3</c:f>
            </c:strRef>
          </c:tx>
          <c:spPr>
            <a:ln cmpd="sng">
              <a:solidFill>
                <a:srgbClr val="EA9999">
                  <a:alpha val="100000"/>
                </a:srgbClr>
              </a:solidFill>
            </a:ln>
          </c:spPr>
          <c:marker>
            <c:symbol val="none"/>
          </c:marker>
          <c:cat>
            <c:strRef>
              <c:f>GuidePlot3!$A$4:$A$183</c:f>
            </c:strRef>
          </c:cat>
          <c:val>
            <c:numRef>
              <c:f>GuidePlot3!$F$4:$F$184</c:f>
              <c:numCache/>
            </c:numRef>
          </c:val>
          <c:smooth val="0"/>
        </c:ser>
        <c:ser>
          <c:idx val="2"/>
          <c:order val="2"/>
          <c:tx>
            <c:strRef>
              <c:f>GuidePlot3!$G$3</c:f>
            </c:strRef>
          </c:tx>
          <c:spPr>
            <a:ln cmpd="sng">
              <a:solidFill>
                <a:srgbClr val="FBBC04"/>
              </a:solidFill>
            </a:ln>
          </c:spPr>
          <c:marker>
            <c:symbol val="none"/>
          </c:marker>
          <c:cat>
            <c:strRef>
              <c:f>GuidePlot3!$A$4:$A$183</c:f>
            </c:strRef>
          </c:cat>
          <c:val>
            <c:numRef>
              <c:f>GuidePlot3!$G$4:$G$184</c:f>
              <c:numCache/>
            </c:numRef>
          </c:val>
          <c:smooth val="0"/>
        </c:ser>
        <c:ser>
          <c:idx val="3"/>
          <c:order val="3"/>
          <c:tx>
            <c:strRef>
              <c:f>GuidePlot3!$H$3</c:f>
            </c:strRef>
          </c:tx>
          <c:spPr>
            <a:ln cmpd="sng">
              <a:solidFill>
                <a:srgbClr val="34A853"/>
              </a:solidFill>
            </a:ln>
          </c:spPr>
          <c:marker>
            <c:symbol val="none"/>
          </c:marker>
          <c:cat>
            <c:strRef>
              <c:f>GuidePlot3!$A$4:$A$183</c:f>
            </c:strRef>
          </c:cat>
          <c:val>
            <c:numRef>
              <c:f>GuidePlot3!$H$4:$H$184</c:f>
              <c:numCache/>
            </c:numRef>
          </c:val>
          <c:smooth val="0"/>
        </c:ser>
        <c:ser>
          <c:idx val="4"/>
          <c:order val="4"/>
          <c:tx>
            <c:strRef>
              <c:f>GuidePlot3!$I$3</c:f>
            </c:strRef>
          </c:tx>
          <c:spPr>
            <a:ln cmpd="sng">
              <a:solidFill>
                <a:srgbClr val="FF6D01"/>
              </a:solidFill>
            </a:ln>
          </c:spPr>
          <c:marker>
            <c:symbol val="none"/>
          </c:marker>
          <c:cat>
            <c:strRef>
              <c:f>GuidePlot3!$A$4:$A$183</c:f>
            </c:strRef>
          </c:cat>
          <c:val>
            <c:numRef>
              <c:f>GuidePlot3!$I$4:$I$184</c:f>
              <c:numCache/>
            </c:numRef>
          </c:val>
          <c:smooth val="0"/>
        </c:ser>
        <c:ser>
          <c:idx val="5"/>
          <c:order val="5"/>
          <c:tx>
            <c:strRef>
              <c:f>GuidePlot3!$J$3</c:f>
            </c:strRef>
          </c:tx>
          <c:spPr>
            <a:ln cmpd="sng">
              <a:solidFill>
                <a:srgbClr val="46BDC6"/>
              </a:solidFill>
            </a:ln>
          </c:spPr>
          <c:marker>
            <c:symbol val="none"/>
          </c:marker>
          <c:cat>
            <c:strRef>
              <c:f>GuidePlot3!$A$4:$A$183</c:f>
            </c:strRef>
          </c:cat>
          <c:val>
            <c:numRef>
              <c:f>GuidePlot3!$J$4:$J$184</c:f>
              <c:numCache/>
            </c:numRef>
          </c:val>
          <c:smooth val="0"/>
        </c:ser>
        <c:ser>
          <c:idx val="6"/>
          <c:order val="6"/>
          <c:tx>
            <c:strRef>
              <c:f>GuidePlot3!$K$3</c:f>
            </c:strRef>
          </c:tx>
          <c:spPr>
            <a:ln cmpd="sng">
              <a:solidFill>
                <a:srgbClr val="7BAAF7"/>
              </a:solidFill>
            </a:ln>
          </c:spPr>
          <c:marker>
            <c:symbol val="none"/>
          </c:marker>
          <c:cat>
            <c:strRef>
              <c:f>GuidePlot3!$A$4:$A$183</c:f>
            </c:strRef>
          </c:cat>
          <c:val>
            <c:numRef>
              <c:f>GuidePlot3!$K$4:$K$184</c:f>
              <c:numCache/>
            </c:numRef>
          </c:val>
          <c:smooth val="0"/>
        </c:ser>
        <c:ser>
          <c:idx val="7"/>
          <c:order val="7"/>
          <c:tx>
            <c:strRef>
              <c:f>GuidePlot3!$L$3</c:f>
            </c:strRef>
          </c:tx>
          <c:spPr>
            <a:ln cmpd="sng" w="19050">
              <a:solidFill>
                <a:srgbClr val="FF0000">
                  <a:alpha val="100000"/>
                </a:srgbClr>
              </a:solidFill>
            </a:ln>
          </c:spPr>
          <c:marker>
            <c:symbol val="none"/>
          </c:marker>
          <c:cat>
            <c:strRef>
              <c:f>GuidePlot3!$A$4:$A$183</c:f>
            </c:strRef>
          </c:cat>
          <c:val>
            <c:numRef>
              <c:f>GuidePlot3!$L$4:$L$184</c:f>
              <c:numCache/>
            </c:numRef>
          </c:val>
          <c:smooth val="0"/>
        </c:ser>
        <c:axId val="1880817133"/>
        <c:axId val="2053106161"/>
      </c:lineChart>
      <c:catAx>
        <c:axId val="18808171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days since repair</a:t>
                </a:r>
              </a:p>
            </c:rich>
          </c:tx>
          <c:overlay val="0"/>
        </c:title>
        <c:numFmt formatCode="General" sourceLinked="1"/>
        <c:majorTickMark val="none"/>
        <c:minorTickMark val="none"/>
        <c:spPr/>
        <c:txPr>
          <a:bodyPr/>
          <a:lstStyle/>
          <a:p>
            <a:pPr lvl="0">
              <a:defRPr b="0">
                <a:solidFill>
                  <a:srgbClr val="000000"/>
                </a:solidFill>
                <a:latin typeface="+mn-lt"/>
              </a:defRPr>
            </a:pPr>
          </a:p>
        </c:txPr>
        <c:crossAx val="2053106161"/>
      </c:catAx>
      <c:valAx>
        <c:axId val="2053106161"/>
        <c:scaling>
          <c:orientation val="minMax"/>
          <c:max val="10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repair cost (ICA)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80817133"/>
      </c:valAx>
    </c:plotArea>
    <c:legend>
      <c:legendPos val="t"/>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GuidePlot3!$M$2</c:f>
            </c:strRef>
          </c:tx>
          <c:spPr>
            <a:ln cmpd="sng">
              <a:solidFill>
                <a:srgbClr val="4285F4"/>
              </a:solidFill>
            </a:ln>
          </c:spPr>
          <c:marker>
            <c:symbol val="none"/>
          </c:marker>
          <c:cat>
            <c:strRef>
              <c:f>GuidePlot3!$A$4:$A$183</c:f>
            </c:strRef>
          </c:cat>
          <c:val>
            <c:numRef>
              <c:f>GuidePlot3!$M$3:$M$183</c:f>
              <c:numCache/>
            </c:numRef>
          </c:val>
          <c:smooth val="0"/>
        </c:ser>
        <c:axId val="1801584588"/>
        <c:axId val="513825851"/>
      </c:lineChart>
      <c:catAx>
        <c:axId val="18015845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days between repairs</a:t>
                </a:r>
              </a:p>
            </c:rich>
          </c:tx>
          <c:overlay val="0"/>
        </c:title>
        <c:numFmt formatCode="General" sourceLinked="1"/>
        <c:majorTickMark val="none"/>
        <c:minorTickMark val="none"/>
        <c:spPr/>
        <c:txPr>
          <a:bodyPr/>
          <a:lstStyle/>
          <a:p>
            <a:pPr lvl="0">
              <a:defRPr b="0">
                <a:solidFill>
                  <a:srgbClr val="000000"/>
                </a:solidFill>
                <a:latin typeface="+mn-lt"/>
              </a:defRPr>
            </a:pPr>
          </a:p>
        </c:txPr>
        <c:crossAx val="513825851"/>
      </c:catAx>
      <c:valAx>
        <c:axId val="513825851"/>
        <c:scaling>
          <c:orientation val="minMax"/>
          <c:max val="5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daily repair cost (ICA)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01584588"/>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GuidePlot3!$N$2</c:f>
            </c:strRef>
          </c:tx>
          <c:spPr>
            <a:ln cmpd="sng">
              <a:solidFill>
                <a:srgbClr val="4285F4"/>
              </a:solidFill>
            </a:ln>
          </c:spPr>
          <c:marker>
            <c:symbol val="none"/>
          </c:marker>
          <c:cat>
            <c:strRef>
              <c:f>GuidePlot3!$A$4:$A$183</c:f>
            </c:strRef>
          </c:cat>
          <c:val>
            <c:numRef>
              <c:f>GuidePlot3!$N$3:$N$183</c:f>
              <c:numCache/>
            </c:numRef>
          </c:val>
          <c:smooth val="0"/>
        </c:ser>
        <c:axId val="1041740967"/>
        <c:axId val="1378335568"/>
      </c:lineChart>
      <c:catAx>
        <c:axId val="10417409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days between repairs</a:t>
                </a:r>
              </a:p>
            </c:rich>
          </c:tx>
          <c:overlay val="0"/>
        </c:title>
        <c:numFmt formatCode="General" sourceLinked="1"/>
        <c:majorTickMark val="none"/>
        <c:minorTickMark val="none"/>
        <c:spPr/>
        <c:txPr>
          <a:bodyPr/>
          <a:lstStyle/>
          <a:p>
            <a:pPr lvl="0">
              <a:defRPr b="0">
                <a:solidFill>
                  <a:srgbClr val="000000"/>
                </a:solidFill>
                <a:latin typeface="+mn-lt"/>
              </a:defRPr>
            </a:pPr>
          </a:p>
        </c:txPr>
        <c:crossAx val="1378335568"/>
      </c:catAx>
      <c:valAx>
        <c:axId val="1378335568"/>
        <c:scaling>
          <c:orientation val="minMax"/>
          <c:max val="8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true daily profit (ICA)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41740967"/>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Repair cost breakdown</a:t>
            </a:r>
          </a:p>
        </c:rich>
      </c:tx>
      <c:overlay val="0"/>
    </c:title>
    <c:plotArea>
      <c:layout/>
      <c:lineChart>
        <c:ser>
          <c:idx val="0"/>
          <c:order val="0"/>
          <c:tx>
            <c:strRef>
              <c:f>Plot!$X$2</c:f>
            </c:strRef>
          </c:tx>
          <c:spPr>
            <a:ln cmpd="sng">
              <a:solidFill>
                <a:srgbClr val="4285F4"/>
              </a:solidFill>
            </a:ln>
          </c:spPr>
          <c:marker>
            <c:symbol val="none"/>
          </c:marker>
          <c:cat>
            <c:strRef>
              <c:f>GuidePlot12!$A$3:$A$183</c:f>
            </c:strRef>
          </c:cat>
          <c:val>
            <c:numRef>
              <c:f>Plot!$X$3:$X$183</c:f>
              <c:numCache/>
            </c:numRef>
          </c:val>
          <c:smooth val="0"/>
        </c:ser>
        <c:ser>
          <c:idx val="1"/>
          <c:order val="1"/>
          <c:tx>
            <c:strRef>
              <c:f>Plot!$Y$2</c:f>
            </c:strRef>
          </c:tx>
          <c:spPr>
            <a:ln cmpd="sng">
              <a:solidFill>
                <a:srgbClr val="EA4335"/>
              </a:solidFill>
            </a:ln>
          </c:spPr>
          <c:marker>
            <c:symbol val="none"/>
          </c:marker>
          <c:cat>
            <c:strRef>
              <c:f>GuidePlot12!$A$3:$A$183</c:f>
            </c:strRef>
          </c:cat>
          <c:val>
            <c:numRef>
              <c:f>Plot!$Y$3:$Y$183</c:f>
              <c:numCache/>
            </c:numRef>
          </c:val>
          <c:smooth val="0"/>
        </c:ser>
        <c:ser>
          <c:idx val="2"/>
          <c:order val="2"/>
          <c:tx>
            <c:strRef>
              <c:f>Plot!$Z$2</c:f>
            </c:strRef>
          </c:tx>
          <c:spPr>
            <a:ln cmpd="sng">
              <a:solidFill>
                <a:srgbClr val="FBBC04"/>
              </a:solidFill>
            </a:ln>
          </c:spPr>
          <c:marker>
            <c:symbol val="none"/>
          </c:marker>
          <c:cat>
            <c:strRef>
              <c:f>GuidePlot12!$A$3:$A$183</c:f>
            </c:strRef>
          </c:cat>
          <c:val>
            <c:numRef>
              <c:f>Plot!$Z$3:$Z$183</c:f>
              <c:numCache/>
            </c:numRef>
          </c:val>
          <c:smooth val="0"/>
        </c:ser>
        <c:ser>
          <c:idx val="3"/>
          <c:order val="3"/>
          <c:tx>
            <c:strRef>
              <c:f>Plot!$AA$2</c:f>
            </c:strRef>
          </c:tx>
          <c:spPr>
            <a:ln cmpd="sng">
              <a:solidFill>
                <a:srgbClr val="34A853"/>
              </a:solidFill>
            </a:ln>
          </c:spPr>
          <c:marker>
            <c:symbol val="none"/>
          </c:marker>
          <c:cat>
            <c:strRef>
              <c:f>GuidePlot12!$A$3:$A$183</c:f>
            </c:strRef>
          </c:cat>
          <c:val>
            <c:numRef>
              <c:f>Plot!$AA$3:$AA$183</c:f>
              <c:numCache/>
            </c:numRef>
          </c:val>
          <c:smooth val="0"/>
        </c:ser>
        <c:ser>
          <c:idx val="4"/>
          <c:order val="4"/>
          <c:tx>
            <c:strRef>
              <c:f>Plot!$AB$2</c:f>
            </c:strRef>
          </c:tx>
          <c:spPr>
            <a:ln cmpd="sng">
              <a:solidFill>
                <a:srgbClr val="FF6D01"/>
              </a:solidFill>
            </a:ln>
          </c:spPr>
          <c:marker>
            <c:symbol val="none"/>
          </c:marker>
          <c:cat>
            <c:strRef>
              <c:f>GuidePlot12!$A$3:$A$183</c:f>
            </c:strRef>
          </c:cat>
          <c:val>
            <c:numRef>
              <c:f>Plot!$AB$3:$AB$183</c:f>
              <c:numCache/>
            </c:numRef>
          </c:val>
          <c:smooth val="0"/>
        </c:ser>
        <c:ser>
          <c:idx val="5"/>
          <c:order val="5"/>
          <c:tx>
            <c:strRef>
              <c:f>Plot!$P$2</c:f>
            </c:strRef>
          </c:tx>
          <c:spPr>
            <a:ln cmpd="sng">
              <a:solidFill>
                <a:srgbClr val="46BDC6"/>
              </a:solidFill>
            </a:ln>
          </c:spPr>
          <c:marker>
            <c:symbol val="none"/>
          </c:marker>
          <c:cat>
            <c:strRef>
              <c:f>GuidePlot12!$A$3:$A$183</c:f>
            </c:strRef>
          </c:cat>
          <c:val>
            <c:numRef>
              <c:f>Plot!$P$3:$P$183</c:f>
              <c:numCache/>
            </c:numRef>
          </c:val>
          <c:smooth val="0"/>
        </c:ser>
        <c:ser>
          <c:idx val="6"/>
          <c:order val="6"/>
          <c:tx>
            <c:strRef>
              <c:f>Plot!$Q$2</c:f>
            </c:strRef>
          </c:tx>
          <c:spPr>
            <a:ln cmpd="sng">
              <a:solidFill>
                <a:srgbClr val="7BAAF7"/>
              </a:solidFill>
            </a:ln>
          </c:spPr>
          <c:marker>
            <c:symbol val="none"/>
          </c:marker>
          <c:cat>
            <c:strRef>
              <c:f>GuidePlot12!$A$3:$A$183</c:f>
            </c:strRef>
          </c:cat>
          <c:val>
            <c:numRef>
              <c:f>Plot!$Q$3:$Q$183</c:f>
              <c:numCache/>
            </c:numRef>
          </c:val>
          <c:smooth val="0"/>
        </c:ser>
        <c:axId val="1645068095"/>
        <c:axId val="1673231284"/>
      </c:lineChart>
      <c:catAx>
        <c:axId val="16450680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days since repair</a:t>
                </a:r>
              </a:p>
            </c:rich>
          </c:tx>
          <c:overlay val="0"/>
        </c:title>
        <c:numFmt formatCode="General" sourceLinked="1"/>
        <c:majorTickMark val="none"/>
        <c:minorTickMark val="none"/>
        <c:spPr/>
        <c:txPr>
          <a:bodyPr/>
          <a:lstStyle/>
          <a:p>
            <a:pPr lvl="0">
              <a:defRPr b="0">
                <a:solidFill>
                  <a:srgbClr val="000000"/>
                </a:solidFill>
                <a:latin typeface="+mn-lt"/>
              </a:defRPr>
            </a:pPr>
          </a:p>
        </c:txPr>
        <c:crossAx val="1673231284"/>
      </c:catAx>
      <c:valAx>
        <c:axId val="16732312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repair cost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45068095"/>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Profit curve</a:t>
            </a:r>
          </a:p>
        </c:rich>
      </c:tx>
      <c:overlay val="0"/>
    </c:title>
    <c:plotArea>
      <c:layout/>
      <c:lineChart>
        <c:ser>
          <c:idx val="0"/>
          <c:order val="0"/>
          <c:tx>
            <c:strRef>
              <c:f>Plot!$AI$2</c:f>
            </c:strRef>
          </c:tx>
          <c:spPr>
            <a:ln cmpd="sng">
              <a:solidFill>
                <a:srgbClr val="4285F4"/>
              </a:solidFill>
            </a:ln>
          </c:spPr>
          <c:marker>
            <c:symbol val="none"/>
          </c:marker>
          <c:cat>
            <c:strRef>
              <c:f>Plot!$A$3:$A$183</c:f>
            </c:strRef>
          </c:cat>
          <c:val>
            <c:numRef>
              <c:f>Plot!$AI$3:$AI$183</c:f>
              <c:numCache/>
            </c:numRef>
          </c:val>
          <c:smooth val="0"/>
        </c:ser>
        <c:ser>
          <c:idx val="1"/>
          <c:order val="1"/>
          <c:tx>
            <c:strRef>
              <c:f>Plot!$AJ$2</c:f>
            </c:strRef>
          </c:tx>
          <c:spPr>
            <a:ln cmpd="sng">
              <a:solidFill>
                <a:srgbClr val="EA4335"/>
              </a:solidFill>
            </a:ln>
          </c:spPr>
          <c:marker>
            <c:symbol val="circle"/>
            <c:size val="10"/>
            <c:spPr>
              <a:solidFill>
                <a:srgbClr val="EA4335"/>
              </a:solidFill>
              <a:ln cmpd="sng">
                <a:solidFill>
                  <a:srgbClr val="EA4335"/>
                </a:solidFill>
              </a:ln>
            </c:spPr>
          </c:marker>
          <c:cat>
            <c:strRef>
              <c:f>Plot!$A$3:$A$183</c:f>
            </c:strRef>
          </c:cat>
          <c:val>
            <c:numRef>
              <c:f>Plot!$AJ$3:$AJ$183</c:f>
              <c:numCache/>
            </c:numRef>
          </c:val>
          <c:smooth val="0"/>
        </c:ser>
        <c:axId val="600612562"/>
        <c:axId val="851041298"/>
      </c:lineChart>
      <c:catAx>
        <c:axId val="6006125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days since repair</a:t>
                </a:r>
              </a:p>
            </c:rich>
          </c:tx>
          <c:overlay val="0"/>
        </c:title>
        <c:numFmt formatCode="General" sourceLinked="1"/>
        <c:majorTickMark val="none"/>
        <c:minorTickMark val="none"/>
        <c:spPr/>
        <c:txPr>
          <a:bodyPr/>
          <a:lstStyle/>
          <a:p>
            <a:pPr lvl="0">
              <a:defRPr b="0">
                <a:solidFill>
                  <a:srgbClr val="000000"/>
                </a:solidFill>
                <a:latin typeface="+mn-lt"/>
              </a:defRPr>
            </a:pPr>
          </a:p>
        </c:txPr>
        <c:crossAx val="851041298"/>
      </c:catAx>
      <c:valAx>
        <c:axId val="851041298"/>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profit minus repairs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00612562"/>
      </c:valAx>
    </c:plotArea>
    <c:plotVisOnly val="1"/>
  </c:chart>
</c:chartSpace>
</file>

<file path=xl/drawings/_rels/drawing6.xml.rels><?xml version="1.0" encoding="UTF-8" standalone="yes"?><Relationships xmlns="http://schemas.openxmlformats.org/package/2006/relationships"><Relationship Id="rId11" Type="http://schemas.openxmlformats.org/officeDocument/2006/relationships/image" Target="../media/image4.png"/><Relationship Id="rId10" Type="http://schemas.openxmlformats.org/officeDocument/2006/relationships/chart" Target="../charts/chart10.xml"/><Relationship Id="rId13" Type="http://schemas.openxmlformats.org/officeDocument/2006/relationships/image" Target="../media/image3.png"/><Relationship Id="rId12" Type="http://schemas.openxmlformats.org/officeDocument/2006/relationships/image" Target="../media/image1.png"/><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2.jpg"/><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xdr:row>
      <xdr:rowOff>342900</xdr:rowOff>
    </xdr:from>
    <xdr:ext cx="7677150" cy="3790950"/>
    <xdr:graphicFrame>
      <xdr:nvGraphicFramePr>
        <xdr:cNvPr id="1" name="Chart 1" title="Wykres"/>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32</xdr:row>
      <xdr:rowOff>495300</xdr:rowOff>
    </xdr:from>
    <xdr:ext cx="7677150" cy="3790950"/>
    <xdr:graphicFrame>
      <xdr:nvGraphicFramePr>
        <xdr:cNvPr id="2" name="Chart 2" title="Wykres"/>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56</xdr:row>
      <xdr:rowOff>342900</xdr:rowOff>
    </xdr:from>
    <xdr:ext cx="7677150" cy="3790950"/>
    <xdr:graphicFrame>
      <xdr:nvGraphicFramePr>
        <xdr:cNvPr id="3" name="Chart 3" title="Wykres"/>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82</xdr:row>
      <xdr:rowOff>190500</xdr:rowOff>
    </xdr:from>
    <xdr:ext cx="7677150" cy="3790950"/>
    <xdr:graphicFrame>
      <xdr:nvGraphicFramePr>
        <xdr:cNvPr id="4" name="Chart 4" title="Wykres"/>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102</xdr:row>
      <xdr:rowOff>342900</xdr:rowOff>
    </xdr:from>
    <xdr:ext cx="7677150" cy="3790950"/>
    <xdr:graphicFrame>
      <xdr:nvGraphicFramePr>
        <xdr:cNvPr id="5" name="Chart 5" title="Wykres"/>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0</xdr:colOff>
      <xdr:row>130</xdr:row>
      <xdr:rowOff>190500</xdr:rowOff>
    </xdr:from>
    <xdr:ext cx="7677150" cy="3790950"/>
    <xdr:graphicFrame>
      <xdr:nvGraphicFramePr>
        <xdr:cNvPr id="6" name="Chart 6" title="Wykres"/>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0</xdr:colOff>
      <xdr:row>150</xdr:row>
      <xdr:rowOff>647700</xdr:rowOff>
    </xdr:from>
    <xdr:ext cx="7677150" cy="3790950"/>
    <xdr:graphicFrame>
      <xdr:nvGraphicFramePr>
        <xdr:cNvPr id="7" name="Chart 7" title="Wykres"/>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0</xdr:col>
      <xdr:colOff>0</xdr:colOff>
      <xdr:row>171</xdr:row>
      <xdr:rowOff>342900</xdr:rowOff>
    </xdr:from>
    <xdr:ext cx="7677150" cy="3790950"/>
    <xdr:graphicFrame>
      <xdr:nvGraphicFramePr>
        <xdr:cNvPr id="8" name="Chart 8" title="Wykres"/>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0</xdr:colOff>
      <xdr:row>191</xdr:row>
      <xdr:rowOff>495300</xdr:rowOff>
    </xdr:from>
    <xdr:ext cx="7677150" cy="3790950"/>
    <xdr:graphicFrame>
      <xdr:nvGraphicFramePr>
        <xdr:cNvPr id="9" name="Chart 9" title="Wykres"/>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0</xdr:colOff>
      <xdr:row>212</xdr:row>
      <xdr:rowOff>342900</xdr:rowOff>
    </xdr:from>
    <xdr:ext cx="7677150" cy="3790950"/>
    <xdr:graphicFrame>
      <xdr:nvGraphicFramePr>
        <xdr:cNvPr id="10" name="Chart 10" title="Wykres"/>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0</xdr:col>
      <xdr:colOff>0</xdr:colOff>
      <xdr:row>5</xdr:row>
      <xdr:rowOff>0</xdr:rowOff>
    </xdr:from>
    <xdr:ext cx="962025" cy="171450"/>
    <xdr:pic>
      <xdr:nvPicPr>
        <xdr:cNvPr id="0" name="image4.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28</xdr:row>
      <xdr:rowOff>0</xdr:rowOff>
    </xdr:from>
    <xdr:ext cx="962025" cy="142875"/>
    <xdr:pic>
      <xdr:nvPicPr>
        <xdr:cNvPr id="0" name="image1.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54</xdr:row>
      <xdr:rowOff>0</xdr:rowOff>
    </xdr:from>
    <xdr:ext cx="962025" cy="142875"/>
    <xdr:pic>
      <xdr:nvPicPr>
        <xdr:cNvPr id="0" name="image3.pn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241</xdr:row>
      <xdr:rowOff>0</xdr:rowOff>
    </xdr:from>
    <xdr:ext cx="962025" cy="704850"/>
    <xdr:pic>
      <xdr:nvPicPr>
        <xdr:cNvPr id="0" name="image2.jpg"/>
        <xdr:cNvPicPr preferRelativeResize="0"/>
      </xdr:nvPicPr>
      <xdr:blipFill>
        <a:blip cstate="print" r:embed="rId14"/>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7</xdr:row>
      <xdr:rowOff>190500</xdr:rowOff>
    </xdr:from>
    <xdr:ext cx="7677150" cy="3790950"/>
    <xdr:graphicFrame>
      <xdr:nvGraphicFramePr>
        <xdr:cNvPr id="11" name="Chart 11" title="Wykres"/>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7</xdr:row>
      <xdr:rowOff>190500</xdr:rowOff>
    </xdr:from>
    <xdr:ext cx="7677150" cy="3790950"/>
    <xdr:graphicFrame>
      <xdr:nvGraphicFramePr>
        <xdr:cNvPr id="12" name="Chart 12" title="Wykres"/>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pct.fnar.net/building-degradation/" TargetMode="External"/><Relationship Id="rId2" Type="http://schemas.openxmlformats.org/officeDocument/2006/relationships/hyperlink" Target="https://pct.fnar.net/building-degradation/" TargetMode="External"/><Relationship Id="rId3" Type="http://schemas.openxmlformats.org/officeDocument/2006/relationships/hyperlink" Target="https://handbook.apex.prosperousuniverse.com/wiki/building-costs/index.html"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IFERROR(__xludf.DUMMYFUNCTION("IMPORTDATA(""https://rest.fnar.net/csv/buildingcosts"")"),"Key")</f>
        <v>Key</v>
      </c>
      <c r="B1" s="1" t="str">
        <f>IFERROR(__xludf.DUMMYFUNCTION("""COMPUTED_VALUE"""),"Building")</f>
        <v>Building</v>
      </c>
      <c r="C1" s="1" t="str">
        <f>IFERROR(__xludf.DUMMYFUNCTION("""COMPUTED_VALUE"""),"Material")</f>
        <v>Material</v>
      </c>
      <c r="D1" s="1" t="str">
        <f>IFERROR(__xludf.DUMMYFUNCTION("""COMPUTED_VALUE"""),"Amount")</f>
        <v>Amount</v>
      </c>
      <c r="G1" s="2" t="str">
        <f>IFERROR(__xludf.DUMMYFUNCTION("IMPORTDATA(""https://rest.fnar.net/csv/buildings"")"),"Ticker")</f>
        <v>Ticker</v>
      </c>
      <c r="H1" s="1" t="str">
        <f>IFERROR(__xludf.DUMMYFUNCTION("""COMPUTED_VALUE"""),"Name")</f>
        <v>Name</v>
      </c>
      <c r="I1" s="1" t="str">
        <f>IFERROR(__xludf.DUMMYFUNCTION("""COMPUTED_VALUE"""),"Area")</f>
        <v>Area</v>
      </c>
      <c r="J1" s="1" t="str">
        <f>IFERROR(__xludf.DUMMYFUNCTION("""COMPUTED_VALUE"""),"Expertise")</f>
        <v>Expertise</v>
      </c>
    </row>
    <row r="2">
      <c r="A2" s="1" t="str">
        <f>IFERROR(__xludf.DUMMYFUNCTION("""COMPUTED_VALUE"""),"4DA-ADS")</f>
        <v>4DA-ADS</v>
      </c>
      <c r="B2" s="1" t="str">
        <f>IFERROR(__xludf.DUMMYFUNCTION("""COMPUTED_VALUE"""),"4DA")</f>
        <v>4DA</v>
      </c>
      <c r="C2" s="1" t="str">
        <f>IFERROR(__xludf.DUMMYFUNCTION("""COMPUTED_VALUE"""),"ADS")</f>
        <v>ADS</v>
      </c>
      <c r="D2" s="1">
        <f>IFERROR(__xludf.DUMMYFUNCTION("""COMPUTED_VALUE"""),1.0)</f>
        <v>1</v>
      </c>
      <c r="G2" s="1" t="str">
        <f>IFERROR(__xludf.DUMMYFUNCTION("""COMPUTED_VALUE"""),"4DA")</f>
        <v>4DA</v>
      </c>
      <c r="H2" s="1" t="str">
        <f>IFERROR(__xludf.DUMMYFUNCTION("""COMPUTED_VALUE"""),"planetaryProjectComfortBig")</f>
        <v>planetaryProjectComfortBig</v>
      </c>
      <c r="I2" s="1">
        <f>IFERROR(__xludf.DUMMYFUNCTION("""COMPUTED_VALUE"""),1000.0)</f>
        <v>1000</v>
      </c>
      <c r="J2" s="1"/>
    </row>
    <row r="3">
      <c r="A3" s="1" t="str">
        <f>IFERROR(__xludf.DUMMYFUNCTION("""COMPUTED_VALUE"""),"4DA-BMF")</f>
        <v>4DA-BMF</v>
      </c>
      <c r="B3" s="1" t="str">
        <f>IFERROR(__xludf.DUMMYFUNCTION("""COMPUTED_VALUE"""),"4DA")</f>
        <v>4DA</v>
      </c>
      <c r="C3" s="1" t="str">
        <f>IFERROR(__xludf.DUMMYFUNCTION("""COMPUTED_VALUE"""),"BMF")</f>
        <v>BMF</v>
      </c>
      <c r="D3" s="1">
        <f>IFERROR(__xludf.DUMMYFUNCTION("""COMPUTED_VALUE"""),2.0)</f>
        <v>2</v>
      </c>
      <c r="G3" s="1" t="str">
        <f>IFERROR(__xludf.DUMMYFUNCTION("""COMPUTED_VALUE"""),"AAF")</f>
        <v>AAF</v>
      </c>
      <c r="H3" s="1" t="str">
        <f>IFERROR(__xludf.DUMMYFUNCTION("""COMPUTED_VALUE"""),"advancedAppliancesFactory")</f>
        <v>advancedAppliancesFactory</v>
      </c>
      <c r="I3" s="1">
        <f>IFERROR(__xludf.DUMMYFUNCTION("""COMPUTED_VALUE"""),50.0)</f>
        <v>50</v>
      </c>
      <c r="J3" s="1" t="str">
        <f>IFERROR(__xludf.DUMMYFUNCTION("""COMPUTED_VALUE"""),"MANUFACTURING")</f>
        <v>MANUFACTURING</v>
      </c>
    </row>
    <row r="4">
      <c r="A4" s="1" t="str">
        <f>IFERROR(__xludf.DUMMYFUNCTION("""COMPUTED_VALUE"""),"4DA-FUN")</f>
        <v>4DA-FUN</v>
      </c>
      <c r="B4" s="1" t="str">
        <f>IFERROR(__xludf.DUMMYFUNCTION("""COMPUTED_VALUE"""),"4DA")</f>
        <v>4DA</v>
      </c>
      <c r="C4" s="1" t="str">
        <f>IFERROR(__xludf.DUMMYFUNCTION("""COMPUTED_VALUE"""),"FUN")</f>
        <v>FUN</v>
      </c>
      <c r="D4" s="1">
        <f>IFERROR(__xludf.DUMMYFUNCTION("""COMPUTED_VALUE"""),10.0)</f>
        <v>10</v>
      </c>
      <c r="G4" s="1" t="str">
        <f>IFERROR(__xludf.DUMMYFUNCTION("""COMPUTED_VALUE"""),"ACA")</f>
        <v>ACA</v>
      </c>
      <c r="H4" s="1" t="str">
        <f>IFERROR(__xludf.DUMMYFUNCTION("""COMPUTED_VALUE"""),"planetaryProjectComfortCulture")</f>
        <v>planetaryProjectComfortCulture</v>
      </c>
      <c r="I4" s="1">
        <f>IFERROR(__xludf.DUMMYFUNCTION("""COMPUTED_VALUE"""),1000.0)</f>
        <v>1000</v>
      </c>
      <c r="J4" s="1"/>
    </row>
    <row r="5">
      <c r="A5" s="1" t="str">
        <f>IFERROR(__xludf.DUMMYFUNCTION("""COMPUTED_VALUE"""),"4DA-LBH")</f>
        <v>4DA-LBH</v>
      </c>
      <c r="B5" s="1" t="str">
        <f>IFERROR(__xludf.DUMMYFUNCTION("""COMPUTED_VALUE"""),"4DA")</f>
        <v>4DA</v>
      </c>
      <c r="C5" s="1" t="str">
        <f>IFERROR(__xludf.DUMMYFUNCTION("""COMPUTED_VALUE"""),"LBH")</f>
        <v>LBH</v>
      </c>
      <c r="D5" s="1">
        <f>IFERROR(__xludf.DUMMYFUNCTION("""COMPUTED_VALUE"""),42.0)</f>
        <v>42</v>
      </c>
      <c r="G5" s="1" t="str">
        <f>IFERROR(__xludf.DUMMYFUNCTION("""COMPUTED_VALUE"""),"ADM")</f>
        <v>ADM</v>
      </c>
      <c r="H5" s="1" t="str">
        <f>IFERROR(__xludf.DUMMYFUNCTION("""COMPUTED_VALUE"""),"planetaryProjectAdminCenter")</f>
        <v>planetaryProjectAdminCenter</v>
      </c>
      <c r="I5" s="1">
        <f>IFERROR(__xludf.DUMMYFUNCTION("""COMPUTED_VALUE"""),400.0)</f>
        <v>400</v>
      </c>
      <c r="J5" s="1"/>
    </row>
    <row r="6">
      <c r="A6" s="1" t="str">
        <f>IFERROR(__xludf.DUMMYFUNCTION("""COMPUTED_VALUE"""),"4DA-LDE")</f>
        <v>4DA-LDE</v>
      </c>
      <c r="B6" s="1" t="str">
        <f>IFERROR(__xludf.DUMMYFUNCTION("""COMPUTED_VALUE"""),"4DA")</f>
        <v>4DA</v>
      </c>
      <c r="C6" s="1" t="str">
        <f>IFERROR(__xludf.DUMMYFUNCTION("""COMPUTED_VALUE"""),"LDE")</f>
        <v>LDE</v>
      </c>
      <c r="D6" s="1">
        <f>IFERROR(__xludf.DUMMYFUNCTION("""COMPUTED_VALUE"""),42.0)</f>
        <v>42</v>
      </c>
      <c r="G6" s="1" t="str">
        <f>IFERROR(__xludf.DUMMYFUNCTION("""COMPUTED_VALUE"""),"AML")</f>
        <v>AML</v>
      </c>
      <c r="H6" s="1" t="str">
        <f>IFERROR(__xludf.DUMMYFUNCTION("""COMPUTED_VALUE"""),"advancedMaterialLab")</f>
        <v>advancedMaterialLab</v>
      </c>
      <c r="I6" s="1">
        <f>IFERROR(__xludf.DUMMYFUNCTION("""COMPUTED_VALUE"""),45.0)</f>
        <v>45</v>
      </c>
      <c r="J6" s="1" t="str">
        <f>IFERROR(__xludf.DUMMYFUNCTION("""COMPUTED_VALUE"""),"CHEMISTRY")</f>
        <v>CHEMISTRY</v>
      </c>
    </row>
    <row r="7">
      <c r="A7" s="1" t="str">
        <f>IFERROR(__xludf.DUMMYFUNCTION("""COMPUTED_VALUE"""),"4DA-LIT")</f>
        <v>4DA-LIT</v>
      </c>
      <c r="B7" s="1" t="str">
        <f>IFERROR(__xludf.DUMMYFUNCTION("""COMPUTED_VALUE"""),"4DA")</f>
        <v>4DA</v>
      </c>
      <c r="C7" s="1" t="str">
        <f>IFERROR(__xludf.DUMMYFUNCTION("""COMPUTED_VALUE"""),"LIT")</f>
        <v>LIT</v>
      </c>
      <c r="D7" s="1">
        <f>IFERROR(__xludf.DUMMYFUNCTION("""COMPUTED_VALUE"""),2.0)</f>
        <v>2</v>
      </c>
      <c r="G7" s="1" t="str">
        <f>IFERROR(__xludf.DUMMYFUNCTION("""COMPUTED_VALUE"""),"APF")</f>
        <v>APF</v>
      </c>
      <c r="H7" s="1" t="str">
        <f>IFERROR(__xludf.DUMMYFUNCTION("""COMPUTED_VALUE"""),"appliancesFactory")</f>
        <v>appliancesFactory</v>
      </c>
      <c r="I7" s="1">
        <f>IFERROR(__xludf.DUMMYFUNCTION("""COMPUTED_VALUE"""),40.0)</f>
        <v>40</v>
      </c>
      <c r="J7" s="1" t="str">
        <f>IFERROR(__xludf.DUMMYFUNCTION("""COMPUTED_VALUE"""),"MANUFACTURING")</f>
        <v>MANUFACTURING</v>
      </c>
    </row>
    <row r="8">
      <c r="A8" s="1" t="str">
        <f>IFERROR(__xludf.DUMMYFUNCTION("""COMPUTED_VALUE"""),"4DA-LSE")</f>
        <v>4DA-LSE</v>
      </c>
      <c r="B8" s="1" t="str">
        <f>IFERROR(__xludf.DUMMYFUNCTION("""COMPUTED_VALUE"""),"4DA")</f>
        <v>4DA</v>
      </c>
      <c r="C8" s="1" t="str">
        <f>IFERROR(__xludf.DUMMYFUNCTION("""COMPUTED_VALUE"""),"LSE")</f>
        <v>LSE</v>
      </c>
      <c r="D8" s="1">
        <f>IFERROR(__xludf.DUMMYFUNCTION("""COMPUTED_VALUE"""),42.0)</f>
        <v>42</v>
      </c>
      <c r="G8" s="1" t="str">
        <f>IFERROR(__xludf.DUMMYFUNCTION("""COMPUTED_VALUE"""),"ART")</f>
        <v>ART</v>
      </c>
      <c r="H8" s="1" t="str">
        <f>IFERROR(__xludf.DUMMYFUNCTION("""COMPUTED_VALUE"""),"planetaryProjectCultureSmall")</f>
        <v>planetaryProjectCultureSmall</v>
      </c>
      <c r="I8" s="1">
        <f>IFERROR(__xludf.DUMMYFUNCTION("""COMPUTED_VALUE"""),500.0)</f>
        <v>500</v>
      </c>
      <c r="J8" s="1"/>
    </row>
    <row r="9">
      <c r="A9" s="1" t="str">
        <f>IFERROR(__xludf.DUMMYFUNCTION("""COMPUTED_VALUE"""),"4DA-LTA")</f>
        <v>4DA-LTA</v>
      </c>
      <c r="B9" s="1" t="str">
        <f>IFERROR(__xludf.DUMMYFUNCTION("""COMPUTED_VALUE"""),"4DA")</f>
        <v>4DA</v>
      </c>
      <c r="C9" s="1" t="str">
        <f>IFERROR(__xludf.DUMMYFUNCTION("""COMPUTED_VALUE"""),"LTA")</f>
        <v>LTA</v>
      </c>
      <c r="D9" s="1">
        <f>IFERROR(__xludf.DUMMYFUNCTION("""COMPUTED_VALUE"""),24.0)</f>
        <v>24</v>
      </c>
      <c r="G9" s="1" t="str">
        <f>IFERROR(__xludf.DUMMYFUNCTION("""COMPUTED_VALUE"""),"ASM")</f>
        <v>ASM</v>
      </c>
      <c r="H9" s="1" t="str">
        <f>IFERROR(__xludf.DUMMYFUNCTION("""COMPUTED_VALUE"""),"advancedSmelter")</f>
        <v>advancedSmelter</v>
      </c>
      <c r="I9" s="1">
        <f>IFERROR(__xludf.DUMMYFUNCTION("""COMPUTED_VALUE"""),34.0)</f>
        <v>34</v>
      </c>
      <c r="J9" s="1" t="str">
        <f>IFERROR(__xludf.DUMMYFUNCTION("""COMPUTED_VALUE"""),"METALLURGY")</f>
        <v>METALLURGY</v>
      </c>
    </row>
    <row r="10">
      <c r="A10" s="1" t="str">
        <f>IFERROR(__xludf.DUMMYFUNCTION("""COMPUTED_VALUE"""),"4DA-MCG")</f>
        <v>4DA-MCG</v>
      </c>
      <c r="B10" s="1" t="str">
        <f>IFERROR(__xludf.DUMMYFUNCTION("""COMPUTED_VALUE"""),"4DA")</f>
        <v>4DA</v>
      </c>
      <c r="C10" s="1" t="str">
        <f>IFERROR(__xludf.DUMMYFUNCTION("""COMPUTED_VALUE"""),"MCG")</f>
        <v>MCG</v>
      </c>
      <c r="D10" s="1">
        <f>IFERROR(__xludf.DUMMYFUNCTION("""COMPUTED_VALUE"""),600.0)</f>
        <v>600</v>
      </c>
      <c r="G10" s="1" t="str">
        <f>IFERROR(__xludf.DUMMYFUNCTION("""COMPUTED_VALUE"""),"BMP")</f>
        <v>BMP</v>
      </c>
      <c r="H10" s="1" t="str">
        <f>IFERROR(__xludf.DUMMYFUNCTION("""COMPUTED_VALUE"""),"basicMaterialsPlant")</f>
        <v>basicMaterialsPlant</v>
      </c>
      <c r="I10" s="1">
        <f>IFERROR(__xludf.DUMMYFUNCTION("""COMPUTED_VALUE"""),12.0)</f>
        <v>12</v>
      </c>
      <c r="J10" s="1" t="str">
        <f>IFERROR(__xludf.DUMMYFUNCTION("""COMPUTED_VALUE"""),"MANUFACTURING")</f>
        <v>MANUFACTURING</v>
      </c>
    </row>
    <row r="11">
      <c r="A11" s="1" t="str">
        <f>IFERROR(__xludf.DUMMYFUNCTION("""COMPUTED_VALUE"""),"4DA-TRU")</f>
        <v>4DA-TRU</v>
      </c>
      <c r="B11" s="1" t="str">
        <f>IFERROR(__xludf.DUMMYFUNCTION("""COMPUTED_VALUE"""),"4DA")</f>
        <v>4DA</v>
      </c>
      <c r="C11" s="1" t="str">
        <f>IFERROR(__xludf.DUMMYFUNCTION("""COMPUTED_VALUE"""),"TRU")</f>
        <v>TRU</v>
      </c>
      <c r="D11" s="1">
        <f>IFERROR(__xludf.DUMMYFUNCTION("""COMPUTED_VALUE"""),40.0)</f>
        <v>40</v>
      </c>
      <c r="G11" s="1" t="str">
        <f>IFERROR(__xludf.DUMMYFUNCTION("""COMPUTED_VALUE"""),"CFL")</f>
        <v>CFL</v>
      </c>
      <c r="H11" s="1" t="str">
        <f>IFERROR(__xludf.DUMMYFUNCTION("""COMPUTED_VALUE"""),"corporationProjectFTLLaboratory")</f>
        <v>corporationProjectFTLLaboratory</v>
      </c>
      <c r="I11" s="1">
        <f>IFERROR(__xludf.DUMMYFUNCTION("""COMPUTED_VALUE"""),100.0)</f>
        <v>100</v>
      </c>
      <c r="J11" s="1"/>
    </row>
    <row r="12">
      <c r="A12" s="1" t="str">
        <f>IFERROR(__xludf.DUMMYFUNCTION("""COMPUTED_VALUE"""),"AAF-ABH")</f>
        <v>AAF-ABH</v>
      </c>
      <c r="B12" s="1" t="str">
        <f>IFERROR(__xludf.DUMMYFUNCTION("""COMPUTED_VALUE"""),"AAF")</f>
        <v>AAF</v>
      </c>
      <c r="C12" s="1" t="str">
        <f>IFERROR(__xludf.DUMMYFUNCTION("""COMPUTED_VALUE"""),"ABH")</f>
        <v>ABH</v>
      </c>
      <c r="D12" s="1">
        <f>IFERROR(__xludf.DUMMYFUNCTION("""COMPUTED_VALUE"""),6.0)</f>
        <v>6</v>
      </c>
      <c r="G12" s="1" t="str">
        <f>IFERROR(__xludf.DUMMYFUNCTION("""COMPUTED_VALUE"""),"CHP")</f>
        <v>CHP</v>
      </c>
      <c r="H12" s="1" t="str">
        <f>IFERROR(__xludf.DUMMYFUNCTION("""COMPUTED_VALUE"""),"chemPlant")</f>
        <v>chemPlant</v>
      </c>
      <c r="I12" s="1">
        <f>IFERROR(__xludf.DUMMYFUNCTION("""COMPUTED_VALUE"""),18.0)</f>
        <v>18</v>
      </c>
      <c r="J12" s="1" t="str">
        <f>IFERROR(__xludf.DUMMYFUNCTION("""COMPUTED_VALUE"""),"CHEMISTRY")</f>
        <v>CHEMISTRY</v>
      </c>
    </row>
    <row r="13">
      <c r="A13" s="1" t="str">
        <f>IFERROR(__xludf.DUMMYFUNCTION("""COMPUTED_VALUE"""),"AAF-ADE")</f>
        <v>AAF-ADE</v>
      </c>
      <c r="B13" s="1" t="str">
        <f>IFERROR(__xludf.DUMMYFUNCTION("""COMPUTED_VALUE"""),"AAF")</f>
        <v>AAF</v>
      </c>
      <c r="C13" s="1" t="str">
        <f>IFERROR(__xludf.DUMMYFUNCTION("""COMPUTED_VALUE"""),"ADE")</f>
        <v>ADE</v>
      </c>
      <c r="D13" s="1">
        <f>IFERROR(__xludf.DUMMYFUNCTION("""COMPUTED_VALUE"""),8.0)</f>
        <v>8</v>
      </c>
      <c r="G13" s="1" t="str">
        <f>IFERROR(__xludf.DUMMYFUNCTION("""COMPUTED_VALUE"""),"CIM")</f>
        <v>CIM</v>
      </c>
      <c r="H13" s="1" t="str">
        <f>IFERROR(__xludf.DUMMYFUNCTION("""COMPUTED_VALUE"""),"corporationProjectImmortality")</f>
        <v>corporationProjectImmortality</v>
      </c>
      <c r="I13" s="1">
        <f>IFERROR(__xludf.DUMMYFUNCTION("""COMPUTED_VALUE"""),100.0)</f>
        <v>100</v>
      </c>
      <c r="J13" s="1"/>
    </row>
    <row r="14">
      <c r="A14" s="1" t="str">
        <f>IFERROR(__xludf.DUMMYFUNCTION("""COMPUTED_VALUE"""),"AAF-ASE")</f>
        <v>AAF-ASE</v>
      </c>
      <c r="B14" s="1" t="str">
        <f>IFERROR(__xludf.DUMMYFUNCTION("""COMPUTED_VALUE"""),"AAF")</f>
        <v>AAF</v>
      </c>
      <c r="C14" s="1" t="str">
        <f>IFERROR(__xludf.DUMMYFUNCTION("""COMPUTED_VALUE"""),"ASE")</f>
        <v>ASE</v>
      </c>
      <c r="D14" s="1">
        <f>IFERROR(__xludf.DUMMYFUNCTION("""COMPUTED_VALUE"""),8.0)</f>
        <v>8</v>
      </c>
      <c r="G14" s="1" t="str">
        <f>IFERROR(__xludf.DUMMYFUNCTION("""COMPUTED_VALUE"""),"CLF")</f>
        <v>CLF</v>
      </c>
      <c r="H14" s="1" t="str">
        <f>IFERROR(__xludf.DUMMYFUNCTION("""COMPUTED_VALUE"""),"clothingFactory")</f>
        <v>clothingFactory</v>
      </c>
      <c r="I14" s="1">
        <f>IFERROR(__xludf.DUMMYFUNCTION("""COMPUTED_VALUE"""),37.0)</f>
        <v>37</v>
      </c>
      <c r="J14" s="1" t="str">
        <f>IFERROR(__xludf.DUMMYFUNCTION("""COMPUTED_VALUE"""),"MANUFACTURING")</f>
        <v>MANUFACTURING</v>
      </c>
    </row>
    <row r="15">
      <c r="A15" s="1" t="str">
        <f>IFERROR(__xludf.DUMMYFUNCTION("""COMPUTED_VALUE"""),"AAF-ATA")</f>
        <v>AAF-ATA</v>
      </c>
      <c r="B15" s="1" t="str">
        <f>IFERROR(__xludf.DUMMYFUNCTION("""COMPUTED_VALUE"""),"AAF")</f>
        <v>AAF</v>
      </c>
      <c r="C15" s="1" t="str">
        <f>IFERROR(__xludf.DUMMYFUNCTION("""COMPUTED_VALUE"""),"ATA")</f>
        <v>ATA</v>
      </c>
      <c r="D15" s="1">
        <f>IFERROR(__xludf.DUMMYFUNCTION("""COMPUTED_VALUE"""),1.0)</f>
        <v>1</v>
      </c>
      <c r="G15" s="1" t="str">
        <f>IFERROR(__xludf.DUMMYFUNCTION("""COMPUTED_VALUE"""),"CLR")</f>
        <v>CLR</v>
      </c>
      <c r="H15" s="1" t="str">
        <f>IFERROR(__xludf.DUMMYFUNCTION("""COMPUTED_VALUE"""),"cleanRoom")</f>
        <v>cleanRoom</v>
      </c>
      <c r="I15" s="1">
        <f>IFERROR(__xludf.DUMMYFUNCTION("""COMPUTED_VALUE"""),27.0)</f>
        <v>27</v>
      </c>
      <c r="J15" s="1" t="str">
        <f>IFERROR(__xludf.DUMMYFUNCTION("""COMPUTED_VALUE"""),"ELECTRONICS")</f>
        <v>ELECTRONICS</v>
      </c>
    </row>
    <row r="16">
      <c r="A16" s="1" t="str">
        <f>IFERROR(__xludf.DUMMYFUNCTION("""COMPUTED_VALUE"""),"AAF-TRU")</f>
        <v>AAF-TRU</v>
      </c>
      <c r="B16" s="1" t="str">
        <f>IFERROR(__xludf.DUMMYFUNCTION("""COMPUTED_VALUE"""),"AAF")</f>
        <v>AAF</v>
      </c>
      <c r="C16" s="1" t="str">
        <f>IFERROR(__xludf.DUMMYFUNCTION("""COMPUTED_VALUE"""),"TRU")</f>
        <v>TRU</v>
      </c>
      <c r="D16" s="1">
        <f>IFERROR(__xludf.DUMMYFUNCTION("""COMPUTED_VALUE"""),8.0)</f>
        <v>8</v>
      </c>
      <c r="G16" s="1" t="str">
        <f>IFERROR(__xludf.DUMMYFUNCTION("""COMPUTED_VALUE"""),"CM")</f>
        <v>CM</v>
      </c>
      <c r="H16" s="1" t="str">
        <f>IFERROR(__xludf.DUMMYFUNCTION("""COMPUTED_VALUE"""),"coreModule")</f>
        <v>coreModule</v>
      </c>
      <c r="I16" s="1">
        <f>IFERROR(__xludf.DUMMYFUNCTION("""COMPUTED_VALUE"""),25.0)</f>
        <v>25</v>
      </c>
      <c r="J16" s="1"/>
    </row>
    <row r="17">
      <c r="A17" s="1" t="str">
        <f>IFERROR(__xludf.DUMMYFUNCTION("""COMPUTED_VALUE"""),"ACA-DEC")</f>
        <v>ACA-DEC</v>
      </c>
      <c r="B17" s="1" t="str">
        <f>IFERROR(__xludf.DUMMYFUNCTION("""COMPUTED_VALUE"""),"ACA")</f>
        <v>ACA</v>
      </c>
      <c r="C17" s="1" t="str">
        <f>IFERROR(__xludf.DUMMYFUNCTION("""COMPUTED_VALUE"""),"DEC")</f>
        <v>DEC</v>
      </c>
      <c r="D17" s="1">
        <f>IFERROR(__xludf.DUMMYFUNCTION("""COMPUTED_VALUE"""),32.0)</f>
        <v>32</v>
      </c>
      <c r="G17" s="1" t="str">
        <f>IFERROR(__xludf.DUMMYFUNCTION("""COMPUTED_VALUE"""),"COG")</f>
        <v>COG</v>
      </c>
      <c r="H17" s="1" t="str">
        <f>IFERROR(__xludf.DUMMYFUNCTION("""COMPUTED_VALUE"""),"planetaryProjectCogc")</f>
        <v>planetaryProjectCogc</v>
      </c>
      <c r="I17" s="1">
        <f>IFERROR(__xludf.DUMMYFUNCTION("""COMPUTED_VALUE"""),1000.0)</f>
        <v>1000</v>
      </c>
      <c r="J17" s="1"/>
    </row>
    <row r="18">
      <c r="A18" s="1" t="str">
        <f>IFERROR(__xludf.DUMMYFUNCTION("""COMPUTED_VALUE"""),"ACA-MCG")</f>
        <v>ACA-MCG</v>
      </c>
      <c r="B18" s="1" t="str">
        <f>IFERROR(__xludf.DUMMYFUNCTION("""COMPUTED_VALUE"""),"ACA")</f>
        <v>ACA</v>
      </c>
      <c r="C18" s="1" t="str">
        <f>IFERROR(__xludf.DUMMYFUNCTION("""COMPUTED_VALUE"""),"MCG")</f>
        <v>MCG</v>
      </c>
      <c r="D18" s="1">
        <f>IFERROR(__xludf.DUMMYFUNCTION("""COMPUTED_VALUE"""),300.0)</f>
        <v>300</v>
      </c>
      <c r="G18" s="1" t="str">
        <f>IFERROR(__xludf.DUMMYFUNCTION("""COMPUTED_VALUE"""),"COL")</f>
        <v>COL</v>
      </c>
      <c r="H18" s="1" t="str">
        <f>IFERROR(__xludf.DUMMYFUNCTION("""COMPUTED_VALUE"""),"collector")</f>
        <v>collector</v>
      </c>
      <c r="I18" s="1">
        <f>IFERROR(__xludf.DUMMYFUNCTION("""COMPUTED_VALUE"""),15.0)</f>
        <v>15</v>
      </c>
      <c r="J18" s="1" t="str">
        <f>IFERROR(__xludf.DUMMYFUNCTION("""COMPUTED_VALUE"""),"RESOURCE_EXTRACTION")</f>
        <v>RESOURCE_EXTRACTION</v>
      </c>
    </row>
    <row r="19">
      <c r="A19" s="1" t="str">
        <f>IFERROR(__xludf.DUMMYFUNCTION("""COMPUTED_VALUE"""),"ACA-RBH")</f>
        <v>ACA-RBH</v>
      </c>
      <c r="B19" s="1" t="str">
        <f>IFERROR(__xludf.DUMMYFUNCTION("""COMPUTED_VALUE"""),"ACA")</f>
        <v>ACA</v>
      </c>
      <c r="C19" s="1" t="str">
        <f>IFERROR(__xludf.DUMMYFUNCTION("""COMPUTED_VALUE"""),"RBH")</f>
        <v>RBH</v>
      </c>
      <c r="D19" s="1">
        <f>IFERROR(__xludf.DUMMYFUNCTION("""COMPUTED_VALUE"""),16.0)</f>
        <v>16</v>
      </c>
      <c r="G19" s="1" t="str">
        <f>IFERROR(__xludf.DUMMYFUNCTION("""COMPUTED_VALUE"""),"COR")</f>
        <v>COR</v>
      </c>
      <c r="H19" s="1" t="str">
        <f>IFERROR(__xludf.DUMMYFUNCTION("""COMPUTED_VALUE"""),"corporationProjectHeadquarters")</f>
        <v>corporationProjectHeadquarters</v>
      </c>
      <c r="I19" s="1">
        <f>IFERROR(__xludf.DUMMYFUNCTION("""COMPUTED_VALUE"""),100.0)</f>
        <v>100</v>
      </c>
      <c r="J19" s="1"/>
    </row>
    <row r="20">
      <c r="A20" s="1" t="str">
        <f>IFERROR(__xludf.DUMMYFUNCTION("""COMPUTED_VALUE"""),"ACA-RDE")</f>
        <v>ACA-RDE</v>
      </c>
      <c r="B20" s="1" t="str">
        <f>IFERROR(__xludf.DUMMYFUNCTION("""COMPUTED_VALUE"""),"ACA")</f>
        <v>ACA</v>
      </c>
      <c r="C20" s="1" t="str">
        <f>IFERROR(__xludf.DUMMYFUNCTION("""COMPUTED_VALUE"""),"RDE")</f>
        <v>RDE</v>
      </c>
      <c r="D20" s="1">
        <f>IFERROR(__xludf.DUMMYFUNCTION("""COMPUTED_VALUE"""),24.0)</f>
        <v>24</v>
      </c>
      <c r="G20" s="1" t="str">
        <f>IFERROR(__xludf.DUMMYFUNCTION("""COMPUTED_VALUE"""),"CRC")</f>
        <v>CRC</v>
      </c>
      <c r="H20" s="1" t="str">
        <f>IFERROR(__xludf.DUMMYFUNCTION("""COMPUTED_VALUE"""),"corporationProjectRepresentationCenter")</f>
        <v>corporationProjectRepresentationCenter</v>
      </c>
      <c r="I20" s="1">
        <f>IFERROR(__xludf.DUMMYFUNCTION("""COMPUTED_VALUE"""),100.0)</f>
        <v>100</v>
      </c>
      <c r="J20" s="1"/>
    </row>
    <row r="21">
      <c r="A21" s="1" t="str">
        <f>IFERROR(__xludf.DUMMYFUNCTION("""COMPUTED_VALUE"""),"ACA-RSE")</f>
        <v>ACA-RSE</v>
      </c>
      <c r="B21" s="1" t="str">
        <f>IFERROR(__xludf.DUMMYFUNCTION("""COMPUTED_VALUE"""),"ACA")</f>
        <v>ACA</v>
      </c>
      <c r="C21" s="1" t="str">
        <f>IFERROR(__xludf.DUMMYFUNCTION("""COMPUTED_VALUE"""),"RSE")</f>
        <v>RSE</v>
      </c>
      <c r="D21" s="1">
        <f>IFERROR(__xludf.DUMMYFUNCTION("""COMPUTED_VALUE"""),24.0)</f>
        <v>24</v>
      </c>
      <c r="G21" s="1" t="str">
        <f>IFERROR(__xludf.DUMMYFUNCTION("""COMPUTED_VALUE"""),"CTE")</f>
        <v>CTE</v>
      </c>
      <c r="H21" s="1" t="str">
        <f>IFERROR(__xludf.DUMMYFUNCTION("""COMPUTED_VALUE"""),"corporationProjectTerraforming")</f>
        <v>corporationProjectTerraforming</v>
      </c>
      <c r="I21" s="1">
        <f>IFERROR(__xludf.DUMMYFUNCTION("""COMPUTED_VALUE"""),100.0)</f>
        <v>100</v>
      </c>
      <c r="J21" s="1"/>
    </row>
    <row r="22">
      <c r="A22" s="1" t="str">
        <f>IFERROR(__xludf.DUMMYFUNCTION("""COMPUTED_VALUE"""),"ACA-RTA")</f>
        <v>ACA-RTA</v>
      </c>
      <c r="B22" s="1" t="str">
        <f>IFERROR(__xludf.DUMMYFUNCTION("""COMPUTED_VALUE"""),"ACA")</f>
        <v>ACA</v>
      </c>
      <c r="C22" s="1" t="str">
        <f>IFERROR(__xludf.DUMMYFUNCTION("""COMPUTED_VALUE"""),"RTA")</f>
        <v>RTA</v>
      </c>
      <c r="D22" s="1">
        <f>IFERROR(__xludf.DUMMYFUNCTION("""COMPUTED_VALUE"""),12.0)</f>
        <v>12</v>
      </c>
      <c r="G22" s="1" t="str">
        <f>IFERROR(__xludf.DUMMYFUNCTION("""COMPUTED_VALUE"""),"DRS")</f>
        <v>DRS</v>
      </c>
      <c r="H22" s="1" t="str">
        <f>IFERROR(__xludf.DUMMYFUNCTION("""COMPUTED_VALUE"""),"droneShop")</f>
        <v>droneShop</v>
      </c>
      <c r="I22" s="1">
        <f>IFERROR(__xludf.DUMMYFUNCTION("""COMPUTED_VALUE"""),30.0)</f>
        <v>30</v>
      </c>
      <c r="J22" s="1" t="str">
        <f>IFERROR(__xludf.DUMMYFUNCTION("""COMPUTED_VALUE"""),"ELECTRONICS")</f>
        <v>ELECTRONICS</v>
      </c>
    </row>
    <row r="23">
      <c r="A23" s="1" t="str">
        <f>IFERROR(__xludf.DUMMYFUNCTION("""COMPUTED_VALUE"""),"ACA-TRU")</f>
        <v>ACA-TRU</v>
      </c>
      <c r="B23" s="1" t="str">
        <f>IFERROR(__xludf.DUMMYFUNCTION("""COMPUTED_VALUE"""),"ACA")</f>
        <v>ACA</v>
      </c>
      <c r="C23" s="1" t="str">
        <f>IFERROR(__xludf.DUMMYFUNCTION("""COMPUTED_VALUE"""),"TRU")</f>
        <v>TRU</v>
      </c>
      <c r="D23" s="1">
        <f>IFERROR(__xludf.DUMMYFUNCTION("""COMPUTED_VALUE"""),20.0)</f>
        <v>20</v>
      </c>
      <c r="G23" s="1" t="str">
        <f>IFERROR(__xludf.DUMMYFUNCTION("""COMPUTED_VALUE"""),"ECA")</f>
        <v>ECA</v>
      </c>
      <c r="H23" s="1" t="str">
        <f>IFERROR(__xludf.DUMMYFUNCTION("""COMPUTED_VALUE"""),"energyComponentAssembly")</f>
        <v>energyComponentAssembly</v>
      </c>
      <c r="I23" s="1">
        <f>IFERROR(__xludf.DUMMYFUNCTION("""COMPUTED_VALUE"""),35.0)</f>
        <v>35</v>
      </c>
      <c r="J23" s="1" t="str">
        <f>IFERROR(__xludf.DUMMYFUNCTION("""COMPUTED_VALUE"""),"ELECTRONICS")</f>
        <v>ELECTRONICS</v>
      </c>
    </row>
    <row r="24">
      <c r="A24" s="1" t="str">
        <f>IFERROR(__xludf.DUMMYFUNCTION("""COMPUTED_VALUE"""),"ADM-BMF")</f>
        <v>ADM-BMF</v>
      </c>
      <c r="B24" s="1" t="str">
        <f>IFERROR(__xludf.DUMMYFUNCTION("""COMPUTED_VALUE"""),"ADM")</f>
        <v>ADM</v>
      </c>
      <c r="C24" s="1" t="str">
        <f>IFERROR(__xludf.DUMMYFUNCTION("""COMPUTED_VALUE"""),"BMF")</f>
        <v>BMF</v>
      </c>
      <c r="D24" s="1">
        <f>IFERROR(__xludf.DUMMYFUNCTION("""COMPUTED_VALUE"""),2.0)</f>
        <v>2</v>
      </c>
      <c r="G24" s="1" t="str">
        <f>IFERROR(__xludf.DUMMYFUNCTION("""COMPUTED_VALUE"""),"EDM")</f>
        <v>EDM</v>
      </c>
      <c r="H24" s="1" t="str">
        <f>IFERROR(__xludf.DUMMYFUNCTION("""COMPUTED_VALUE"""),"electronicDeviceManufactory")</f>
        <v>electronicDeviceManufactory</v>
      </c>
      <c r="I24" s="1">
        <f>IFERROR(__xludf.DUMMYFUNCTION("""COMPUTED_VALUE"""),30.0)</f>
        <v>30</v>
      </c>
      <c r="J24" s="1" t="str">
        <f>IFERROR(__xludf.DUMMYFUNCTION("""COMPUTED_VALUE"""),"ELECTRONICS")</f>
        <v>ELECTRONICS</v>
      </c>
    </row>
    <row r="25">
      <c r="A25" s="1" t="str">
        <f>IFERROR(__xludf.DUMMYFUNCTION("""COMPUTED_VALUE"""),"ADM-BWS")</f>
        <v>ADM-BWS</v>
      </c>
      <c r="B25" s="1" t="str">
        <f>IFERROR(__xludf.DUMMYFUNCTION("""COMPUTED_VALUE"""),"ADM")</f>
        <v>ADM</v>
      </c>
      <c r="C25" s="1" t="str">
        <f>IFERROR(__xludf.DUMMYFUNCTION("""COMPUTED_VALUE"""),"BWS")</f>
        <v>BWS</v>
      </c>
      <c r="D25" s="1">
        <f>IFERROR(__xludf.DUMMYFUNCTION("""COMPUTED_VALUE"""),10.0)</f>
        <v>10</v>
      </c>
      <c r="G25" s="1" t="str">
        <f>IFERROR(__xludf.DUMMYFUNCTION("""COMPUTED_VALUE"""),"EEP")</f>
        <v>EEP</v>
      </c>
      <c r="H25" s="1" t="str">
        <f>IFERROR(__xludf.DUMMYFUNCTION("""COMPUTED_VALUE"""),"einsteiniumEnrichmentPlant")</f>
        <v>einsteiniumEnrichmentPlant</v>
      </c>
      <c r="I25" s="1">
        <f>IFERROR(__xludf.DUMMYFUNCTION("""COMPUTED_VALUE"""),100.0)</f>
        <v>100</v>
      </c>
      <c r="J25" s="1" t="str">
        <f>IFERROR(__xludf.DUMMYFUNCTION("""COMPUTED_VALUE"""),"CHEMISTRY")</f>
        <v>CHEMISTRY</v>
      </c>
    </row>
    <row r="26">
      <c r="A26" s="1" t="str">
        <f>IFERROR(__xludf.DUMMYFUNCTION("""COMPUTED_VALUE"""),"ADM-LBH")</f>
        <v>ADM-LBH</v>
      </c>
      <c r="B26" s="1" t="str">
        <f>IFERROR(__xludf.DUMMYFUNCTION("""COMPUTED_VALUE"""),"ADM")</f>
        <v>ADM</v>
      </c>
      <c r="C26" s="1" t="str">
        <f>IFERROR(__xludf.DUMMYFUNCTION("""COMPUTED_VALUE"""),"LBH")</f>
        <v>LBH</v>
      </c>
      <c r="D26" s="1">
        <f>IFERROR(__xludf.DUMMYFUNCTION("""COMPUTED_VALUE"""),16.0)</f>
        <v>16</v>
      </c>
      <c r="G26" s="1" t="str">
        <f>IFERROR(__xludf.DUMMYFUNCTION("""COMPUTED_VALUE"""),"ELP")</f>
        <v>ELP</v>
      </c>
      <c r="H26" s="1" t="str">
        <f>IFERROR(__xludf.DUMMYFUNCTION("""COMPUTED_VALUE"""),"electronicsPlant")</f>
        <v>electronicsPlant</v>
      </c>
      <c r="I26" s="1">
        <f>IFERROR(__xludf.DUMMYFUNCTION("""COMPUTED_VALUE"""),35.0)</f>
        <v>35</v>
      </c>
      <c r="J26" s="1" t="str">
        <f>IFERROR(__xludf.DUMMYFUNCTION("""COMPUTED_VALUE"""),"ELECTRONICS")</f>
        <v>ELECTRONICS</v>
      </c>
    </row>
    <row r="27">
      <c r="A27" s="1" t="str">
        <f>IFERROR(__xludf.DUMMYFUNCTION("""COMPUTED_VALUE"""),"ADM-LDE")</f>
        <v>ADM-LDE</v>
      </c>
      <c r="B27" s="1" t="str">
        <f>IFERROR(__xludf.DUMMYFUNCTION("""COMPUTED_VALUE"""),"ADM")</f>
        <v>ADM</v>
      </c>
      <c r="C27" s="1" t="str">
        <f>IFERROR(__xludf.DUMMYFUNCTION("""COMPUTED_VALUE"""),"LDE")</f>
        <v>LDE</v>
      </c>
      <c r="D27" s="1">
        <f>IFERROR(__xludf.DUMMYFUNCTION("""COMPUTED_VALUE"""),32.0)</f>
        <v>32</v>
      </c>
      <c r="G27" s="1" t="str">
        <f>IFERROR(__xludf.DUMMYFUNCTION("""COMPUTED_VALUE"""),"EMC")</f>
        <v>EMC</v>
      </c>
      <c r="H27" s="1" t="str">
        <f>IFERROR(__xludf.DUMMYFUNCTION("""COMPUTED_VALUE"""),"planetaryProjectSafetyHealth")</f>
        <v>planetaryProjectSafetyHealth</v>
      </c>
      <c r="I27" s="1">
        <f>IFERROR(__xludf.DUMMYFUNCTION("""COMPUTED_VALUE"""),1000.0)</f>
        <v>1000</v>
      </c>
      <c r="J27" s="1"/>
    </row>
    <row r="28">
      <c r="A28" s="1" t="str">
        <f>IFERROR(__xludf.DUMMYFUNCTION("""COMPUTED_VALUE"""),"ADM-LSE")</f>
        <v>ADM-LSE</v>
      </c>
      <c r="B28" s="1" t="str">
        <f>IFERROR(__xludf.DUMMYFUNCTION("""COMPUTED_VALUE"""),"ADM")</f>
        <v>ADM</v>
      </c>
      <c r="C28" s="1" t="str">
        <f>IFERROR(__xludf.DUMMYFUNCTION("""COMPUTED_VALUE"""),"LSE")</f>
        <v>LSE</v>
      </c>
      <c r="D28" s="1">
        <f>IFERROR(__xludf.DUMMYFUNCTION("""COMPUTED_VALUE"""),25.0)</f>
        <v>25</v>
      </c>
      <c r="G28" s="1" t="str">
        <f>IFERROR(__xludf.DUMMYFUNCTION("""COMPUTED_VALUE"""),"EXT")</f>
        <v>EXT</v>
      </c>
      <c r="H28" s="1" t="str">
        <f>IFERROR(__xludf.DUMMYFUNCTION("""COMPUTED_VALUE"""),"extractor")</f>
        <v>extractor</v>
      </c>
      <c r="I28" s="1">
        <f>IFERROR(__xludf.DUMMYFUNCTION("""COMPUTED_VALUE"""),25.0)</f>
        <v>25</v>
      </c>
      <c r="J28" s="1" t="str">
        <f>IFERROR(__xludf.DUMMYFUNCTION("""COMPUTED_VALUE"""),"RESOURCE_EXTRACTION")</f>
        <v>RESOURCE_EXTRACTION</v>
      </c>
    </row>
    <row r="29">
      <c r="A29" s="1" t="str">
        <f>IFERROR(__xludf.DUMMYFUNCTION("""COMPUTED_VALUE"""),"ADM-MCG")</f>
        <v>ADM-MCG</v>
      </c>
      <c r="B29" s="1" t="str">
        <f>IFERROR(__xludf.DUMMYFUNCTION("""COMPUTED_VALUE"""),"ADM")</f>
        <v>ADM</v>
      </c>
      <c r="C29" s="1" t="str">
        <f>IFERROR(__xludf.DUMMYFUNCTION("""COMPUTED_VALUE"""),"MCG")</f>
        <v>MCG</v>
      </c>
      <c r="D29" s="1">
        <f>IFERROR(__xludf.DUMMYFUNCTION("""COMPUTED_VALUE"""),750.0)</f>
        <v>750</v>
      </c>
      <c r="G29" s="1" t="str">
        <f>IFERROR(__xludf.DUMMYFUNCTION("""COMPUTED_VALUE"""),"FER")</f>
        <v>FER</v>
      </c>
      <c r="H29" s="1" t="str">
        <f>IFERROR(__xludf.DUMMYFUNCTION("""COMPUTED_VALUE"""),"fermentationFacility")</f>
        <v>fermentationFacility</v>
      </c>
      <c r="I29" s="1">
        <f>IFERROR(__xludf.DUMMYFUNCTION("""COMPUTED_VALUE"""),25.0)</f>
        <v>25</v>
      </c>
      <c r="J29" s="1" t="str">
        <f>IFERROR(__xludf.DUMMYFUNCTION("""COMPUTED_VALUE"""),"FOOD_INDUSTRIES")</f>
        <v>FOOD_INDUSTRIES</v>
      </c>
    </row>
    <row r="30">
      <c r="A30" s="1" t="str">
        <f>IFERROR(__xludf.DUMMYFUNCTION("""COMPUTED_VALUE"""),"ADM-RTA")</f>
        <v>ADM-RTA</v>
      </c>
      <c r="B30" s="1" t="str">
        <f>IFERROR(__xludf.DUMMYFUNCTION("""COMPUTED_VALUE"""),"ADM")</f>
        <v>ADM</v>
      </c>
      <c r="C30" s="1" t="str">
        <f>IFERROR(__xludf.DUMMYFUNCTION("""COMPUTED_VALUE"""),"RTA")</f>
        <v>RTA</v>
      </c>
      <c r="D30" s="1">
        <f>IFERROR(__xludf.DUMMYFUNCTION("""COMPUTED_VALUE"""),5.0)</f>
        <v>5</v>
      </c>
      <c r="G30" s="1" t="str">
        <f>IFERROR(__xludf.DUMMYFUNCTION("""COMPUTED_VALUE"""),"FP")</f>
        <v>FP</v>
      </c>
      <c r="H30" s="1" t="str">
        <f>IFERROR(__xludf.DUMMYFUNCTION("""COMPUTED_VALUE"""),"foodProcessor")</f>
        <v>foodProcessor</v>
      </c>
      <c r="I30" s="1">
        <f>IFERROR(__xludf.DUMMYFUNCTION("""COMPUTED_VALUE"""),12.0)</f>
        <v>12</v>
      </c>
      <c r="J30" s="1" t="str">
        <f>IFERROR(__xludf.DUMMYFUNCTION("""COMPUTED_VALUE"""),"FOOD_INDUSTRIES")</f>
        <v>FOOD_INDUSTRIES</v>
      </c>
    </row>
    <row r="31">
      <c r="A31" s="1" t="str">
        <f>IFERROR(__xludf.DUMMYFUNCTION("""COMPUTED_VALUE"""),"AML-ABH")</f>
        <v>AML-ABH</v>
      </c>
      <c r="B31" s="1" t="str">
        <f>IFERROR(__xludf.DUMMYFUNCTION("""COMPUTED_VALUE"""),"AML")</f>
        <v>AML</v>
      </c>
      <c r="C31" s="1" t="str">
        <f>IFERROR(__xludf.DUMMYFUNCTION("""COMPUTED_VALUE"""),"ABH")</f>
        <v>ABH</v>
      </c>
      <c r="D31" s="1">
        <f>IFERROR(__xludf.DUMMYFUNCTION("""COMPUTED_VALUE"""),10.0)</f>
        <v>10</v>
      </c>
      <c r="G31" s="1" t="str">
        <f>IFERROR(__xludf.DUMMYFUNCTION("""COMPUTED_VALUE"""),"FRM")</f>
        <v>FRM</v>
      </c>
      <c r="H31" s="1" t="str">
        <f>IFERROR(__xludf.DUMMYFUNCTION("""COMPUTED_VALUE"""),"farm")</f>
        <v>farm</v>
      </c>
      <c r="I31" s="1">
        <f>IFERROR(__xludf.DUMMYFUNCTION("""COMPUTED_VALUE"""),30.0)</f>
        <v>30</v>
      </c>
      <c r="J31" s="1" t="str">
        <f>IFERROR(__xludf.DUMMYFUNCTION("""COMPUTED_VALUE"""),"AGRICULTURE")</f>
        <v>AGRICULTURE</v>
      </c>
    </row>
    <row r="32">
      <c r="A32" s="1" t="str">
        <f>IFERROR(__xludf.DUMMYFUNCTION("""COMPUTED_VALUE"""),"AML-ADE")</f>
        <v>AML-ADE</v>
      </c>
      <c r="B32" s="1" t="str">
        <f>IFERROR(__xludf.DUMMYFUNCTION("""COMPUTED_VALUE"""),"AML")</f>
        <v>AML</v>
      </c>
      <c r="C32" s="1" t="str">
        <f>IFERROR(__xludf.DUMMYFUNCTION("""COMPUTED_VALUE"""),"ADE")</f>
        <v>ADE</v>
      </c>
      <c r="D32" s="1">
        <f>IFERROR(__xludf.DUMMYFUNCTION("""COMPUTED_VALUE"""),6.0)</f>
        <v>6</v>
      </c>
      <c r="G32" s="1" t="str">
        <f>IFERROR(__xludf.DUMMYFUNCTION("""COMPUTED_VALUE"""),"FS")</f>
        <v>FS</v>
      </c>
      <c r="H32" s="1" t="str">
        <f>IFERROR(__xludf.DUMMYFUNCTION("""COMPUTED_VALUE"""),"fineSmithy")</f>
        <v>fineSmithy</v>
      </c>
      <c r="I32" s="1">
        <f>IFERROR(__xludf.DUMMYFUNCTION("""COMPUTED_VALUE"""),25.0)</f>
        <v>25</v>
      </c>
      <c r="J32" s="1" t="str">
        <f>IFERROR(__xludf.DUMMYFUNCTION("""COMPUTED_VALUE"""),"METALLURGY")</f>
        <v>METALLURGY</v>
      </c>
    </row>
    <row r="33">
      <c r="A33" s="1" t="str">
        <f>IFERROR(__xludf.DUMMYFUNCTION("""COMPUTED_VALUE"""),"AML-ASE")</f>
        <v>AML-ASE</v>
      </c>
      <c r="B33" s="1" t="str">
        <f>IFERROR(__xludf.DUMMYFUNCTION("""COMPUTED_VALUE"""),"AML")</f>
        <v>AML</v>
      </c>
      <c r="C33" s="1" t="str">
        <f>IFERROR(__xludf.DUMMYFUNCTION("""COMPUTED_VALUE"""),"ASE")</f>
        <v>ASE</v>
      </c>
      <c r="D33" s="1">
        <f>IFERROR(__xludf.DUMMYFUNCTION("""COMPUTED_VALUE"""),6.0)</f>
        <v>6</v>
      </c>
      <c r="G33" s="1" t="str">
        <f>IFERROR(__xludf.DUMMYFUNCTION("""COMPUTED_VALUE"""),"GF")</f>
        <v>GF</v>
      </c>
      <c r="H33" s="1" t="str">
        <f>IFERROR(__xludf.DUMMYFUNCTION("""COMPUTED_VALUE"""),"glassFurnace")</f>
        <v>glassFurnace</v>
      </c>
      <c r="I33" s="1">
        <f>IFERROR(__xludf.DUMMYFUNCTION("""COMPUTED_VALUE"""),27.0)</f>
        <v>27</v>
      </c>
      <c r="J33" s="1" t="str">
        <f>IFERROR(__xludf.DUMMYFUNCTION("""COMPUTED_VALUE"""),"METALLURGY")</f>
        <v>METALLURGY</v>
      </c>
    </row>
    <row r="34">
      <c r="A34" s="1" t="str">
        <f>IFERROR(__xludf.DUMMYFUNCTION("""COMPUTED_VALUE"""),"AML-TRU")</f>
        <v>AML-TRU</v>
      </c>
      <c r="B34" s="1" t="str">
        <f>IFERROR(__xludf.DUMMYFUNCTION("""COMPUTED_VALUE"""),"AML")</f>
        <v>AML</v>
      </c>
      <c r="C34" s="1" t="str">
        <f>IFERROR(__xludf.DUMMYFUNCTION("""COMPUTED_VALUE"""),"TRU")</f>
        <v>TRU</v>
      </c>
      <c r="D34" s="1">
        <f>IFERROR(__xludf.DUMMYFUNCTION("""COMPUTED_VALUE"""),6.0)</f>
        <v>6</v>
      </c>
      <c r="G34" s="1" t="str">
        <f>IFERROR(__xludf.DUMMYFUNCTION("""COMPUTED_VALUE"""),"HB1")</f>
        <v>HB1</v>
      </c>
      <c r="H34" s="1" t="str">
        <f>IFERROR(__xludf.DUMMYFUNCTION("""COMPUTED_VALUE"""),"habitationPioneer")</f>
        <v>habitationPioneer</v>
      </c>
      <c r="I34" s="1">
        <f>IFERROR(__xludf.DUMMYFUNCTION("""COMPUTED_VALUE"""),10.0)</f>
        <v>10</v>
      </c>
      <c r="J34" s="1"/>
    </row>
    <row r="35">
      <c r="A35" s="1" t="str">
        <f>IFERROR(__xludf.DUMMYFUNCTION("""COMPUTED_VALUE"""),"APF-ABH")</f>
        <v>APF-ABH</v>
      </c>
      <c r="B35" s="1" t="str">
        <f>IFERROR(__xludf.DUMMYFUNCTION("""COMPUTED_VALUE"""),"APF")</f>
        <v>APF</v>
      </c>
      <c r="C35" s="1" t="str">
        <f>IFERROR(__xludf.DUMMYFUNCTION("""COMPUTED_VALUE"""),"ABH")</f>
        <v>ABH</v>
      </c>
      <c r="D35" s="1">
        <f>IFERROR(__xludf.DUMMYFUNCTION("""COMPUTED_VALUE"""),6.0)</f>
        <v>6</v>
      </c>
      <c r="G35" s="1" t="str">
        <f>IFERROR(__xludf.DUMMYFUNCTION("""COMPUTED_VALUE"""),"HB2")</f>
        <v>HB2</v>
      </c>
      <c r="H35" s="1" t="str">
        <f>IFERROR(__xludf.DUMMYFUNCTION("""COMPUTED_VALUE"""),"habitationSettler")</f>
        <v>habitationSettler</v>
      </c>
      <c r="I35" s="1">
        <f>IFERROR(__xludf.DUMMYFUNCTION("""COMPUTED_VALUE"""),12.0)</f>
        <v>12</v>
      </c>
      <c r="J35" s="1"/>
    </row>
    <row r="36">
      <c r="A36" s="1" t="str">
        <f>IFERROR(__xludf.DUMMYFUNCTION("""COMPUTED_VALUE"""),"APF-ADE")</f>
        <v>APF-ADE</v>
      </c>
      <c r="B36" s="1" t="str">
        <f>IFERROR(__xludf.DUMMYFUNCTION("""COMPUTED_VALUE"""),"APF")</f>
        <v>APF</v>
      </c>
      <c r="C36" s="1" t="str">
        <f>IFERROR(__xludf.DUMMYFUNCTION("""COMPUTED_VALUE"""),"ADE")</f>
        <v>ADE</v>
      </c>
      <c r="D36" s="1">
        <f>IFERROR(__xludf.DUMMYFUNCTION("""COMPUTED_VALUE"""),10.0)</f>
        <v>10</v>
      </c>
      <c r="G36" s="1" t="str">
        <f>IFERROR(__xludf.DUMMYFUNCTION("""COMPUTED_VALUE"""),"HB3")</f>
        <v>HB3</v>
      </c>
      <c r="H36" s="1" t="str">
        <f>IFERROR(__xludf.DUMMYFUNCTION("""COMPUTED_VALUE"""),"habitationTechnician")</f>
        <v>habitationTechnician</v>
      </c>
      <c r="I36" s="1">
        <f>IFERROR(__xludf.DUMMYFUNCTION("""COMPUTED_VALUE"""),14.0)</f>
        <v>14</v>
      </c>
      <c r="J36" s="1"/>
    </row>
    <row r="37">
      <c r="A37" s="1" t="str">
        <f>IFERROR(__xludf.DUMMYFUNCTION("""COMPUTED_VALUE"""),"APF-ASE")</f>
        <v>APF-ASE</v>
      </c>
      <c r="B37" s="1" t="str">
        <f>IFERROR(__xludf.DUMMYFUNCTION("""COMPUTED_VALUE"""),"APF")</f>
        <v>APF</v>
      </c>
      <c r="C37" s="1" t="str">
        <f>IFERROR(__xludf.DUMMYFUNCTION("""COMPUTED_VALUE"""),"ASE")</f>
        <v>ASE</v>
      </c>
      <c r="D37" s="1">
        <f>IFERROR(__xludf.DUMMYFUNCTION("""COMPUTED_VALUE"""),10.0)</f>
        <v>10</v>
      </c>
      <c r="G37" s="1" t="str">
        <f>IFERROR(__xludf.DUMMYFUNCTION("""COMPUTED_VALUE"""),"HB4")</f>
        <v>HB4</v>
      </c>
      <c r="H37" s="1" t="str">
        <f>IFERROR(__xludf.DUMMYFUNCTION("""COMPUTED_VALUE"""),"habitationEngineer")</f>
        <v>habitationEngineer</v>
      </c>
      <c r="I37" s="1">
        <f>IFERROR(__xludf.DUMMYFUNCTION("""COMPUTED_VALUE"""),16.0)</f>
        <v>16</v>
      </c>
      <c r="J37" s="1"/>
    </row>
    <row r="38">
      <c r="A38" s="1" t="str">
        <f>IFERROR(__xludf.DUMMYFUNCTION("""COMPUTED_VALUE"""),"APF-TRU")</f>
        <v>APF-TRU</v>
      </c>
      <c r="B38" s="1" t="str">
        <f>IFERROR(__xludf.DUMMYFUNCTION("""COMPUTED_VALUE"""),"APF")</f>
        <v>APF</v>
      </c>
      <c r="C38" s="1" t="str">
        <f>IFERROR(__xludf.DUMMYFUNCTION("""COMPUTED_VALUE"""),"TRU")</f>
        <v>TRU</v>
      </c>
      <c r="D38" s="1">
        <f>IFERROR(__xludf.DUMMYFUNCTION("""COMPUTED_VALUE"""),8.0)</f>
        <v>8</v>
      </c>
      <c r="G38" s="1" t="str">
        <f>IFERROR(__xludf.DUMMYFUNCTION("""COMPUTED_VALUE"""),"HB5")</f>
        <v>HB5</v>
      </c>
      <c r="H38" s="1" t="str">
        <f>IFERROR(__xludf.DUMMYFUNCTION("""COMPUTED_VALUE"""),"habitationScientist")</f>
        <v>habitationScientist</v>
      </c>
      <c r="I38" s="1">
        <f>IFERROR(__xludf.DUMMYFUNCTION("""COMPUTED_VALUE"""),18.0)</f>
        <v>18</v>
      </c>
      <c r="J38" s="1"/>
    </row>
    <row r="39">
      <c r="A39" s="1" t="str">
        <f>IFERROR(__xludf.DUMMYFUNCTION("""COMPUTED_VALUE"""),"ART-DEC")</f>
        <v>ART-DEC</v>
      </c>
      <c r="B39" s="1" t="str">
        <f>IFERROR(__xludf.DUMMYFUNCTION("""COMPUTED_VALUE"""),"ART")</f>
        <v>ART</v>
      </c>
      <c r="C39" s="1" t="str">
        <f>IFERROR(__xludf.DUMMYFUNCTION("""COMPUTED_VALUE"""),"DEC")</f>
        <v>DEC</v>
      </c>
      <c r="D39" s="1">
        <f>IFERROR(__xludf.DUMMYFUNCTION("""COMPUTED_VALUE"""),10.0)</f>
        <v>10</v>
      </c>
      <c r="G39" s="1" t="str">
        <f>IFERROR(__xludf.DUMMYFUNCTION("""COMPUTED_VALUE"""),"HBB")</f>
        <v>HBB</v>
      </c>
      <c r="H39" s="1" t="str">
        <f>IFERROR(__xludf.DUMMYFUNCTION("""COMPUTED_VALUE"""),"habitationBarracks")</f>
        <v>habitationBarracks</v>
      </c>
      <c r="I39" s="1">
        <f>IFERROR(__xludf.DUMMYFUNCTION("""COMPUTED_VALUE"""),14.0)</f>
        <v>14</v>
      </c>
      <c r="J39" s="1"/>
    </row>
    <row r="40">
      <c r="A40" s="1" t="str">
        <f>IFERROR(__xludf.DUMMYFUNCTION("""COMPUTED_VALUE"""),"ART-LBH")</f>
        <v>ART-LBH</v>
      </c>
      <c r="B40" s="1" t="str">
        <f>IFERROR(__xludf.DUMMYFUNCTION("""COMPUTED_VALUE"""),"ART")</f>
        <v>ART</v>
      </c>
      <c r="C40" s="1" t="str">
        <f>IFERROR(__xludf.DUMMYFUNCTION("""COMPUTED_VALUE"""),"LBH")</f>
        <v>LBH</v>
      </c>
      <c r="D40" s="1">
        <f>IFERROR(__xludf.DUMMYFUNCTION("""COMPUTED_VALUE"""),24.0)</f>
        <v>24</v>
      </c>
      <c r="G40" s="1" t="str">
        <f>IFERROR(__xludf.DUMMYFUNCTION("""COMPUTED_VALUE"""),"HBC")</f>
        <v>HBC</v>
      </c>
      <c r="H40" s="1" t="str">
        <f>IFERROR(__xludf.DUMMYFUNCTION("""COMPUTED_VALUE"""),"habitationCommune")</f>
        <v>habitationCommune</v>
      </c>
      <c r="I40" s="1">
        <f>IFERROR(__xludf.DUMMYFUNCTION("""COMPUTED_VALUE"""),17.0)</f>
        <v>17</v>
      </c>
      <c r="J40" s="1"/>
    </row>
    <row r="41">
      <c r="A41" s="1" t="str">
        <f>IFERROR(__xludf.DUMMYFUNCTION("""COMPUTED_VALUE"""),"ART-LDE")</f>
        <v>ART-LDE</v>
      </c>
      <c r="B41" s="1" t="str">
        <f>IFERROR(__xludf.DUMMYFUNCTION("""COMPUTED_VALUE"""),"ART")</f>
        <v>ART</v>
      </c>
      <c r="C41" s="1" t="str">
        <f>IFERROR(__xludf.DUMMYFUNCTION("""COMPUTED_VALUE"""),"LDE")</f>
        <v>LDE</v>
      </c>
      <c r="D41" s="1">
        <f>IFERROR(__xludf.DUMMYFUNCTION("""COMPUTED_VALUE"""),32.0)</f>
        <v>32</v>
      </c>
      <c r="G41" s="1" t="str">
        <f>IFERROR(__xludf.DUMMYFUNCTION("""COMPUTED_VALUE"""),"HBL")</f>
        <v>HBL</v>
      </c>
      <c r="H41" s="1" t="str">
        <f>IFERROR(__xludf.DUMMYFUNCTION("""COMPUTED_VALUE"""),"habitationLuxury")</f>
        <v>habitationLuxury</v>
      </c>
      <c r="I41" s="1">
        <f>IFERROR(__xludf.DUMMYFUNCTION("""COMPUTED_VALUE"""),22.0)</f>
        <v>22</v>
      </c>
      <c r="J41" s="1"/>
    </row>
    <row r="42">
      <c r="A42" s="1" t="str">
        <f>IFERROR(__xludf.DUMMYFUNCTION("""COMPUTED_VALUE"""),"ART-LSE")</f>
        <v>ART-LSE</v>
      </c>
      <c r="B42" s="1" t="str">
        <f>IFERROR(__xludf.DUMMYFUNCTION("""COMPUTED_VALUE"""),"ART")</f>
        <v>ART</v>
      </c>
      <c r="C42" s="1" t="str">
        <f>IFERROR(__xludf.DUMMYFUNCTION("""COMPUTED_VALUE"""),"LSE")</f>
        <v>LSE</v>
      </c>
      <c r="D42" s="1">
        <f>IFERROR(__xludf.DUMMYFUNCTION("""COMPUTED_VALUE"""),32.0)</f>
        <v>32</v>
      </c>
      <c r="G42" s="1" t="str">
        <f>IFERROR(__xludf.DUMMYFUNCTION("""COMPUTED_VALUE"""),"HBM")</f>
        <v>HBM</v>
      </c>
      <c r="H42" s="1" t="str">
        <f>IFERROR(__xludf.DUMMYFUNCTION("""COMPUTED_VALUE"""),"habitationManagers")</f>
        <v>habitationManagers</v>
      </c>
      <c r="I42" s="1">
        <f>IFERROR(__xludf.DUMMYFUNCTION("""COMPUTED_VALUE"""),20.0)</f>
        <v>20</v>
      </c>
      <c r="J42" s="1"/>
    </row>
    <row r="43">
      <c r="A43" s="1" t="str">
        <f>IFERROR(__xludf.DUMMYFUNCTION("""COMPUTED_VALUE"""),"ART-LTA")</f>
        <v>ART-LTA</v>
      </c>
      <c r="B43" s="1" t="str">
        <f>IFERROR(__xludf.DUMMYFUNCTION("""COMPUTED_VALUE"""),"ART")</f>
        <v>ART</v>
      </c>
      <c r="C43" s="1" t="str">
        <f>IFERROR(__xludf.DUMMYFUNCTION("""COMPUTED_VALUE"""),"LTA")</f>
        <v>LTA</v>
      </c>
      <c r="D43" s="1">
        <f>IFERROR(__xludf.DUMMYFUNCTION("""COMPUTED_VALUE"""),16.0)</f>
        <v>16</v>
      </c>
      <c r="G43" s="1" t="str">
        <f>IFERROR(__xludf.DUMMYFUNCTION("""COMPUTED_VALUE"""),"HOS")</f>
        <v>HOS</v>
      </c>
      <c r="H43" s="1" t="str">
        <f>IFERROR(__xludf.DUMMYFUNCTION("""COMPUTED_VALUE"""),"planetaryProjectHealthBig")</f>
        <v>planetaryProjectHealthBig</v>
      </c>
      <c r="I43" s="1">
        <f>IFERROR(__xludf.DUMMYFUNCTION("""COMPUTED_VALUE"""),1000.0)</f>
        <v>1000</v>
      </c>
      <c r="J43" s="1"/>
    </row>
    <row r="44">
      <c r="A44" s="1" t="str">
        <f>IFERROR(__xludf.DUMMYFUNCTION("""COMPUTED_VALUE"""),"ART-MCG")</f>
        <v>ART-MCG</v>
      </c>
      <c r="B44" s="1" t="str">
        <f>IFERROR(__xludf.DUMMYFUNCTION("""COMPUTED_VALUE"""),"ART")</f>
        <v>ART</v>
      </c>
      <c r="C44" s="1" t="str">
        <f>IFERROR(__xludf.DUMMYFUNCTION("""COMPUTED_VALUE"""),"MCG")</f>
        <v>MCG</v>
      </c>
      <c r="D44" s="1">
        <f>IFERROR(__xludf.DUMMYFUNCTION("""COMPUTED_VALUE"""),300.0)</f>
        <v>300</v>
      </c>
      <c r="G44" s="1" t="str">
        <f>IFERROR(__xludf.DUMMYFUNCTION("""COMPUTED_VALUE"""),"HWP")</f>
        <v>HWP</v>
      </c>
      <c r="H44" s="1" t="str">
        <f>IFERROR(__xludf.DUMMYFUNCTION("""COMPUTED_VALUE"""),"hullWeldingPlant")</f>
        <v>hullWeldingPlant</v>
      </c>
      <c r="I44" s="1">
        <f>IFERROR(__xludf.DUMMYFUNCTION("""COMPUTED_VALUE"""),25.0)</f>
        <v>25</v>
      </c>
      <c r="J44" s="1" t="str">
        <f>IFERROR(__xludf.DUMMYFUNCTION("""COMPUTED_VALUE"""),"METALLURGY")</f>
        <v>METALLURGY</v>
      </c>
    </row>
    <row r="45">
      <c r="A45" s="1" t="str">
        <f>IFERROR(__xludf.DUMMYFUNCTION("""COMPUTED_VALUE"""),"ART-TRU")</f>
        <v>ART-TRU</v>
      </c>
      <c r="B45" s="1" t="str">
        <f>IFERROR(__xludf.DUMMYFUNCTION("""COMPUTED_VALUE"""),"ART")</f>
        <v>ART</v>
      </c>
      <c r="C45" s="1" t="str">
        <f>IFERROR(__xludf.DUMMYFUNCTION("""COMPUTED_VALUE"""),"TRU")</f>
        <v>TRU</v>
      </c>
      <c r="D45" s="1">
        <f>IFERROR(__xludf.DUMMYFUNCTION("""COMPUTED_VALUE"""),20.0)</f>
        <v>20</v>
      </c>
      <c r="G45" s="1" t="str">
        <f>IFERROR(__xludf.DUMMYFUNCTION("""COMPUTED_VALUE"""),"HYF")</f>
        <v>HYF</v>
      </c>
      <c r="H45" s="1" t="str">
        <f>IFERROR(__xludf.DUMMYFUNCTION("""COMPUTED_VALUE"""),"hydroponicsFarm")</f>
        <v>hydroponicsFarm</v>
      </c>
      <c r="I45" s="1">
        <f>IFERROR(__xludf.DUMMYFUNCTION("""COMPUTED_VALUE"""),15.0)</f>
        <v>15</v>
      </c>
      <c r="J45" s="1" t="str">
        <f>IFERROR(__xludf.DUMMYFUNCTION("""COMPUTED_VALUE"""),"AGRICULTURE")</f>
        <v>AGRICULTURE</v>
      </c>
    </row>
    <row r="46">
      <c r="A46" s="1" t="str">
        <f>IFERROR(__xludf.DUMMYFUNCTION("""COMPUTED_VALUE"""),"ART-WOR")</f>
        <v>ART-WOR</v>
      </c>
      <c r="B46" s="1" t="str">
        <f>IFERROR(__xludf.DUMMYFUNCTION("""COMPUTED_VALUE"""),"ART")</f>
        <v>ART</v>
      </c>
      <c r="C46" s="1" t="str">
        <f>IFERROR(__xludf.DUMMYFUNCTION("""COMPUTED_VALUE"""),"WOR")</f>
        <v>WOR</v>
      </c>
      <c r="D46" s="1">
        <f>IFERROR(__xludf.DUMMYFUNCTION("""COMPUTED_VALUE"""),2.0)</f>
        <v>2</v>
      </c>
      <c r="G46" s="1" t="str">
        <f>IFERROR(__xludf.DUMMYFUNCTION("""COMPUTED_VALUE"""),"INC")</f>
        <v>INC</v>
      </c>
      <c r="H46" s="1" t="str">
        <f>IFERROR(__xludf.DUMMYFUNCTION("""COMPUTED_VALUE"""),"incinerator")</f>
        <v>incinerator</v>
      </c>
      <c r="I46" s="1">
        <f>IFERROR(__xludf.DUMMYFUNCTION("""COMPUTED_VALUE"""),10.0)</f>
        <v>10</v>
      </c>
      <c r="J46" s="1" t="str">
        <f>IFERROR(__xludf.DUMMYFUNCTION("""COMPUTED_VALUE"""),"RESOURCE_EXTRACTION")</f>
        <v>RESOURCE_EXTRACTION</v>
      </c>
    </row>
    <row r="47">
      <c r="A47" s="1" t="str">
        <f>IFERROR(__xludf.DUMMYFUNCTION("""COMPUTED_VALUE"""),"ASM-LBH")</f>
        <v>ASM-LBH</v>
      </c>
      <c r="B47" s="1" t="str">
        <f>IFERROR(__xludf.DUMMYFUNCTION("""COMPUTED_VALUE"""),"ASM")</f>
        <v>ASM</v>
      </c>
      <c r="C47" s="1" t="str">
        <f>IFERROR(__xludf.DUMMYFUNCTION("""COMPUTED_VALUE"""),"LBH")</f>
        <v>LBH</v>
      </c>
      <c r="D47" s="1">
        <f>IFERROR(__xludf.DUMMYFUNCTION("""COMPUTED_VALUE"""),4.0)</f>
        <v>4</v>
      </c>
      <c r="G47" s="1" t="str">
        <f>IFERROR(__xludf.DUMMYFUNCTION("""COMPUTED_VALUE"""),"INF")</f>
        <v>INF</v>
      </c>
      <c r="H47" s="1" t="str">
        <f>IFERROR(__xludf.DUMMYFUNCTION("""COMPUTED_VALUE"""),"planetaryProjectHealthSmall")</f>
        <v>planetaryProjectHealthSmall</v>
      </c>
      <c r="I47" s="1">
        <f>IFERROR(__xludf.DUMMYFUNCTION("""COMPUTED_VALUE"""),500.0)</f>
        <v>500</v>
      </c>
      <c r="J47" s="1"/>
    </row>
    <row r="48">
      <c r="A48" s="1" t="str">
        <f>IFERROR(__xludf.DUMMYFUNCTION("""COMPUTED_VALUE"""),"ASM-LDE")</f>
        <v>ASM-LDE</v>
      </c>
      <c r="B48" s="1" t="str">
        <f>IFERROR(__xludf.DUMMYFUNCTION("""COMPUTED_VALUE"""),"ASM")</f>
        <v>ASM</v>
      </c>
      <c r="C48" s="1" t="str">
        <f>IFERROR(__xludf.DUMMYFUNCTION("""COMPUTED_VALUE"""),"LDE")</f>
        <v>LDE</v>
      </c>
      <c r="D48" s="1">
        <f>IFERROR(__xludf.DUMMYFUNCTION("""COMPUTED_VALUE"""),2.0)</f>
        <v>2</v>
      </c>
      <c r="G48" s="1" t="str">
        <f>IFERROR(__xludf.DUMMYFUNCTION("""COMPUTED_VALUE"""),"IVP")</f>
        <v>IVP</v>
      </c>
      <c r="H48" s="1" t="str">
        <f>IFERROR(__xludf.DUMMYFUNCTION("""COMPUTED_VALUE"""),"inVitroPlant")</f>
        <v>inVitroPlant</v>
      </c>
      <c r="I48" s="1">
        <f>IFERROR(__xludf.DUMMYFUNCTION("""COMPUTED_VALUE"""),32.0)</f>
        <v>32</v>
      </c>
      <c r="J48" s="1" t="str">
        <f>IFERROR(__xludf.DUMMYFUNCTION("""COMPUTED_VALUE"""),"FOOD_INDUSTRIES")</f>
        <v>FOOD_INDUSTRIES</v>
      </c>
    </row>
    <row r="49">
      <c r="A49" s="1" t="str">
        <f>IFERROR(__xludf.DUMMYFUNCTION("""COMPUTED_VALUE"""),"ASM-LSE")</f>
        <v>ASM-LSE</v>
      </c>
      <c r="B49" s="1" t="str">
        <f>IFERROR(__xludf.DUMMYFUNCTION("""COMPUTED_VALUE"""),"ASM")</f>
        <v>ASM</v>
      </c>
      <c r="C49" s="1" t="str">
        <f>IFERROR(__xludf.DUMMYFUNCTION("""COMPUTED_VALUE"""),"LSE")</f>
        <v>LSE</v>
      </c>
      <c r="D49" s="1">
        <f>IFERROR(__xludf.DUMMYFUNCTION("""COMPUTED_VALUE"""),6.0)</f>
        <v>6</v>
      </c>
      <c r="G49" s="1" t="str">
        <f>IFERROR(__xludf.DUMMYFUNCTION("""COMPUTED_VALUE"""),"LAB")</f>
        <v>LAB</v>
      </c>
      <c r="H49" s="1" t="str">
        <f>IFERROR(__xludf.DUMMYFUNCTION("""COMPUTED_VALUE"""),"laboratory")</f>
        <v>laboratory</v>
      </c>
      <c r="I49" s="1">
        <f>IFERROR(__xludf.DUMMYFUNCTION("""COMPUTED_VALUE"""),25.0)</f>
        <v>25</v>
      </c>
      <c r="J49" s="1" t="str">
        <f>IFERROR(__xludf.DUMMYFUNCTION("""COMPUTED_VALUE"""),"CHEMISTRY")</f>
        <v>CHEMISTRY</v>
      </c>
    </row>
    <row r="50">
      <c r="A50" s="1" t="str">
        <f>IFERROR(__xludf.DUMMYFUNCTION("""COMPUTED_VALUE"""),"ASM-LTA")</f>
        <v>ASM-LTA</v>
      </c>
      <c r="B50" s="1" t="str">
        <f>IFERROR(__xludf.DUMMYFUNCTION("""COMPUTED_VALUE"""),"ASM")</f>
        <v>ASM</v>
      </c>
      <c r="C50" s="1" t="str">
        <f>IFERROR(__xludf.DUMMYFUNCTION("""COMPUTED_VALUE"""),"LTA")</f>
        <v>LTA</v>
      </c>
      <c r="D50" s="1">
        <f>IFERROR(__xludf.DUMMYFUNCTION("""COMPUTED_VALUE"""),2.0)</f>
        <v>2</v>
      </c>
      <c r="G50" s="1" t="str">
        <f>IFERROR(__xludf.DUMMYFUNCTION("""COMPUTED_VALUE"""),"LIB")</f>
        <v>LIB</v>
      </c>
      <c r="H50" s="1" t="str">
        <f>IFERROR(__xludf.DUMMYFUNCTION("""COMPUTED_VALUE"""),"planetaryProjectEducationSmall")</f>
        <v>planetaryProjectEducationSmall</v>
      </c>
      <c r="I50" s="1">
        <f>IFERROR(__xludf.DUMMYFUNCTION("""COMPUTED_VALUE"""),500.0)</f>
        <v>500</v>
      </c>
      <c r="J50" s="1"/>
    </row>
    <row r="51">
      <c r="A51" s="1" t="str">
        <f>IFERROR(__xludf.DUMMYFUNCTION("""COMPUTED_VALUE"""),"ASM-TRU")</f>
        <v>ASM-TRU</v>
      </c>
      <c r="B51" s="1" t="str">
        <f>IFERROR(__xludf.DUMMYFUNCTION("""COMPUTED_VALUE"""),"ASM")</f>
        <v>ASM</v>
      </c>
      <c r="C51" s="1" t="str">
        <f>IFERROR(__xludf.DUMMYFUNCTION("""COMPUTED_VALUE"""),"TRU")</f>
        <v>TRU</v>
      </c>
      <c r="D51" s="1">
        <f>IFERROR(__xludf.DUMMYFUNCTION("""COMPUTED_VALUE"""),4.0)</f>
        <v>4</v>
      </c>
      <c r="G51" s="1" t="str">
        <f>IFERROR(__xludf.DUMMYFUNCTION("""COMPUTED_VALUE"""),"LM")</f>
        <v>LM</v>
      </c>
      <c r="H51" s="1" t="str">
        <f>IFERROR(__xludf.DUMMYFUNCTION("""COMPUTED_VALUE"""),"planetaryProjectLocalMarket")</f>
        <v>planetaryProjectLocalMarket</v>
      </c>
      <c r="I51" s="1">
        <f>IFERROR(__xludf.DUMMYFUNCTION("""COMPUTED_VALUE"""),500.0)</f>
        <v>500</v>
      </c>
      <c r="J51" s="1"/>
    </row>
    <row r="52">
      <c r="A52" s="1" t="str">
        <f>IFERROR(__xludf.DUMMYFUNCTION("""COMPUTED_VALUE"""),"BMP-BBH")</f>
        <v>BMP-BBH</v>
      </c>
      <c r="B52" s="1" t="str">
        <f>IFERROR(__xludf.DUMMYFUNCTION("""COMPUTED_VALUE"""),"BMP")</f>
        <v>BMP</v>
      </c>
      <c r="C52" s="1" t="str">
        <f>IFERROR(__xludf.DUMMYFUNCTION("""COMPUTED_VALUE"""),"BBH")</f>
        <v>BBH</v>
      </c>
      <c r="D52" s="1">
        <f>IFERROR(__xludf.DUMMYFUNCTION("""COMPUTED_VALUE"""),4.0)</f>
        <v>4</v>
      </c>
      <c r="G52" s="1" t="str">
        <f>IFERROR(__xludf.DUMMYFUNCTION("""COMPUTED_VALUE"""),"MCA")</f>
        <v>MCA</v>
      </c>
      <c r="H52" s="1" t="str">
        <f>IFERROR(__xludf.DUMMYFUNCTION("""COMPUTED_VALUE"""),"mediumComponentsAssembly")</f>
        <v>mediumComponentsAssembly</v>
      </c>
      <c r="I52" s="1">
        <f>IFERROR(__xludf.DUMMYFUNCTION("""COMPUTED_VALUE"""),35.0)</f>
        <v>35</v>
      </c>
      <c r="J52" s="1" t="str">
        <f>IFERROR(__xludf.DUMMYFUNCTION("""COMPUTED_VALUE"""),"MANUFACTURING")</f>
        <v>MANUFACTURING</v>
      </c>
    </row>
    <row r="53">
      <c r="A53" s="1" t="str">
        <f>IFERROR(__xludf.DUMMYFUNCTION("""COMPUTED_VALUE"""),"BMP-BDE")</f>
        <v>BMP-BDE</v>
      </c>
      <c r="B53" s="1" t="str">
        <f>IFERROR(__xludf.DUMMYFUNCTION("""COMPUTED_VALUE"""),"BMP")</f>
        <v>BMP</v>
      </c>
      <c r="C53" s="1" t="str">
        <f>IFERROR(__xludf.DUMMYFUNCTION("""COMPUTED_VALUE"""),"BDE")</f>
        <v>BDE</v>
      </c>
      <c r="D53" s="1">
        <f>IFERROR(__xludf.DUMMYFUNCTION("""COMPUTED_VALUE"""),2.0)</f>
        <v>2</v>
      </c>
      <c r="G53" s="1" t="str">
        <f>IFERROR(__xludf.DUMMYFUNCTION("""COMPUTED_VALUE"""),"ORC")</f>
        <v>ORC</v>
      </c>
      <c r="H53" s="1" t="str">
        <f>IFERROR(__xludf.DUMMYFUNCTION("""COMPUTED_VALUE"""),"orchard")</f>
        <v>orchard</v>
      </c>
      <c r="I53" s="1">
        <f>IFERROR(__xludf.DUMMYFUNCTION("""COMPUTED_VALUE"""),120.0)</f>
        <v>120</v>
      </c>
      <c r="J53" s="1" t="str">
        <f>IFERROR(__xludf.DUMMYFUNCTION("""COMPUTED_VALUE"""),"AGRICULTURE")</f>
        <v>AGRICULTURE</v>
      </c>
    </row>
    <row r="54">
      <c r="A54" s="1" t="str">
        <f>IFERROR(__xludf.DUMMYFUNCTION("""COMPUTED_VALUE"""),"BMP-BSE")</f>
        <v>BMP-BSE</v>
      </c>
      <c r="B54" s="1" t="str">
        <f>IFERROR(__xludf.DUMMYFUNCTION("""COMPUTED_VALUE"""),"BMP")</f>
        <v>BMP</v>
      </c>
      <c r="C54" s="1" t="str">
        <f>IFERROR(__xludf.DUMMYFUNCTION("""COMPUTED_VALUE"""),"BSE")</f>
        <v>BSE</v>
      </c>
      <c r="D54" s="1">
        <f>IFERROR(__xludf.DUMMYFUNCTION("""COMPUTED_VALUE"""),6.0)</f>
        <v>6</v>
      </c>
      <c r="G54" s="1" t="str">
        <f>IFERROR(__xludf.DUMMYFUNCTION("""COMPUTED_VALUE"""),"PAC")</f>
        <v>PAC</v>
      </c>
      <c r="H54" s="1" t="str">
        <f>IFERROR(__xludf.DUMMYFUNCTION("""COMPUTED_VALUE"""),"packagingCenter")</f>
        <v>packagingCenter</v>
      </c>
      <c r="I54" s="1">
        <f>IFERROR(__xludf.DUMMYFUNCTION("""COMPUTED_VALUE"""),35.0)</f>
        <v>35</v>
      </c>
      <c r="J54" s="1" t="str">
        <f>IFERROR(__xludf.DUMMYFUNCTION("""COMPUTED_VALUE"""),"MANUFACTURING")</f>
        <v>MANUFACTURING</v>
      </c>
    </row>
    <row r="55">
      <c r="A55" s="1" t="str">
        <f>IFERROR(__xludf.DUMMYFUNCTION("""COMPUTED_VALUE"""),"CFL-FFC")</f>
        <v>CFL-FFC</v>
      </c>
      <c r="B55" s="1" t="str">
        <f>IFERROR(__xludf.DUMMYFUNCTION("""COMPUTED_VALUE"""),"CFL")</f>
        <v>CFL</v>
      </c>
      <c r="C55" s="1" t="str">
        <f>IFERROR(__xludf.DUMMYFUNCTION("""COMPUTED_VALUE"""),"FFC")</f>
        <v>FFC</v>
      </c>
      <c r="D55" s="1">
        <f>IFERROR(__xludf.DUMMYFUNCTION("""COMPUTED_VALUE"""),1.0)</f>
        <v>1</v>
      </c>
      <c r="G55" s="1" t="str">
        <f>IFERROR(__xludf.DUMMYFUNCTION("""COMPUTED_VALUE"""),"PAR")</f>
        <v>PAR</v>
      </c>
      <c r="H55" s="1" t="str">
        <f>IFERROR(__xludf.DUMMYFUNCTION("""COMPUTED_VALUE"""),"planetaryProjectComfortSmall")</f>
        <v>planetaryProjectComfortSmall</v>
      </c>
      <c r="I55" s="1">
        <f>IFERROR(__xludf.DUMMYFUNCTION("""COMPUTED_VALUE"""),500.0)</f>
        <v>500</v>
      </c>
      <c r="J55" s="1"/>
    </row>
    <row r="56">
      <c r="A56" s="1" t="str">
        <f>IFERROR(__xludf.DUMMYFUNCTION("""COMPUTED_VALUE"""),"CFL-RBH")</f>
        <v>CFL-RBH</v>
      </c>
      <c r="B56" s="1" t="str">
        <f>IFERROR(__xludf.DUMMYFUNCTION("""COMPUTED_VALUE"""),"CFL")</f>
        <v>CFL</v>
      </c>
      <c r="C56" s="1" t="str">
        <f>IFERROR(__xludf.DUMMYFUNCTION("""COMPUTED_VALUE"""),"RBH")</f>
        <v>RBH</v>
      </c>
      <c r="D56" s="1">
        <f>IFERROR(__xludf.DUMMYFUNCTION("""COMPUTED_VALUE"""),24.0)</f>
        <v>24</v>
      </c>
      <c r="G56" s="1" t="str">
        <f>IFERROR(__xludf.DUMMYFUNCTION("""COMPUTED_VALUE"""),"PBH")</f>
        <v>PBH</v>
      </c>
      <c r="H56" s="1" t="str">
        <f>IFERROR(__xludf.DUMMYFUNCTION("""COMPUTED_VALUE"""),"planetaryProjectCultureEducation")</f>
        <v>planetaryProjectCultureEducation</v>
      </c>
      <c r="I56" s="1">
        <f>IFERROR(__xludf.DUMMYFUNCTION("""COMPUTED_VALUE"""),1000.0)</f>
        <v>1000</v>
      </c>
      <c r="J56" s="1"/>
    </row>
    <row r="57">
      <c r="A57" s="1" t="str">
        <f>IFERROR(__xludf.DUMMYFUNCTION("""COMPUTED_VALUE"""),"CFL-RDE")</f>
        <v>CFL-RDE</v>
      </c>
      <c r="B57" s="1" t="str">
        <f>IFERROR(__xludf.DUMMYFUNCTION("""COMPUTED_VALUE"""),"CFL")</f>
        <v>CFL</v>
      </c>
      <c r="C57" s="1" t="str">
        <f>IFERROR(__xludf.DUMMYFUNCTION("""COMPUTED_VALUE"""),"RDE")</f>
        <v>RDE</v>
      </c>
      <c r="D57" s="1">
        <f>IFERROR(__xludf.DUMMYFUNCTION("""COMPUTED_VALUE"""),24.0)</f>
        <v>24</v>
      </c>
      <c r="G57" s="1" t="str">
        <f>IFERROR(__xludf.DUMMYFUNCTION("""COMPUTED_VALUE"""),"PHF")</f>
        <v>PHF</v>
      </c>
      <c r="H57" s="1" t="str">
        <f>IFERROR(__xludf.DUMMYFUNCTION("""COMPUTED_VALUE"""),"pharmaFactory")</f>
        <v>pharmaFactory</v>
      </c>
      <c r="I57" s="1">
        <f>IFERROR(__xludf.DUMMYFUNCTION("""COMPUTED_VALUE"""),35.0)</f>
        <v>35</v>
      </c>
      <c r="J57" s="1" t="str">
        <f>IFERROR(__xludf.DUMMYFUNCTION("""COMPUTED_VALUE"""),"CHEMISTRY")</f>
        <v>CHEMISTRY</v>
      </c>
    </row>
    <row r="58">
      <c r="A58" s="1" t="str">
        <f>IFERROR(__xludf.DUMMYFUNCTION("""COMPUTED_VALUE"""),"CFL-RSE")</f>
        <v>CFL-RSE</v>
      </c>
      <c r="B58" s="1" t="str">
        <f>IFERROR(__xludf.DUMMYFUNCTION("""COMPUTED_VALUE"""),"CFL")</f>
        <v>CFL</v>
      </c>
      <c r="C58" s="1" t="str">
        <f>IFERROR(__xludf.DUMMYFUNCTION("""COMPUTED_VALUE"""),"RSE")</f>
        <v>RSE</v>
      </c>
      <c r="D58" s="1">
        <f>IFERROR(__xludf.DUMMYFUNCTION("""COMPUTED_VALUE"""),16.0)</f>
        <v>16</v>
      </c>
      <c r="G58" s="1" t="str">
        <f>IFERROR(__xludf.DUMMYFUNCTION("""COMPUTED_VALUE"""),"POL")</f>
        <v>POL</v>
      </c>
      <c r="H58" s="1" t="str">
        <f>IFERROR(__xludf.DUMMYFUNCTION("""COMPUTED_VALUE"""),"polymerPlant")</f>
        <v>polymerPlant</v>
      </c>
      <c r="I58" s="1">
        <f>IFERROR(__xludf.DUMMYFUNCTION("""COMPUTED_VALUE"""),15.0)</f>
        <v>15</v>
      </c>
      <c r="J58" s="1" t="str">
        <f>IFERROR(__xludf.DUMMYFUNCTION("""COMPUTED_VALUE"""),"CHEMISTRY")</f>
        <v>CHEMISTRY</v>
      </c>
    </row>
    <row r="59">
      <c r="A59" s="1" t="str">
        <f>IFERROR(__xludf.DUMMYFUNCTION("""COMPUTED_VALUE"""),"CFL-RTA")</f>
        <v>CFL-RTA</v>
      </c>
      <c r="B59" s="1" t="str">
        <f>IFERROR(__xludf.DUMMYFUNCTION("""COMPUTED_VALUE"""),"CFL")</f>
        <v>CFL</v>
      </c>
      <c r="C59" s="1" t="str">
        <f>IFERROR(__xludf.DUMMYFUNCTION("""COMPUTED_VALUE"""),"RTA")</f>
        <v>RTA</v>
      </c>
      <c r="D59" s="1">
        <f>IFERROR(__xludf.DUMMYFUNCTION("""COMPUTED_VALUE"""),32.0)</f>
        <v>32</v>
      </c>
      <c r="G59" s="1" t="str">
        <f>IFERROR(__xludf.DUMMYFUNCTION("""COMPUTED_VALUE"""),"PP1")</f>
        <v>PP1</v>
      </c>
      <c r="H59" s="1" t="str">
        <f>IFERROR(__xludf.DUMMYFUNCTION("""COMPUTED_VALUE"""),"prefabPlant1")</f>
        <v>prefabPlant1</v>
      </c>
      <c r="I59" s="1">
        <f>IFERROR(__xludf.DUMMYFUNCTION("""COMPUTED_VALUE"""),19.0)</f>
        <v>19</v>
      </c>
      <c r="J59" s="1" t="str">
        <f>IFERROR(__xludf.DUMMYFUNCTION("""COMPUTED_VALUE"""),"CONSTRUCTION")</f>
        <v>CONSTRUCTION</v>
      </c>
    </row>
    <row r="60">
      <c r="A60" s="1" t="str">
        <f>IFERROR(__xludf.DUMMYFUNCTION("""COMPUTED_VALUE"""),"CFL-SP")</f>
        <v>CFL-SP</v>
      </c>
      <c r="B60" s="1" t="str">
        <f>IFERROR(__xludf.DUMMYFUNCTION("""COMPUTED_VALUE"""),"CFL")</f>
        <v>CFL</v>
      </c>
      <c r="C60" s="1" t="str">
        <f>IFERROR(__xludf.DUMMYFUNCTION("""COMPUTED_VALUE"""),"SP")</f>
        <v>SP</v>
      </c>
      <c r="D60" s="1">
        <f>IFERROR(__xludf.DUMMYFUNCTION("""COMPUTED_VALUE"""),32.0)</f>
        <v>32</v>
      </c>
      <c r="G60" s="1" t="str">
        <f>IFERROR(__xludf.DUMMYFUNCTION("""COMPUTED_VALUE"""),"PP2")</f>
        <v>PP2</v>
      </c>
      <c r="H60" s="1" t="str">
        <f>IFERROR(__xludf.DUMMYFUNCTION("""COMPUTED_VALUE"""),"prefabPlant2")</f>
        <v>prefabPlant2</v>
      </c>
      <c r="I60" s="1">
        <f>IFERROR(__xludf.DUMMYFUNCTION("""COMPUTED_VALUE"""),25.0)</f>
        <v>25</v>
      </c>
      <c r="J60" s="1" t="str">
        <f>IFERROR(__xludf.DUMMYFUNCTION("""COMPUTED_VALUE"""),"CONSTRUCTION")</f>
        <v>CONSTRUCTION</v>
      </c>
    </row>
    <row r="61">
      <c r="A61" s="1" t="str">
        <f>IFERROR(__xludf.DUMMYFUNCTION("""COMPUTED_VALUE"""),"CFL-TAC")</f>
        <v>CFL-TAC</v>
      </c>
      <c r="B61" s="1" t="str">
        <f>IFERROR(__xludf.DUMMYFUNCTION("""COMPUTED_VALUE"""),"CFL")</f>
        <v>CFL</v>
      </c>
      <c r="C61" s="1" t="str">
        <f>IFERROR(__xludf.DUMMYFUNCTION("""COMPUTED_VALUE"""),"TAC")</f>
        <v>TAC</v>
      </c>
      <c r="D61" s="1">
        <f>IFERROR(__xludf.DUMMYFUNCTION("""COMPUTED_VALUE"""),6.0)</f>
        <v>6</v>
      </c>
      <c r="G61" s="1" t="str">
        <f>IFERROR(__xludf.DUMMYFUNCTION("""COMPUTED_VALUE"""),"PP3")</f>
        <v>PP3</v>
      </c>
      <c r="H61" s="1" t="str">
        <f>IFERROR(__xludf.DUMMYFUNCTION("""COMPUTED_VALUE"""),"prefabPlant3")</f>
        <v>prefabPlant3</v>
      </c>
      <c r="I61" s="1">
        <f>IFERROR(__xludf.DUMMYFUNCTION("""COMPUTED_VALUE"""),32.0)</f>
        <v>32</v>
      </c>
      <c r="J61" s="1" t="str">
        <f>IFERROR(__xludf.DUMMYFUNCTION("""COMPUTED_VALUE"""),"CONSTRUCTION")</f>
        <v>CONSTRUCTION</v>
      </c>
    </row>
    <row r="62">
      <c r="A62" s="1" t="str">
        <f>IFERROR(__xludf.DUMMYFUNCTION("""COMPUTED_VALUE"""),"CHP-BBH")</f>
        <v>CHP-BBH</v>
      </c>
      <c r="B62" s="1" t="str">
        <f>IFERROR(__xludf.DUMMYFUNCTION("""COMPUTED_VALUE"""),"CHP")</f>
        <v>CHP</v>
      </c>
      <c r="C62" s="1" t="str">
        <f>IFERROR(__xludf.DUMMYFUNCTION("""COMPUTED_VALUE"""),"BBH")</f>
        <v>BBH</v>
      </c>
      <c r="D62" s="1">
        <f>IFERROR(__xludf.DUMMYFUNCTION("""COMPUTED_VALUE"""),3.0)</f>
        <v>3</v>
      </c>
      <c r="G62" s="1" t="str">
        <f>IFERROR(__xludf.DUMMYFUNCTION("""COMPUTED_VALUE"""),"PP4")</f>
        <v>PP4</v>
      </c>
      <c r="H62" s="1" t="str">
        <f>IFERROR(__xludf.DUMMYFUNCTION("""COMPUTED_VALUE"""),"prefabPlant4")</f>
        <v>prefabPlant4</v>
      </c>
      <c r="I62" s="1">
        <f>IFERROR(__xludf.DUMMYFUNCTION("""COMPUTED_VALUE"""),40.0)</f>
        <v>40</v>
      </c>
      <c r="J62" s="1" t="str">
        <f>IFERROR(__xludf.DUMMYFUNCTION("""COMPUTED_VALUE"""),"CONSTRUCTION")</f>
        <v>CONSTRUCTION</v>
      </c>
    </row>
    <row r="63">
      <c r="A63" s="1" t="str">
        <f>IFERROR(__xludf.DUMMYFUNCTION("""COMPUTED_VALUE"""),"CHP-BDE")</f>
        <v>CHP-BDE</v>
      </c>
      <c r="B63" s="1" t="str">
        <f>IFERROR(__xludf.DUMMYFUNCTION("""COMPUTED_VALUE"""),"CHP")</f>
        <v>CHP</v>
      </c>
      <c r="C63" s="1" t="str">
        <f>IFERROR(__xludf.DUMMYFUNCTION("""COMPUTED_VALUE"""),"BDE")</f>
        <v>BDE</v>
      </c>
      <c r="D63" s="1">
        <f>IFERROR(__xludf.DUMMYFUNCTION("""COMPUTED_VALUE"""),3.0)</f>
        <v>3</v>
      </c>
      <c r="G63" s="1" t="str">
        <f>IFERROR(__xludf.DUMMYFUNCTION("""COMPUTED_VALUE"""),"PPF")</f>
        <v>PPF</v>
      </c>
      <c r="H63" s="1" t="str">
        <f>IFERROR(__xludf.DUMMYFUNCTION("""COMPUTED_VALUE"""),"plasticsPrinterFacility")</f>
        <v>plasticsPrinterFacility</v>
      </c>
      <c r="I63" s="1">
        <f>IFERROR(__xludf.DUMMYFUNCTION("""COMPUTED_VALUE"""),16.0)</f>
        <v>16</v>
      </c>
      <c r="J63" s="1" t="str">
        <f>IFERROR(__xludf.DUMMYFUNCTION("""COMPUTED_VALUE"""),"MANUFACTURING")</f>
        <v>MANUFACTURING</v>
      </c>
    </row>
    <row r="64">
      <c r="A64" s="1" t="str">
        <f>IFERROR(__xludf.DUMMYFUNCTION("""COMPUTED_VALUE"""),"CHP-BSE")</f>
        <v>CHP-BSE</v>
      </c>
      <c r="B64" s="1" t="str">
        <f>IFERROR(__xludf.DUMMYFUNCTION("""COMPUTED_VALUE"""),"CHP")</f>
        <v>CHP</v>
      </c>
      <c r="C64" s="1" t="str">
        <f>IFERROR(__xludf.DUMMYFUNCTION("""COMPUTED_VALUE"""),"BSE")</f>
        <v>BSE</v>
      </c>
      <c r="D64" s="1">
        <f>IFERROR(__xludf.DUMMYFUNCTION("""COMPUTED_VALUE"""),3.0)</f>
        <v>3</v>
      </c>
      <c r="G64" s="1" t="str">
        <f>IFERROR(__xludf.DUMMYFUNCTION("""COMPUTED_VALUE"""),"PSY")</f>
        <v>PSY</v>
      </c>
      <c r="H64" s="1" t="str">
        <f>IFERROR(__xludf.DUMMYFUNCTION("""COMPUTED_VALUE"""),"planetaryProjectShipyard")</f>
        <v>planetaryProjectShipyard</v>
      </c>
      <c r="I64" s="1">
        <f>IFERROR(__xludf.DUMMYFUNCTION("""COMPUTED_VALUE"""),1000.0)</f>
        <v>1000</v>
      </c>
      <c r="J64" s="1"/>
    </row>
    <row r="65">
      <c r="A65" s="1" t="str">
        <f>IFERROR(__xludf.DUMMYFUNCTION("""COMPUTED_VALUE"""),"CHP-TRU")</f>
        <v>CHP-TRU</v>
      </c>
      <c r="B65" s="1" t="str">
        <f>IFERROR(__xludf.DUMMYFUNCTION("""COMPUTED_VALUE"""),"CHP")</f>
        <v>CHP</v>
      </c>
      <c r="C65" s="1" t="str">
        <f>IFERROR(__xludf.DUMMYFUNCTION("""COMPUTED_VALUE"""),"TRU")</f>
        <v>TRU</v>
      </c>
      <c r="D65" s="1">
        <f>IFERROR(__xludf.DUMMYFUNCTION("""COMPUTED_VALUE"""),4.0)</f>
        <v>4</v>
      </c>
      <c r="G65" s="1" t="str">
        <f>IFERROR(__xludf.DUMMYFUNCTION("""COMPUTED_VALUE"""),"PWH")</f>
        <v>PWH</v>
      </c>
      <c r="H65" s="1" t="str">
        <f>IFERROR(__xludf.DUMMYFUNCTION("""COMPUTED_VALUE"""),"planetaryProjectWarehouse")</f>
        <v>planetaryProjectWarehouse</v>
      </c>
      <c r="I65" s="1">
        <f>IFERROR(__xludf.DUMMYFUNCTION("""COMPUTED_VALUE"""),1000.0)</f>
        <v>1000</v>
      </c>
      <c r="J65" s="1"/>
    </row>
    <row r="66">
      <c r="A66" s="1" t="str">
        <f>IFERROR(__xludf.DUMMYFUNCTION("""COMPUTED_VALUE"""),"CIM-CRU")</f>
        <v>CIM-CRU</v>
      </c>
      <c r="B66" s="1" t="str">
        <f>IFERROR(__xludf.DUMMYFUNCTION("""COMPUTED_VALUE"""),"CIM")</f>
        <v>CIM</v>
      </c>
      <c r="C66" s="1" t="str">
        <f>IFERROR(__xludf.DUMMYFUNCTION("""COMPUTED_VALUE"""),"CRU")</f>
        <v>CRU</v>
      </c>
      <c r="D66" s="1">
        <f>IFERROR(__xludf.DUMMYFUNCTION("""COMPUTED_VALUE"""),4.0)</f>
        <v>4</v>
      </c>
      <c r="G66" s="1" t="str">
        <f>IFERROR(__xludf.DUMMYFUNCTION("""COMPUTED_VALUE"""),"REF")</f>
        <v>REF</v>
      </c>
      <c r="H66" s="1" t="str">
        <f>IFERROR(__xludf.DUMMYFUNCTION("""COMPUTED_VALUE"""),"refinery")</f>
        <v>refinery</v>
      </c>
      <c r="I66" s="1">
        <f>IFERROR(__xludf.DUMMYFUNCTION("""COMPUTED_VALUE"""),25.0)</f>
        <v>25</v>
      </c>
      <c r="J66" s="1" t="str">
        <f>IFERROR(__xludf.DUMMYFUNCTION("""COMPUTED_VALUE"""),"FUEL_REFINING")</f>
        <v>FUEL_REFINING</v>
      </c>
    </row>
    <row r="67">
      <c r="A67" s="1" t="str">
        <f>IFERROR(__xludf.DUMMYFUNCTION("""COMPUTED_VALUE"""),"CIM-LIS")</f>
        <v>CIM-LIS</v>
      </c>
      <c r="B67" s="1" t="str">
        <f>IFERROR(__xludf.DUMMYFUNCTION("""COMPUTED_VALUE"""),"CIM")</f>
        <v>CIM</v>
      </c>
      <c r="C67" s="1" t="str">
        <f>IFERROR(__xludf.DUMMYFUNCTION("""COMPUTED_VALUE"""),"LIS")</f>
        <v>LIS</v>
      </c>
      <c r="D67" s="1">
        <f>IFERROR(__xludf.DUMMYFUNCTION("""COMPUTED_VALUE"""),1.0)</f>
        <v>1</v>
      </c>
      <c r="G67" s="1" t="str">
        <f>IFERROR(__xludf.DUMMYFUNCTION("""COMPUTED_VALUE"""),"RIG")</f>
        <v>RIG</v>
      </c>
      <c r="H67" s="1" t="str">
        <f>IFERROR(__xludf.DUMMYFUNCTION("""COMPUTED_VALUE"""),"rig")</f>
        <v>rig</v>
      </c>
      <c r="I67" s="1">
        <f>IFERROR(__xludf.DUMMYFUNCTION("""COMPUTED_VALUE"""),10.0)</f>
        <v>10</v>
      </c>
      <c r="J67" s="1" t="str">
        <f>IFERROR(__xludf.DUMMYFUNCTION("""COMPUTED_VALUE"""),"RESOURCE_EXTRACTION")</f>
        <v>RESOURCE_EXTRACTION</v>
      </c>
    </row>
    <row r="68">
      <c r="A68" s="1" t="str">
        <f>IFERROR(__xludf.DUMMYFUNCTION("""COMPUTED_VALUE"""),"CIM-RBH")</f>
        <v>CIM-RBH</v>
      </c>
      <c r="B68" s="1" t="str">
        <f>IFERROR(__xludf.DUMMYFUNCTION("""COMPUTED_VALUE"""),"CIM")</f>
        <v>CIM</v>
      </c>
      <c r="C68" s="1" t="str">
        <f>IFERROR(__xludf.DUMMYFUNCTION("""COMPUTED_VALUE"""),"RBH")</f>
        <v>RBH</v>
      </c>
      <c r="D68" s="1">
        <f>IFERROR(__xludf.DUMMYFUNCTION("""COMPUTED_VALUE"""),32.0)</f>
        <v>32</v>
      </c>
      <c r="G68" s="1" t="str">
        <f>IFERROR(__xludf.DUMMYFUNCTION("""COMPUTED_VALUE"""),"SCA")</f>
        <v>SCA</v>
      </c>
      <c r="H68" s="1" t="str">
        <f>IFERROR(__xludf.DUMMYFUNCTION("""COMPUTED_VALUE"""),"smallComponentsAssembly")</f>
        <v>smallComponentsAssembly</v>
      </c>
      <c r="I68" s="1">
        <f>IFERROR(__xludf.DUMMYFUNCTION("""COMPUTED_VALUE"""),35.0)</f>
        <v>35</v>
      </c>
      <c r="J68" s="1" t="str">
        <f>IFERROR(__xludf.DUMMYFUNCTION("""COMPUTED_VALUE"""),"MANUFACTURING")</f>
        <v>MANUFACTURING</v>
      </c>
    </row>
    <row r="69">
      <c r="A69" s="1" t="str">
        <f>IFERROR(__xludf.DUMMYFUNCTION("""COMPUTED_VALUE"""),"CIM-RDE")</f>
        <v>CIM-RDE</v>
      </c>
      <c r="B69" s="1" t="str">
        <f>IFERROR(__xludf.DUMMYFUNCTION("""COMPUTED_VALUE"""),"CIM")</f>
        <v>CIM</v>
      </c>
      <c r="C69" s="1" t="str">
        <f>IFERROR(__xludf.DUMMYFUNCTION("""COMPUTED_VALUE"""),"RDE")</f>
        <v>RDE</v>
      </c>
      <c r="D69" s="1">
        <f>IFERROR(__xludf.DUMMYFUNCTION("""COMPUTED_VALUE"""),16.0)</f>
        <v>16</v>
      </c>
      <c r="G69" s="1" t="str">
        <f>IFERROR(__xludf.DUMMYFUNCTION("""COMPUTED_VALUE"""),"SD")</f>
        <v>SD</v>
      </c>
      <c r="H69" s="1" t="str">
        <f>IFERROR(__xludf.DUMMYFUNCTION("""COMPUTED_VALUE"""),"softwareDevelopment")</f>
        <v>softwareDevelopment</v>
      </c>
      <c r="I69" s="1">
        <f>IFERROR(__xludf.DUMMYFUNCTION("""COMPUTED_VALUE"""),20.0)</f>
        <v>20</v>
      </c>
      <c r="J69" s="1" t="str">
        <f>IFERROR(__xludf.DUMMYFUNCTION("""COMPUTED_VALUE"""),"ELECTRONICS")</f>
        <v>ELECTRONICS</v>
      </c>
    </row>
    <row r="70">
      <c r="A70" s="1" t="str">
        <f>IFERROR(__xludf.DUMMYFUNCTION("""COMPUTED_VALUE"""),"CIM-RSE")</f>
        <v>CIM-RSE</v>
      </c>
      <c r="B70" s="1" t="str">
        <f>IFERROR(__xludf.DUMMYFUNCTION("""COMPUTED_VALUE"""),"CIM")</f>
        <v>CIM</v>
      </c>
      <c r="C70" s="1" t="str">
        <f>IFERROR(__xludf.DUMMYFUNCTION("""COMPUTED_VALUE"""),"RSE")</f>
        <v>RSE</v>
      </c>
      <c r="D70" s="1">
        <f>IFERROR(__xludf.DUMMYFUNCTION("""COMPUTED_VALUE"""),16.0)</f>
        <v>16</v>
      </c>
      <c r="G70" s="1" t="str">
        <f>IFERROR(__xludf.DUMMYFUNCTION("""COMPUTED_VALUE"""),"SDP")</f>
        <v>SDP</v>
      </c>
      <c r="H70" s="1" t="str">
        <f>IFERROR(__xludf.DUMMYFUNCTION("""COMPUTED_VALUE"""),"planetaryProjectSafetyBig")</f>
        <v>planetaryProjectSafetyBig</v>
      </c>
      <c r="I70" s="1">
        <f>IFERROR(__xludf.DUMMYFUNCTION("""COMPUTED_VALUE"""),1000.0)</f>
        <v>1000</v>
      </c>
      <c r="J70" s="1"/>
    </row>
    <row r="71">
      <c r="A71" s="1" t="str">
        <f>IFERROR(__xludf.DUMMYFUNCTION("""COMPUTED_VALUE"""),"CIM-RTA")</f>
        <v>CIM-RTA</v>
      </c>
      <c r="B71" s="1" t="str">
        <f>IFERROR(__xludf.DUMMYFUNCTION("""COMPUTED_VALUE"""),"CIM")</f>
        <v>CIM</v>
      </c>
      <c r="C71" s="1" t="str">
        <f>IFERROR(__xludf.DUMMYFUNCTION("""COMPUTED_VALUE"""),"RTA")</f>
        <v>RTA</v>
      </c>
      <c r="D71" s="1">
        <f>IFERROR(__xludf.DUMMYFUNCTION("""COMPUTED_VALUE"""),16.0)</f>
        <v>16</v>
      </c>
      <c r="G71" s="1" t="str">
        <f>IFERROR(__xludf.DUMMYFUNCTION("""COMPUTED_VALUE"""),"SE")</f>
        <v>SE</v>
      </c>
      <c r="H71" s="1" t="str">
        <f>IFERROR(__xludf.DUMMYFUNCTION("""COMPUTED_VALUE"""),"softwareEngineering")</f>
        <v>softwareEngineering</v>
      </c>
      <c r="I71" s="1">
        <f>IFERROR(__xludf.DUMMYFUNCTION("""COMPUTED_VALUE"""),20.0)</f>
        <v>20</v>
      </c>
      <c r="J71" s="1" t="str">
        <f>IFERROR(__xludf.DUMMYFUNCTION("""COMPUTED_VALUE"""),"ELECTRONICS")</f>
        <v>ELECTRONICS</v>
      </c>
    </row>
    <row r="72">
      <c r="A72" s="1" t="str">
        <f>IFERROR(__xludf.DUMMYFUNCTION("""COMPUTED_VALUE"""),"CIM-SP")</f>
        <v>CIM-SP</v>
      </c>
      <c r="B72" s="1" t="str">
        <f>IFERROR(__xludf.DUMMYFUNCTION("""COMPUTED_VALUE"""),"CIM")</f>
        <v>CIM</v>
      </c>
      <c r="C72" s="1" t="str">
        <f>IFERROR(__xludf.DUMMYFUNCTION("""COMPUTED_VALUE"""),"SP")</f>
        <v>SP</v>
      </c>
      <c r="D72" s="1">
        <f>IFERROR(__xludf.DUMMYFUNCTION("""COMPUTED_VALUE"""),36.0)</f>
        <v>36</v>
      </c>
      <c r="G72" s="1" t="str">
        <f>IFERROR(__xludf.DUMMYFUNCTION("""COMPUTED_VALUE"""),"SKF")</f>
        <v>SKF</v>
      </c>
      <c r="H72" s="1" t="str">
        <f>IFERROR(__xludf.DUMMYFUNCTION("""COMPUTED_VALUE"""),"shipKitFactory")</f>
        <v>shipKitFactory</v>
      </c>
      <c r="I72" s="1">
        <f>IFERROR(__xludf.DUMMYFUNCTION("""COMPUTED_VALUE"""),40.0)</f>
        <v>40</v>
      </c>
      <c r="J72" s="1" t="str">
        <f>IFERROR(__xludf.DUMMYFUNCTION("""COMPUTED_VALUE"""),"METALLURGY")</f>
        <v>METALLURGY</v>
      </c>
    </row>
    <row r="73">
      <c r="A73" s="1" t="str">
        <f>IFERROR(__xludf.DUMMYFUNCTION("""COMPUTED_VALUE"""),"CLF-BSE")</f>
        <v>CLF-BSE</v>
      </c>
      <c r="B73" s="1" t="str">
        <f>IFERROR(__xludf.DUMMYFUNCTION("""COMPUTED_VALUE"""),"CLF")</f>
        <v>CLF</v>
      </c>
      <c r="C73" s="1" t="str">
        <f>IFERROR(__xludf.DUMMYFUNCTION("""COMPUTED_VALUE"""),"BSE")</f>
        <v>BSE</v>
      </c>
      <c r="D73" s="1">
        <f>IFERROR(__xludf.DUMMYFUNCTION("""COMPUTED_VALUE"""),2.0)</f>
        <v>2</v>
      </c>
      <c r="G73" s="1" t="str">
        <f>IFERROR(__xludf.DUMMYFUNCTION("""COMPUTED_VALUE"""),"SL")</f>
        <v>SL</v>
      </c>
      <c r="H73" s="1" t="str">
        <f>IFERROR(__xludf.DUMMYFUNCTION("""COMPUTED_VALUE"""),"softwareLabs")</f>
        <v>softwareLabs</v>
      </c>
      <c r="I73" s="1">
        <f>IFERROR(__xludf.DUMMYFUNCTION("""COMPUTED_VALUE"""),20.0)</f>
        <v>20</v>
      </c>
      <c r="J73" s="1" t="str">
        <f>IFERROR(__xludf.DUMMYFUNCTION("""COMPUTED_VALUE"""),"ELECTRONICS")</f>
        <v>ELECTRONICS</v>
      </c>
    </row>
    <row r="74">
      <c r="A74" s="1" t="str">
        <f>IFERROR(__xludf.DUMMYFUNCTION("""COMPUTED_VALUE"""),"CLF-LDE")</f>
        <v>CLF-LDE</v>
      </c>
      <c r="B74" s="1" t="str">
        <f>IFERROR(__xludf.DUMMYFUNCTION("""COMPUTED_VALUE"""),"CLF")</f>
        <v>CLF</v>
      </c>
      <c r="C74" s="1" t="str">
        <f>IFERROR(__xludf.DUMMYFUNCTION("""COMPUTED_VALUE"""),"LDE")</f>
        <v>LDE</v>
      </c>
      <c r="D74" s="1">
        <f>IFERROR(__xludf.DUMMYFUNCTION("""COMPUTED_VALUE"""),4.0)</f>
        <v>4</v>
      </c>
      <c r="G74" s="1" t="str">
        <f>IFERROR(__xludf.DUMMYFUNCTION("""COMPUTED_VALUE"""),"SME")</f>
        <v>SME</v>
      </c>
      <c r="H74" s="1" t="str">
        <f>IFERROR(__xludf.DUMMYFUNCTION("""COMPUTED_VALUE"""),"smelter")</f>
        <v>smelter</v>
      </c>
      <c r="I74" s="1">
        <f>IFERROR(__xludf.DUMMYFUNCTION("""COMPUTED_VALUE"""),17.0)</f>
        <v>17</v>
      </c>
      <c r="J74" s="1" t="str">
        <f>IFERROR(__xludf.DUMMYFUNCTION("""COMPUTED_VALUE"""),"METALLURGY")</f>
        <v>METALLURGY</v>
      </c>
    </row>
    <row r="75">
      <c r="A75" s="1" t="str">
        <f>IFERROR(__xludf.DUMMYFUNCTION("""COMPUTED_VALUE"""),"CLF-LSE")</f>
        <v>CLF-LSE</v>
      </c>
      <c r="B75" s="1" t="str">
        <f>IFERROR(__xludf.DUMMYFUNCTION("""COMPUTED_VALUE"""),"CLF")</f>
        <v>CLF</v>
      </c>
      <c r="C75" s="1" t="str">
        <f>IFERROR(__xludf.DUMMYFUNCTION("""COMPUTED_VALUE"""),"LSE")</f>
        <v>LSE</v>
      </c>
      <c r="D75" s="1">
        <f>IFERROR(__xludf.DUMMYFUNCTION("""COMPUTED_VALUE"""),2.0)</f>
        <v>2</v>
      </c>
      <c r="G75" s="1" t="str">
        <f>IFERROR(__xludf.DUMMYFUNCTION("""COMPUTED_VALUE"""),"SPF")</f>
        <v>SPF</v>
      </c>
      <c r="H75" s="1" t="str">
        <f>IFERROR(__xludf.DUMMYFUNCTION("""COMPUTED_VALUE"""),"spacecraftPropulsionFactory")</f>
        <v>spacecraftPropulsionFactory</v>
      </c>
      <c r="I75" s="1">
        <f>IFERROR(__xludf.DUMMYFUNCTION("""COMPUTED_VALUE"""),40.0)</f>
        <v>40</v>
      </c>
      <c r="J75" s="1" t="str">
        <f>IFERROR(__xludf.DUMMYFUNCTION("""COMPUTED_VALUE"""),"MANUFACTURING")</f>
        <v>MANUFACTURING</v>
      </c>
    </row>
    <row r="76">
      <c r="A76" s="1" t="str">
        <f>IFERROR(__xludf.DUMMYFUNCTION("""COMPUTED_VALUE"""),"CLF-TRU")</f>
        <v>CLF-TRU</v>
      </c>
      <c r="B76" s="1" t="str">
        <f>IFERROR(__xludf.DUMMYFUNCTION("""COMPUTED_VALUE"""),"CLF")</f>
        <v>CLF</v>
      </c>
      <c r="C76" s="1" t="str">
        <f>IFERROR(__xludf.DUMMYFUNCTION("""COMPUTED_VALUE"""),"TRU")</f>
        <v>TRU</v>
      </c>
      <c r="D76" s="1">
        <f>IFERROR(__xludf.DUMMYFUNCTION("""COMPUTED_VALUE"""),8.0)</f>
        <v>8</v>
      </c>
      <c r="G76" s="1" t="str">
        <f>IFERROR(__xludf.DUMMYFUNCTION("""COMPUTED_VALUE"""),"SPP")</f>
        <v>SPP</v>
      </c>
      <c r="H76" s="1" t="str">
        <f>IFERROR(__xludf.DUMMYFUNCTION("""COMPUTED_VALUE"""),"spacecraftPrefabPlant")</f>
        <v>spacecraftPrefabPlant</v>
      </c>
      <c r="I76" s="1">
        <f>IFERROR(__xludf.DUMMYFUNCTION("""COMPUTED_VALUE"""),60.0)</f>
        <v>60</v>
      </c>
      <c r="J76" s="1" t="str">
        <f>IFERROR(__xludf.DUMMYFUNCTION("""COMPUTED_VALUE"""),"MANUFACTURING")</f>
        <v>MANUFACTURING</v>
      </c>
    </row>
    <row r="77">
      <c r="A77" s="1" t="str">
        <f>IFERROR(__xludf.DUMMYFUNCTION("""COMPUTED_VALUE"""),"CLR-LBH")</f>
        <v>CLR-LBH</v>
      </c>
      <c r="B77" s="1" t="str">
        <f>IFERROR(__xludf.DUMMYFUNCTION("""COMPUTED_VALUE"""),"CLR")</f>
        <v>CLR</v>
      </c>
      <c r="C77" s="1" t="str">
        <f>IFERROR(__xludf.DUMMYFUNCTION("""COMPUTED_VALUE"""),"LBH")</f>
        <v>LBH</v>
      </c>
      <c r="D77" s="1">
        <f>IFERROR(__xludf.DUMMYFUNCTION("""COMPUTED_VALUE"""),6.0)</f>
        <v>6</v>
      </c>
      <c r="G77" s="1" t="str">
        <f>IFERROR(__xludf.DUMMYFUNCTION("""COMPUTED_VALUE"""),"SST")</f>
        <v>SST</v>
      </c>
      <c r="H77" s="1" t="str">
        <f>IFERROR(__xludf.DUMMYFUNCTION("""COMPUTED_VALUE"""),"planetaryProjectSafetySmall")</f>
        <v>planetaryProjectSafetySmall</v>
      </c>
      <c r="I77" s="1">
        <f>IFERROR(__xludf.DUMMYFUNCTION("""COMPUTED_VALUE"""),500.0)</f>
        <v>500</v>
      </c>
      <c r="J77" s="1"/>
    </row>
    <row r="78">
      <c r="A78" s="1" t="str">
        <f>IFERROR(__xludf.DUMMYFUNCTION("""COMPUTED_VALUE"""),"CLR-LDE")</f>
        <v>CLR-LDE</v>
      </c>
      <c r="B78" s="1" t="str">
        <f>IFERROR(__xludf.DUMMYFUNCTION("""COMPUTED_VALUE"""),"CLR")</f>
        <v>CLR</v>
      </c>
      <c r="C78" s="1" t="str">
        <f>IFERROR(__xludf.DUMMYFUNCTION("""COMPUTED_VALUE"""),"LDE")</f>
        <v>LDE</v>
      </c>
      <c r="D78" s="1">
        <f>IFERROR(__xludf.DUMMYFUNCTION("""COMPUTED_VALUE"""),4.0)</f>
        <v>4</v>
      </c>
      <c r="G78" s="1" t="str">
        <f>IFERROR(__xludf.DUMMYFUNCTION("""COMPUTED_VALUE"""),"STO")</f>
        <v>STO</v>
      </c>
      <c r="H78" s="1" t="str">
        <f>IFERROR(__xludf.DUMMYFUNCTION("""COMPUTED_VALUE"""),"storageFacility")</f>
        <v>storageFacility</v>
      </c>
      <c r="I78" s="1">
        <f>IFERROR(__xludf.DUMMYFUNCTION("""COMPUTED_VALUE"""),15.0)</f>
        <v>15</v>
      </c>
      <c r="J78" s="1"/>
    </row>
    <row r="79">
      <c r="A79" s="1" t="str">
        <f>IFERROR(__xludf.DUMMYFUNCTION("""COMPUTED_VALUE"""),"CLR-LSE")</f>
        <v>CLR-LSE</v>
      </c>
      <c r="B79" s="1" t="str">
        <f>IFERROR(__xludf.DUMMYFUNCTION("""COMPUTED_VALUE"""),"CLR")</f>
        <v>CLR</v>
      </c>
      <c r="C79" s="1" t="str">
        <f>IFERROR(__xludf.DUMMYFUNCTION("""COMPUTED_VALUE"""),"LSE")</f>
        <v>LSE</v>
      </c>
      <c r="D79" s="1">
        <f>IFERROR(__xludf.DUMMYFUNCTION("""COMPUTED_VALUE"""),4.0)</f>
        <v>4</v>
      </c>
      <c r="G79" s="1" t="str">
        <f>IFERROR(__xludf.DUMMYFUNCTION("""COMPUTED_VALUE"""),"TNP")</f>
        <v>TNP</v>
      </c>
      <c r="H79" s="1" t="str">
        <f>IFERROR(__xludf.DUMMYFUNCTION("""COMPUTED_VALUE"""),"technetiumProcessing")</f>
        <v>technetiumProcessing</v>
      </c>
      <c r="I79" s="1">
        <f>IFERROR(__xludf.DUMMYFUNCTION("""COMPUTED_VALUE"""),30.0)</f>
        <v>30</v>
      </c>
      <c r="J79" s="1" t="str">
        <f>IFERROR(__xludf.DUMMYFUNCTION("""COMPUTED_VALUE"""),"CHEMISTRY")</f>
        <v>CHEMISTRY</v>
      </c>
    </row>
    <row r="80">
      <c r="A80" s="1" t="str">
        <f>IFERROR(__xludf.DUMMYFUNCTION("""COMPUTED_VALUE"""),"CLR-LTA")</f>
        <v>CLR-LTA</v>
      </c>
      <c r="B80" s="1" t="str">
        <f>IFERROR(__xludf.DUMMYFUNCTION("""COMPUTED_VALUE"""),"CLR")</f>
        <v>CLR</v>
      </c>
      <c r="C80" s="1" t="str">
        <f>IFERROR(__xludf.DUMMYFUNCTION("""COMPUTED_VALUE"""),"LTA")</f>
        <v>LTA</v>
      </c>
      <c r="D80" s="1">
        <f>IFERROR(__xludf.DUMMYFUNCTION("""COMPUTED_VALUE"""),4.0)</f>
        <v>4</v>
      </c>
      <c r="G80" s="1" t="str">
        <f>IFERROR(__xludf.DUMMYFUNCTION("""COMPUTED_VALUE"""),"UNI")</f>
        <v>UNI</v>
      </c>
      <c r="H80" s="1" t="str">
        <f>IFERROR(__xludf.DUMMYFUNCTION("""COMPUTED_VALUE"""),"planetaryProjectEducationBig")</f>
        <v>planetaryProjectEducationBig</v>
      </c>
      <c r="I80" s="1">
        <f>IFERROR(__xludf.DUMMYFUNCTION("""COMPUTED_VALUE"""),1000.0)</f>
        <v>1000</v>
      </c>
      <c r="J80" s="1"/>
    </row>
    <row r="81">
      <c r="A81" s="1" t="str">
        <f>IFERROR(__xludf.DUMMYFUNCTION("""COMPUTED_VALUE"""),"CLR-TRU")</f>
        <v>CLR-TRU</v>
      </c>
      <c r="B81" s="1" t="str">
        <f>IFERROR(__xludf.DUMMYFUNCTION("""COMPUTED_VALUE"""),"CLR")</f>
        <v>CLR</v>
      </c>
      <c r="C81" s="1" t="str">
        <f>IFERROR(__xludf.DUMMYFUNCTION("""COMPUTED_VALUE"""),"TRU")</f>
        <v>TRU</v>
      </c>
      <c r="D81" s="1">
        <f>IFERROR(__xludf.DUMMYFUNCTION("""COMPUTED_VALUE"""),4.0)</f>
        <v>4</v>
      </c>
      <c r="G81" s="1" t="str">
        <f>IFERROR(__xludf.DUMMYFUNCTION("""COMPUTED_VALUE"""),"UPF")</f>
        <v>UPF</v>
      </c>
      <c r="H81" s="1" t="str">
        <f>IFERROR(__xludf.DUMMYFUNCTION("""COMPUTED_VALUE"""),"unitPrefabPlant")</f>
        <v>unitPrefabPlant</v>
      </c>
      <c r="I81" s="1">
        <f>IFERROR(__xludf.DUMMYFUNCTION("""COMPUTED_VALUE"""),50.0)</f>
        <v>50</v>
      </c>
      <c r="J81" s="1" t="str">
        <f>IFERROR(__xludf.DUMMYFUNCTION("""COMPUTED_VALUE"""),"CONSTRUCTION")</f>
        <v>CONSTRUCTION</v>
      </c>
    </row>
    <row r="82">
      <c r="A82" s="1" t="str">
        <f>IFERROR(__xludf.DUMMYFUNCTION("""COMPUTED_VALUE"""),"CM-LDE")</f>
        <v>CM-LDE</v>
      </c>
      <c r="B82" s="1" t="str">
        <f>IFERROR(__xludf.DUMMYFUNCTION("""COMPUTED_VALUE"""),"CM")</f>
        <v>CM</v>
      </c>
      <c r="C82" s="1" t="str">
        <f>IFERROR(__xludf.DUMMYFUNCTION("""COMPUTED_VALUE"""),"LDE")</f>
        <v>LDE</v>
      </c>
      <c r="D82" s="1">
        <f>IFERROR(__xludf.DUMMYFUNCTION("""COMPUTED_VALUE"""),4.0)</f>
        <v>4</v>
      </c>
      <c r="G82" s="1" t="str">
        <f>IFERROR(__xludf.DUMMYFUNCTION("""COMPUTED_VALUE"""),"VRT")</f>
        <v>VRT</v>
      </c>
      <c r="H82" s="1" t="str">
        <f>IFERROR(__xludf.DUMMYFUNCTION("""COMPUTED_VALUE"""),"planetaryProjectCultureBig")</f>
        <v>planetaryProjectCultureBig</v>
      </c>
      <c r="I82" s="1">
        <f>IFERROR(__xludf.DUMMYFUNCTION("""COMPUTED_VALUE"""),1000.0)</f>
        <v>1000</v>
      </c>
      <c r="J82" s="1"/>
    </row>
    <row r="83">
      <c r="A83" s="1" t="str">
        <f>IFERROR(__xludf.DUMMYFUNCTION("""COMPUTED_VALUE"""),"CM-LSE")</f>
        <v>CM-LSE</v>
      </c>
      <c r="B83" s="1" t="str">
        <f>IFERROR(__xludf.DUMMYFUNCTION("""COMPUTED_VALUE"""),"CM")</f>
        <v>CM</v>
      </c>
      <c r="C83" s="1" t="str">
        <f>IFERROR(__xludf.DUMMYFUNCTION("""COMPUTED_VALUE"""),"LSE")</f>
        <v>LSE</v>
      </c>
      <c r="D83" s="1">
        <f>IFERROR(__xludf.DUMMYFUNCTION("""COMPUTED_VALUE"""),4.0)</f>
        <v>4</v>
      </c>
      <c r="G83" s="1" t="str">
        <f>IFERROR(__xludf.DUMMYFUNCTION("""COMPUTED_VALUE"""),"WCE")</f>
        <v>WCE</v>
      </c>
      <c r="H83" s="1" t="str">
        <f>IFERROR(__xludf.DUMMYFUNCTION("""COMPUTED_VALUE"""),"planetaryProjectHealthComfort")</f>
        <v>planetaryProjectHealthComfort</v>
      </c>
      <c r="I83" s="1">
        <f>IFERROR(__xludf.DUMMYFUNCTION("""COMPUTED_VALUE"""),1000.0)</f>
        <v>1000</v>
      </c>
      <c r="J83" s="1"/>
    </row>
    <row r="84">
      <c r="A84" s="1" t="str">
        <f>IFERROR(__xludf.DUMMYFUNCTION("""COMPUTED_VALUE"""),"CM-LTA")</f>
        <v>CM-LTA</v>
      </c>
      <c r="B84" s="1" t="str">
        <f>IFERROR(__xludf.DUMMYFUNCTION("""COMPUTED_VALUE"""),"CM")</f>
        <v>CM</v>
      </c>
      <c r="C84" s="1" t="str">
        <f>IFERROR(__xludf.DUMMYFUNCTION("""COMPUTED_VALUE"""),"LTA")</f>
        <v>LTA</v>
      </c>
      <c r="D84" s="1">
        <f>IFERROR(__xludf.DUMMYFUNCTION("""COMPUTED_VALUE"""),4.0)</f>
        <v>4</v>
      </c>
      <c r="G84" s="1" t="str">
        <f>IFERROR(__xludf.DUMMYFUNCTION("""COMPUTED_VALUE"""),"WEL")</f>
        <v>WEL</v>
      </c>
      <c r="H84" s="1" t="str">
        <f>IFERROR(__xludf.DUMMYFUNCTION("""COMPUTED_VALUE"""),"weldingPlant")</f>
        <v>weldingPlant</v>
      </c>
      <c r="I84" s="1">
        <f>IFERROR(__xludf.DUMMYFUNCTION("""COMPUTED_VALUE"""),19.0)</f>
        <v>19</v>
      </c>
      <c r="J84" s="1" t="str">
        <f>IFERROR(__xludf.DUMMYFUNCTION("""COMPUTED_VALUE"""),"CONSTRUCTION")</f>
        <v>CONSTRUCTION</v>
      </c>
    </row>
    <row r="85">
      <c r="A85" s="1" t="str">
        <f>IFERROR(__xludf.DUMMYFUNCTION("""COMPUTED_VALUE"""),"CM-PSL")</f>
        <v>CM-PSL</v>
      </c>
      <c r="B85" s="1" t="str">
        <f>IFERROR(__xludf.DUMMYFUNCTION("""COMPUTED_VALUE"""),"CM")</f>
        <v>CM</v>
      </c>
      <c r="C85" s="1" t="str">
        <f>IFERROR(__xludf.DUMMYFUNCTION("""COMPUTED_VALUE"""),"PSL")</f>
        <v>PSL</v>
      </c>
      <c r="D85" s="1">
        <f>IFERROR(__xludf.DUMMYFUNCTION("""COMPUTED_VALUE"""),12.0)</f>
        <v>12</v>
      </c>
      <c r="G85" s="1" t="str">
        <f>IFERROR(__xludf.DUMMYFUNCTION("""COMPUTED_VALUE"""),"WPL")</f>
        <v>WPL</v>
      </c>
      <c r="H85" s="1" t="str">
        <f>IFERROR(__xludf.DUMMYFUNCTION("""COMPUTED_VALUE"""),"weavingPlant")</f>
        <v>weavingPlant</v>
      </c>
      <c r="I85" s="1">
        <f>IFERROR(__xludf.DUMMYFUNCTION("""COMPUTED_VALUE"""),40.0)</f>
        <v>40</v>
      </c>
      <c r="J85" s="1" t="str">
        <f>IFERROR(__xludf.DUMMYFUNCTION("""COMPUTED_VALUE"""),"MANUFACTURING")</f>
        <v>MANUFACTURING</v>
      </c>
    </row>
    <row r="86">
      <c r="A86" s="1" t="str">
        <f>IFERROR(__xludf.DUMMYFUNCTION("""COMPUTED_VALUE"""),"CM-TRU")</f>
        <v>CM-TRU</v>
      </c>
      <c r="B86" s="1" t="str">
        <f>IFERROR(__xludf.DUMMYFUNCTION("""COMPUTED_VALUE"""),"CM")</f>
        <v>CM</v>
      </c>
      <c r="C86" s="1" t="str">
        <f>IFERROR(__xludf.DUMMYFUNCTION("""COMPUTED_VALUE"""),"TRU")</f>
        <v>TRU</v>
      </c>
      <c r="D86" s="1">
        <f>IFERROR(__xludf.DUMMYFUNCTION("""COMPUTED_VALUE"""),8.0)</f>
        <v>8</v>
      </c>
    </row>
    <row r="87">
      <c r="A87" s="1" t="str">
        <f>IFERROR(__xludf.DUMMYFUNCTION("""COMPUTED_VALUE"""),"COG-BMF")</f>
        <v>COG-BMF</v>
      </c>
      <c r="B87" s="1" t="str">
        <f>IFERROR(__xludf.DUMMYFUNCTION("""COMPUTED_VALUE"""),"COG")</f>
        <v>COG</v>
      </c>
      <c r="C87" s="1" t="str">
        <f>IFERROR(__xludf.DUMMYFUNCTION("""COMPUTED_VALUE"""),"BMF")</f>
        <v>BMF</v>
      </c>
      <c r="D87" s="1">
        <f>IFERROR(__xludf.DUMMYFUNCTION("""COMPUTED_VALUE"""),1.0)</f>
        <v>1</v>
      </c>
    </row>
    <row r="88">
      <c r="A88" s="1" t="str">
        <f>IFERROR(__xludf.DUMMYFUNCTION("""COMPUTED_VALUE"""),"COG-BWS")</f>
        <v>COG-BWS</v>
      </c>
      <c r="B88" s="1" t="str">
        <f>IFERROR(__xludf.DUMMYFUNCTION("""COMPUTED_VALUE"""),"COG")</f>
        <v>COG</v>
      </c>
      <c r="C88" s="1" t="str">
        <f>IFERROR(__xludf.DUMMYFUNCTION("""COMPUTED_VALUE"""),"BWS")</f>
        <v>BWS</v>
      </c>
      <c r="D88" s="1">
        <f>IFERROR(__xludf.DUMMYFUNCTION("""COMPUTED_VALUE"""),16.0)</f>
        <v>16</v>
      </c>
    </row>
    <row r="89">
      <c r="A89" s="1" t="str">
        <f>IFERROR(__xludf.DUMMYFUNCTION("""COMPUTED_VALUE"""),"COG-LBH")</f>
        <v>COG-LBH</v>
      </c>
      <c r="B89" s="1" t="str">
        <f>IFERROR(__xludf.DUMMYFUNCTION("""COMPUTED_VALUE"""),"COG")</f>
        <v>COG</v>
      </c>
      <c r="C89" s="1" t="str">
        <f>IFERROR(__xludf.DUMMYFUNCTION("""COMPUTED_VALUE"""),"LBH")</f>
        <v>LBH</v>
      </c>
      <c r="D89" s="1">
        <f>IFERROR(__xludf.DUMMYFUNCTION("""COMPUTED_VALUE"""),32.0)</f>
        <v>32</v>
      </c>
    </row>
    <row r="90">
      <c r="A90" s="1" t="str">
        <f>IFERROR(__xludf.DUMMYFUNCTION("""COMPUTED_VALUE"""),"COG-LDE")</f>
        <v>COG-LDE</v>
      </c>
      <c r="B90" s="1" t="str">
        <f>IFERROR(__xludf.DUMMYFUNCTION("""COMPUTED_VALUE"""),"COG")</f>
        <v>COG</v>
      </c>
      <c r="C90" s="1" t="str">
        <f>IFERROR(__xludf.DUMMYFUNCTION("""COMPUTED_VALUE"""),"LDE")</f>
        <v>LDE</v>
      </c>
      <c r="D90" s="1">
        <f>IFERROR(__xludf.DUMMYFUNCTION("""COMPUTED_VALUE"""),16.0)</f>
        <v>16</v>
      </c>
    </row>
    <row r="91">
      <c r="A91" s="1" t="str">
        <f>IFERROR(__xludf.DUMMYFUNCTION("""COMPUTED_VALUE"""),"COG-LSE")</f>
        <v>COG-LSE</v>
      </c>
      <c r="B91" s="1" t="str">
        <f>IFERROR(__xludf.DUMMYFUNCTION("""COMPUTED_VALUE"""),"COG")</f>
        <v>COG</v>
      </c>
      <c r="C91" s="1" t="str">
        <f>IFERROR(__xludf.DUMMYFUNCTION("""COMPUTED_VALUE"""),"LSE")</f>
        <v>LSE</v>
      </c>
      <c r="D91" s="1">
        <f>IFERROR(__xludf.DUMMYFUNCTION("""COMPUTED_VALUE"""),24.0)</f>
        <v>24</v>
      </c>
    </row>
    <row r="92">
      <c r="A92" s="1" t="str">
        <f>IFERROR(__xludf.DUMMYFUNCTION("""COMPUTED_VALUE"""),"COG-LTA")</f>
        <v>COG-LTA</v>
      </c>
      <c r="B92" s="1" t="str">
        <f>IFERROR(__xludf.DUMMYFUNCTION("""COMPUTED_VALUE"""),"COG")</f>
        <v>COG</v>
      </c>
      <c r="C92" s="1" t="str">
        <f>IFERROR(__xludf.DUMMYFUNCTION("""COMPUTED_VALUE"""),"LTA")</f>
        <v>LTA</v>
      </c>
      <c r="D92" s="1">
        <f>IFERROR(__xludf.DUMMYFUNCTION("""COMPUTED_VALUE"""),32.0)</f>
        <v>32</v>
      </c>
    </row>
    <row r="93">
      <c r="A93" s="1" t="str">
        <f>IFERROR(__xludf.DUMMYFUNCTION("""COMPUTED_VALUE"""),"COG-SP")</f>
        <v>COG-SP</v>
      </c>
      <c r="B93" s="1" t="str">
        <f>IFERROR(__xludf.DUMMYFUNCTION("""COMPUTED_VALUE"""),"COG")</f>
        <v>COG</v>
      </c>
      <c r="C93" s="1" t="str">
        <f>IFERROR(__xludf.DUMMYFUNCTION("""COMPUTED_VALUE"""),"SP")</f>
        <v>SP</v>
      </c>
      <c r="D93" s="1">
        <f>IFERROR(__xludf.DUMMYFUNCTION("""COMPUTED_VALUE"""),32.0)</f>
        <v>32</v>
      </c>
    </row>
    <row r="94">
      <c r="A94" s="1" t="str">
        <f>IFERROR(__xludf.DUMMYFUNCTION("""COMPUTED_VALUE"""),"COL-BSE")</f>
        <v>COL-BSE</v>
      </c>
      <c r="B94" s="1" t="str">
        <f>IFERROR(__xludf.DUMMYFUNCTION("""COMPUTED_VALUE"""),"COL")</f>
        <v>COL</v>
      </c>
      <c r="C94" s="1" t="str">
        <f>IFERROR(__xludf.DUMMYFUNCTION("""COMPUTED_VALUE"""),"BSE")</f>
        <v>BSE</v>
      </c>
      <c r="D94" s="1">
        <f>IFERROR(__xludf.DUMMYFUNCTION("""COMPUTED_VALUE"""),16.0)</f>
        <v>16</v>
      </c>
    </row>
    <row r="95">
      <c r="A95" s="1" t="str">
        <f>IFERROR(__xludf.DUMMYFUNCTION("""COMPUTED_VALUE"""),"COR-BMF")</f>
        <v>COR-BMF</v>
      </c>
      <c r="B95" s="1" t="str">
        <f>IFERROR(__xludf.DUMMYFUNCTION("""COMPUTED_VALUE"""),"COR")</f>
        <v>COR</v>
      </c>
      <c r="C95" s="1" t="str">
        <f>IFERROR(__xludf.DUMMYFUNCTION("""COMPUTED_VALUE"""),"BMF")</f>
        <v>BMF</v>
      </c>
      <c r="D95" s="1">
        <f>IFERROR(__xludf.DUMMYFUNCTION("""COMPUTED_VALUE"""),2.0)</f>
        <v>2</v>
      </c>
    </row>
    <row r="96">
      <c r="A96" s="1" t="str">
        <f>IFERROR(__xludf.DUMMYFUNCTION("""COMPUTED_VALUE"""),"COR-BWS")</f>
        <v>COR-BWS</v>
      </c>
      <c r="B96" s="1" t="str">
        <f>IFERROR(__xludf.DUMMYFUNCTION("""COMPUTED_VALUE"""),"COR")</f>
        <v>COR</v>
      </c>
      <c r="C96" s="1" t="str">
        <f>IFERROR(__xludf.DUMMYFUNCTION("""COMPUTED_VALUE"""),"BWS")</f>
        <v>BWS</v>
      </c>
      <c r="D96" s="1">
        <f>IFERROR(__xludf.DUMMYFUNCTION("""COMPUTED_VALUE"""),8.0)</f>
        <v>8</v>
      </c>
    </row>
    <row r="97">
      <c r="A97" s="1" t="str">
        <f>IFERROR(__xludf.DUMMYFUNCTION("""COMPUTED_VALUE"""),"COR-RBH")</f>
        <v>COR-RBH</v>
      </c>
      <c r="B97" s="1" t="str">
        <f>IFERROR(__xludf.DUMMYFUNCTION("""COMPUTED_VALUE"""),"COR")</f>
        <v>COR</v>
      </c>
      <c r="C97" s="1" t="str">
        <f>IFERROR(__xludf.DUMMYFUNCTION("""COMPUTED_VALUE"""),"RBH")</f>
        <v>RBH</v>
      </c>
      <c r="D97" s="1">
        <f>IFERROR(__xludf.DUMMYFUNCTION("""COMPUTED_VALUE"""),16.0)</f>
        <v>16</v>
      </c>
    </row>
    <row r="98">
      <c r="A98" s="1" t="str">
        <f>IFERROR(__xludf.DUMMYFUNCTION("""COMPUTED_VALUE"""),"COR-RDE")</f>
        <v>COR-RDE</v>
      </c>
      <c r="B98" s="1" t="str">
        <f>IFERROR(__xludf.DUMMYFUNCTION("""COMPUTED_VALUE"""),"COR")</f>
        <v>COR</v>
      </c>
      <c r="C98" s="1" t="str">
        <f>IFERROR(__xludf.DUMMYFUNCTION("""COMPUTED_VALUE"""),"RDE")</f>
        <v>RDE</v>
      </c>
      <c r="D98" s="1">
        <f>IFERROR(__xludf.DUMMYFUNCTION("""COMPUTED_VALUE"""),32.0)</f>
        <v>32</v>
      </c>
    </row>
    <row r="99">
      <c r="A99" s="1" t="str">
        <f>IFERROR(__xludf.DUMMYFUNCTION("""COMPUTED_VALUE"""),"COR-RSE")</f>
        <v>COR-RSE</v>
      </c>
      <c r="B99" s="1" t="str">
        <f>IFERROR(__xludf.DUMMYFUNCTION("""COMPUTED_VALUE"""),"COR")</f>
        <v>COR</v>
      </c>
      <c r="C99" s="1" t="str">
        <f>IFERROR(__xludf.DUMMYFUNCTION("""COMPUTED_VALUE"""),"RSE")</f>
        <v>RSE</v>
      </c>
      <c r="D99" s="1">
        <f>IFERROR(__xludf.DUMMYFUNCTION("""COMPUTED_VALUE"""),32.0)</f>
        <v>32</v>
      </c>
    </row>
    <row r="100">
      <c r="A100" s="1" t="str">
        <f>IFERROR(__xludf.DUMMYFUNCTION("""COMPUTED_VALUE"""),"COR-RTA")</f>
        <v>COR-RTA</v>
      </c>
      <c r="B100" s="1" t="str">
        <f>IFERROR(__xludf.DUMMYFUNCTION("""COMPUTED_VALUE"""),"COR")</f>
        <v>COR</v>
      </c>
      <c r="C100" s="1" t="str">
        <f>IFERROR(__xludf.DUMMYFUNCTION("""COMPUTED_VALUE"""),"RTA")</f>
        <v>RTA</v>
      </c>
      <c r="D100" s="1">
        <f>IFERROR(__xludf.DUMMYFUNCTION("""COMPUTED_VALUE"""),8.0)</f>
        <v>8</v>
      </c>
    </row>
    <row r="101">
      <c r="A101" s="1" t="str">
        <f>IFERROR(__xludf.DUMMYFUNCTION("""COMPUTED_VALUE"""),"COR-SP")</f>
        <v>COR-SP</v>
      </c>
      <c r="B101" s="1" t="str">
        <f>IFERROR(__xludf.DUMMYFUNCTION("""COMPUTED_VALUE"""),"COR")</f>
        <v>COR</v>
      </c>
      <c r="C101" s="1" t="str">
        <f>IFERROR(__xludf.DUMMYFUNCTION("""COMPUTED_VALUE"""),"SP")</f>
        <v>SP</v>
      </c>
      <c r="D101" s="1">
        <f>IFERROR(__xludf.DUMMYFUNCTION("""COMPUTED_VALUE"""),24.0)</f>
        <v>24</v>
      </c>
    </row>
    <row r="102">
      <c r="A102" s="1" t="str">
        <f>IFERROR(__xludf.DUMMYFUNCTION("""COMPUTED_VALUE"""),"CRC-ABH")</f>
        <v>CRC-ABH</v>
      </c>
      <c r="B102" s="1" t="str">
        <f>IFERROR(__xludf.DUMMYFUNCTION("""COMPUTED_VALUE"""),"CRC")</f>
        <v>CRC</v>
      </c>
      <c r="C102" s="1" t="str">
        <f>IFERROR(__xludf.DUMMYFUNCTION("""COMPUTED_VALUE"""),"ABH")</f>
        <v>ABH</v>
      </c>
      <c r="D102" s="1">
        <f>IFERROR(__xludf.DUMMYFUNCTION("""COMPUTED_VALUE"""),100.0)</f>
        <v>100</v>
      </c>
    </row>
    <row r="103">
      <c r="A103" s="1" t="str">
        <f>IFERROR(__xludf.DUMMYFUNCTION("""COMPUTED_VALUE"""),"CRC-ADE")</f>
        <v>CRC-ADE</v>
      </c>
      <c r="B103" s="1" t="str">
        <f>IFERROR(__xludf.DUMMYFUNCTION("""COMPUTED_VALUE"""),"CRC")</f>
        <v>CRC</v>
      </c>
      <c r="C103" s="1" t="str">
        <f>IFERROR(__xludf.DUMMYFUNCTION("""COMPUTED_VALUE"""),"ADE")</f>
        <v>ADE</v>
      </c>
      <c r="D103" s="1">
        <f>IFERROR(__xludf.DUMMYFUNCTION("""COMPUTED_VALUE"""),100.0)</f>
        <v>100</v>
      </c>
    </row>
    <row r="104">
      <c r="A104" s="1" t="str">
        <f>IFERROR(__xludf.DUMMYFUNCTION("""COMPUTED_VALUE"""),"CRC-ADS")</f>
        <v>CRC-ADS</v>
      </c>
      <c r="B104" s="1" t="str">
        <f>IFERROR(__xludf.DUMMYFUNCTION("""COMPUTED_VALUE"""),"CRC")</f>
        <v>CRC</v>
      </c>
      <c r="C104" s="1" t="str">
        <f>IFERROR(__xludf.DUMMYFUNCTION("""COMPUTED_VALUE"""),"ADS")</f>
        <v>ADS</v>
      </c>
      <c r="D104" s="1">
        <f>IFERROR(__xludf.DUMMYFUNCTION("""COMPUTED_VALUE"""),1.0)</f>
        <v>1</v>
      </c>
    </row>
    <row r="105">
      <c r="A105" s="1" t="str">
        <f>IFERROR(__xludf.DUMMYFUNCTION("""COMPUTED_VALUE"""),"CRC-ASE")</f>
        <v>CRC-ASE</v>
      </c>
      <c r="B105" s="1" t="str">
        <f>IFERROR(__xludf.DUMMYFUNCTION("""COMPUTED_VALUE"""),"CRC")</f>
        <v>CRC</v>
      </c>
      <c r="C105" s="1" t="str">
        <f>IFERROR(__xludf.DUMMYFUNCTION("""COMPUTED_VALUE"""),"ASE")</f>
        <v>ASE</v>
      </c>
      <c r="D105" s="1">
        <f>IFERROR(__xludf.DUMMYFUNCTION("""COMPUTED_VALUE"""),100.0)</f>
        <v>100</v>
      </c>
    </row>
    <row r="106">
      <c r="A106" s="1" t="str">
        <f>IFERROR(__xludf.DUMMYFUNCTION("""COMPUTED_VALUE"""),"CRC-ATA")</f>
        <v>CRC-ATA</v>
      </c>
      <c r="B106" s="1" t="str">
        <f>IFERROR(__xludf.DUMMYFUNCTION("""COMPUTED_VALUE"""),"CRC")</f>
        <v>CRC</v>
      </c>
      <c r="C106" s="1" t="str">
        <f>IFERROR(__xludf.DUMMYFUNCTION("""COMPUTED_VALUE"""),"ATA")</f>
        <v>ATA</v>
      </c>
      <c r="D106" s="1">
        <f>IFERROR(__xludf.DUMMYFUNCTION("""COMPUTED_VALUE"""),100.0)</f>
        <v>100</v>
      </c>
    </row>
    <row r="107">
      <c r="A107" s="1" t="str">
        <f>IFERROR(__xludf.DUMMYFUNCTION("""COMPUTED_VALUE"""),"CRC-CBL")</f>
        <v>CRC-CBL</v>
      </c>
      <c r="B107" s="1" t="str">
        <f>IFERROR(__xludf.DUMMYFUNCTION("""COMPUTED_VALUE"""),"CRC")</f>
        <v>CRC</v>
      </c>
      <c r="C107" s="1" t="str">
        <f>IFERROR(__xludf.DUMMYFUNCTION("""COMPUTED_VALUE"""),"CBL")</f>
        <v>CBL</v>
      </c>
      <c r="D107" s="1">
        <f>IFERROR(__xludf.DUMMYFUNCTION("""COMPUTED_VALUE"""),4.0)</f>
        <v>4</v>
      </c>
    </row>
    <row r="108">
      <c r="A108" s="1" t="str">
        <f>IFERROR(__xludf.DUMMYFUNCTION("""COMPUTED_VALUE"""),"CRC-DEC")</f>
        <v>CRC-DEC</v>
      </c>
      <c r="B108" s="1" t="str">
        <f>IFERROR(__xludf.DUMMYFUNCTION("""COMPUTED_VALUE"""),"CRC")</f>
        <v>CRC</v>
      </c>
      <c r="C108" s="1" t="str">
        <f>IFERROR(__xludf.DUMMYFUNCTION("""COMPUTED_VALUE"""),"DEC")</f>
        <v>DEC</v>
      </c>
      <c r="D108" s="1">
        <f>IFERROR(__xludf.DUMMYFUNCTION("""COMPUTED_VALUE"""),80.0)</f>
        <v>80</v>
      </c>
    </row>
    <row r="109">
      <c r="A109" s="1" t="str">
        <f>IFERROR(__xludf.DUMMYFUNCTION("""COMPUTED_VALUE"""),"CRC-LIT")</f>
        <v>CRC-LIT</v>
      </c>
      <c r="B109" s="1" t="str">
        <f>IFERROR(__xludf.DUMMYFUNCTION("""COMPUTED_VALUE"""),"CRC")</f>
        <v>CRC</v>
      </c>
      <c r="C109" s="1" t="str">
        <f>IFERROR(__xludf.DUMMYFUNCTION("""COMPUTED_VALUE"""),"LIT")</f>
        <v>LIT</v>
      </c>
      <c r="D109" s="1">
        <f>IFERROR(__xludf.DUMMYFUNCTION("""COMPUTED_VALUE"""),40.0)</f>
        <v>40</v>
      </c>
    </row>
    <row r="110">
      <c r="A110" s="1" t="str">
        <f>IFERROR(__xludf.DUMMYFUNCTION("""COMPUTED_VALUE"""),"CRC-LOG")</f>
        <v>CRC-LOG</v>
      </c>
      <c r="B110" s="1" t="str">
        <f>IFERROR(__xludf.DUMMYFUNCTION("""COMPUTED_VALUE"""),"CRC")</f>
        <v>CRC</v>
      </c>
      <c r="C110" s="1" t="str">
        <f>IFERROR(__xludf.DUMMYFUNCTION("""COMPUTED_VALUE"""),"LOG")</f>
        <v>LOG</v>
      </c>
      <c r="D110" s="1">
        <f>IFERROR(__xludf.DUMMYFUNCTION("""COMPUTED_VALUE"""),1.0)</f>
        <v>1</v>
      </c>
    </row>
    <row r="111">
      <c r="A111" s="1" t="str">
        <f>IFERROR(__xludf.DUMMYFUNCTION("""COMPUTED_VALUE"""),"CRC-SP")</f>
        <v>CRC-SP</v>
      </c>
      <c r="B111" s="1" t="str">
        <f>IFERROR(__xludf.DUMMYFUNCTION("""COMPUTED_VALUE"""),"CRC")</f>
        <v>CRC</v>
      </c>
      <c r="C111" s="1" t="str">
        <f>IFERROR(__xludf.DUMMYFUNCTION("""COMPUTED_VALUE"""),"SP")</f>
        <v>SP</v>
      </c>
      <c r="D111" s="1">
        <f>IFERROR(__xludf.DUMMYFUNCTION("""COMPUTED_VALUE"""),200.0)</f>
        <v>200</v>
      </c>
    </row>
    <row r="112">
      <c r="A112" s="1" t="str">
        <f>IFERROR(__xludf.DUMMYFUNCTION("""COMPUTED_VALUE"""),"CRC-TRU")</f>
        <v>CRC-TRU</v>
      </c>
      <c r="B112" s="1" t="str">
        <f>IFERROR(__xludf.DUMMYFUNCTION("""COMPUTED_VALUE"""),"CRC")</f>
        <v>CRC</v>
      </c>
      <c r="C112" s="1" t="str">
        <f>IFERROR(__xludf.DUMMYFUNCTION("""COMPUTED_VALUE"""),"TRU")</f>
        <v>TRU</v>
      </c>
      <c r="D112" s="1">
        <f>IFERROR(__xludf.DUMMYFUNCTION("""COMPUTED_VALUE"""),400.0)</f>
        <v>400</v>
      </c>
    </row>
    <row r="113">
      <c r="A113" s="1" t="str">
        <f>IFERROR(__xludf.DUMMYFUNCTION("""COMPUTED_VALUE"""),"CTE-CC")</f>
        <v>CTE-CC</v>
      </c>
      <c r="B113" s="1" t="str">
        <f>IFERROR(__xludf.DUMMYFUNCTION("""COMPUTED_VALUE"""),"CTE")</f>
        <v>CTE</v>
      </c>
      <c r="C113" s="1" t="str">
        <f>IFERROR(__xludf.DUMMYFUNCTION("""COMPUTED_VALUE"""),"CC")</f>
        <v>CC</v>
      </c>
      <c r="D113" s="1">
        <f>IFERROR(__xludf.DUMMYFUNCTION("""COMPUTED_VALUE"""),5.0)</f>
        <v>5</v>
      </c>
    </row>
    <row r="114">
      <c r="A114" s="1" t="str">
        <f>IFERROR(__xludf.DUMMYFUNCTION("""COMPUTED_VALUE"""),"CTE-LIS")</f>
        <v>CTE-LIS</v>
      </c>
      <c r="B114" s="1" t="str">
        <f>IFERROR(__xludf.DUMMYFUNCTION("""COMPUTED_VALUE"""),"CTE")</f>
        <v>CTE</v>
      </c>
      <c r="C114" s="1" t="str">
        <f>IFERROR(__xludf.DUMMYFUNCTION("""COMPUTED_VALUE"""),"LIS")</f>
        <v>LIS</v>
      </c>
      <c r="D114" s="1">
        <f>IFERROR(__xludf.DUMMYFUNCTION("""COMPUTED_VALUE"""),1.0)</f>
        <v>1</v>
      </c>
    </row>
    <row r="115">
      <c r="A115" s="1" t="str">
        <f>IFERROR(__xludf.DUMMYFUNCTION("""COMPUTED_VALUE"""),"CTE-RBH")</f>
        <v>CTE-RBH</v>
      </c>
      <c r="B115" s="1" t="str">
        <f>IFERROR(__xludf.DUMMYFUNCTION("""COMPUTED_VALUE"""),"CTE")</f>
        <v>CTE</v>
      </c>
      <c r="C115" s="1" t="str">
        <f>IFERROR(__xludf.DUMMYFUNCTION("""COMPUTED_VALUE"""),"RBH")</f>
        <v>RBH</v>
      </c>
      <c r="D115" s="1">
        <f>IFERROR(__xludf.DUMMYFUNCTION("""COMPUTED_VALUE"""),32.0)</f>
        <v>32</v>
      </c>
    </row>
    <row r="116">
      <c r="A116" s="1" t="str">
        <f>IFERROR(__xludf.DUMMYFUNCTION("""COMPUTED_VALUE"""),"CTE-RDE")</f>
        <v>CTE-RDE</v>
      </c>
      <c r="B116" s="1" t="str">
        <f>IFERROR(__xludf.DUMMYFUNCTION("""COMPUTED_VALUE"""),"CTE")</f>
        <v>CTE</v>
      </c>
      <c r="C116" s="1" t="str">
        <f>IFERROR(__xludf.DUMMYFUNCTION("""COMPUTED_VALUE"""),"RDE")</f>
        <v>RDE</v>
      </c>
      <c r="D116" s="1">
        <f>IFERROR(__xludf.DUMMYFUNCTION("""COMPUTED_VALUE"""),32.0)</f>
        <v>32</v>
      </c>
    </row>
    <row r="117">
      <c r="A117" s="1" t="str">
        <f>IFERROR(__xludf.DUMMYFUNCTION("""COMPUTED_VALUE"""),"CTE-RSE")</f>
        <v>CTE-RSE</v>
      </c>
      <c r="B117" s="1" t="str">
        <f>IFERROR(__xludf.DUMMYFUNCTION("""COMPUTED_VALUE"""),"CTE")</f>
        <v>CTE</v>
      </c>
      <c r="C117" s="1" t="str">
        <f>IFERROR(__xludf.DUMMYFUNCTION("""COMPUTED_VALUE"""),"RSE")</f>
        <v>RSE</v>
      </c>
      <c r="D117" s="1">
        <f>IFERROR(__xludf.DUMMYFUNCTION("""COMPUTED_VALUE"""),32.0)</f>
        <v>32</v>
      </c>
    </row>
    <row r="118">
      <c r="A118" s="1" t="str">
        <f>IFERROR(__xludf.DUMMYFUNCTION("""COMPUTED_VALUE"""),"CTE-RTA")</f>
        <v>CTE-RTA</v>
      </c>
      <c r="B118" s="1" t="str">
        <f>IFERROR(__xludf.DUMMYFUNCTION("""COMPUTED_VALUE"""),"CTE")</f>
        <v>CTE</v>
      </c>
      <c r="C118" s="1" t="str">
        <f>IFERROR(__xludf.DUMMYFUNCTION("""COMPUTED_VALUE"""),"RTA")</f>
        <v>RTA</v>
      </c>
      <c r="D118" s="1">
        <f>IFERROR(__xludf.DUMMYFUNCTION("""COMPUTED_VALUE"""),8.0)</f>
        <v>8</v>
      </c>
    </row>
    <row r="119">
      <c r="A119" s="1" t="str">
        <f>IFERROR(__xludf.DUMMYFUNCTION("""COMPUTED_VALUE"""),"CTE-SP")</f>
        <v>CTE-SP</v>
      </c>
      <c r="B119" s="1" t="str">
        <f>IFERROR(__xludf.DUMMYFUNCTION("""COMPUTED_VALUE"""),"CTE")</f>
        <v>CTE</v>
      </c>
      <c r="C119" s="1" t="str">
        <f>IFERROR(__xludf.DUMMYFUNCTION("""COMPUTED_VALUE"""),"SP")</f>
        <v>SP</v>
      </c>
      <c r="D119" s="1">
        <f>IFERROR(__xludf.DUMMYFUNCTION("""COMPUTED_VALUE"""),44.0)</f>
        <v>44</v>
      </c>
    </row>
    <row r="120">
      <c r="A120" s="1" t="str">
        <f>IFERROR(__xludf.DUMMYFUNCTION("""COMPUTED_VALUE"""),"DRS-RBH")</f>
        <v>DRS-RBH</v>
      </c>
      <c r="B120" s="1" t="str">
        <f>IFERROR(__xludf.DUMMYFUNCTION("""COMPUTED_VALUE"""),"DRS")</f>
        <v>DRS</v>
      </c>
      <c r="C120" s="1" t="str">
        <f>IFERROR(__xludf.DUMMYFUNCTION("""COMPUTED_VALUE"""),"RBH")</f>
        <v>RBH</v>
      </c>
      <c r="D120" s="1">
        <f>IFERROR(__xludf.DUMMYFUNCTION("""COMPUTED_VALUE"""),4.0)</f>
        <v>4</v>
      </c>
    </row>
    <row r="121">
      <c r="A121" s="1" t="str">
        <f>IFERROR(__xludf.DUMMYFUNCTION("""COMPUTED_VALUE"""),"DRS-RDE")</f>
        <v>DRS-RDE</v>
      </c>
      <c r="B121" s="1" t="str">
        <f>IFERROR(__xludf.DUMMYFUNCTION("""COMPUTED_VALUE"""),"DRS")</f>
        <v>DRS</v>
      </c>
      <c r="C121" s="1" t="str">
        <f>IFERROR(__xludf.DUMMYFUNCTION("""COMPUTED_VALUE"""),"RDE")</f>
        <v>RDE</v>
      </c>
      <c r="D121" s="1">
        <f>IFERROR(__xludf.DUMMYFUNCTION("""COMPUTED_VALUE"""),6.0)</f>
        <v>6</v>
      </c>
    </row>
    <row r="122">
      <c r="A122" s="1" t="str">
        <f>IFERROR(__xludf.DUMMYFUNCTION("""COMPUTED_VALUE"""),"DRS-RSE")</f>
        <v>DRS-RSE</v>
      </c>
      <c r="B122" s="1" t="str">
        <f>IFERROR(__xludf.DUMMYFUNCTION("""COMPUTED_VALUE"""),"DRS")</f>
        <v>DRS</v>
      </c>
      <c r="C122" s="1" t="str">
        <f>IFERROR(__xludf.DUMMYFUNCTION("""COMPUTED_VALUE"""),"RSE")</f>
        <v>RSE</v>
      </c>
      <c r="D122" s="1">
        <f>IFERROR(__xludf.DUMMYFUNCTION("""COMPUTED_VALUE"""),6.0)</f>
        <v>6</v>
      </c>
    </row>
    <row r="123">
      <c r="A123" s="1" t="str">
        <f>IFERROR(__xludf.DUMMYFUNCTION("""COMPUTED_VALUE"""),"DRS-RTA")</f>
        <v>DRS-RTA</v>
      </c>
      <c r="B123" s="1" t="str">
        <f>IFERROR(__xludf.DUMMYFUNCTION("""COMPUTED_VALUE"""),"DRS")</f>
        <v>DRS</v>
      </c>
      <c r="C123" s="1" t="str">
        <f>IFERROR(__xludf.DUMMYFUNCTION("""COMPUTED_VALUE"""),"RTA")</f>
        <v>RTA</v>
      </c>
      <c r="D123" s="1">
        <f>IFERROR(__xludf.DUMMYFUNCTION("""COMPUTED_VALUE"""),2.0)</f>
        <v>2</v>
      </c>
    </row>
    <row r="124">
      <c r="A124" s="1" t="str">
        <f>IFERROR(__xludf.DUMMYFUNCTION("""COMPUTED_VALUE"""),"DRS-TRU")</f>
        <v>DRS-TRU</v>
      </c>
      <c r="B124" s="1" t="str">
        <f>IFERROR(__xludf.DUMMYFUNCTION("""COMPUTED_VALUE"""),"DRS")</f>
        <v>DRS</v>
      </c>
      <c r="C124" s="1" t="str">
        <f>IFERROR(__xludf.DUMMYFUNCTION("""COMPUTED_VALUE"""),"TRU")</f>
        <v>TRU</v>
      </c>
      <c r="D124" s="1">
        <f>IFERROR(__xludf.DUMMYFUNCTION("""COMPUTED_VALUE"""),6.0)</f>
        <v>6</v>
      </c>
    </row>
    <row r="125">
      <c r="A125" s="1" t="str">
        <f>IFERROR(__xludf.DUMMYFUNCTION("""COMPUTED_VALUE"""),"ECA-RBH")</f>
        <v>ECA-RBH</v>
      </c>
      <c r="B125" s="1" t="str">
        <f>IFERROR(__xludf.DUMMYFUNCTION("""COMPUTED_VALUE"""),"ECA")</f>
        <v>ECA</v>
      </c>
      <c r="C125" s="1" t="str">
        <f>IFERROR(__xludf.DUMMYFUNCTION("""COMPUTED_VALUE"""),"RBH")</f>
        <v>RBH</v>
      </c>
      <c r="D125" s="1">
        <f>IFERROR(__xludf.DUMMYFUNCTION("""COMPUTED_VALUE"""),4.0)</f>
        <v>4</v>
      </c>
    </row>
    <row r="126">
      <c r="A126" s="1" t="str">
        <f>IFERROR(__xludf.DUMMYFUNCTION("""COMPUTED_VALUE"""),"ECA-RDE")</f>
        <v>ECA-RDE</v>
      </c>
      <c r="B126" s="1" t="str">
        <f>IFERROR(__xludf.DUMMYFUNCTION("""COMPUTED_VALUE"""),"ECA")</f>
        <v>ECA</v>
      </c>
      <c r="C126" s="1" t="str">
        <f>IFERROR(__xludf.DUMMYFUNCTION("""COMPUTED_VALUE"""),"RDE")</f>
        <v>RDE</v>
      </c>
      <c r="D126" s="1">
        <f>IFERROR(__xludf.DUMMYFUNCTION("""COMPUTED_VALUE"""),6.0)</f>
        <v>6</v>
      </c>
    </row>
    <row r="127">
      <c r="A127" s="1" t="str">
        <f>IFERROR(__xludf.DUMMYFUNCTION("""COMPUTED_VALUE"""),"ECA-RSE")</f>
        <v>ECA-RSE</v>
      </c>
      <c r="B127" s="1" t="str">
        <f>IFERROR(__xludf.DUMMYFUNCTION("""COMPUTED_VALUE"""),"ECA")</f>
        <v>ECA</v>
      </c>
      <c r="C127" s="1" t="str">
        <f>IFERROR(__xludf.DUMMYFUNCTION("""COMPUTED_VALUE"""),"RSE")</f>
        <v>RSE</v>
      </c>
      <c r="D127" s="1">
        <f>IFERROR(__xludf.DUMMYFUNCTION("""COMPUTED_VALUE"""),6.0)</f>
        <v>6</v>
      </c>
    </row>
    <row r="128">
      <c r="A128" s="1" t="str">
        <f>IFERROR(__xludf.DUMMYFUNCTION("""COMPUTED_VALUE"""),"ECA-RTA")</f>
        <v>ECA-RTA</v>
      </c>
      <c r="B128" s="1" t="str">
        <f>IFERROR(__xludf.DUMMYFUNCTION("""COMPUTED_VALUE"""),"ECA")</f>
        <v>ECA</v>
      </c>
      <c r="C128" s="1" t="str">
        <f>IFERROR(__xludf.DUMMYFUNCTION("""COMPUTED_VALUE"""),"RTA")</f>
        <v>RTA</v>
      </c>
      <c r="D128" s="1">
        <f>IFERROR(__xludf.DUMMYFUNCTION("""COMPUTED_VALUE"""),2.0)</f>
        <v>2</v>
      </c>
    </row>
    <row r="129">
      <c r="A129" s="1" t="str">
        <f>IFERROR(__xludf.DUMMYFUNCTION("""COMPUTED_VALUE"""),"ECA-TRU")</f>
        <v>ECA-TRU</v>
      </c>
      <c r="B129" s="1" t="str">
        <f>IFERROR(__xludf.DUMMYFUNCTION("""COMPUTED_VALUE"""),"ECA")</f>
        <v>ECA</v>
      </c>
      <c r="C129" s="1" t="str">
        <f>IFERROR(__xludf.DUMMYFUNCTION("""COMPUTED_VALUE"""),"TRU")</f>
        <v>TRU</v>
      </c>
      <c r="D129" s="1">
        <f>IFERROR(__xludf.DUMMYFUNCTION("""COMPUTED_VALUE"""),6.0)</f>
        <v>6</v>
      </c>
    </row>
    <row r="130">
      <c r="A130" s="1" t="str">
        <f>IFERROR(__xludf.DUMMYFUNCTION("""COMPUTED_VALUE"""),"EDM-LBH")</f>
        <v>EDM-LBH</v>
      </c>
      <c r="B130" s="1" t="str">
        <f>IFERROR(__xludf.DUMMYFUNCTION("""COMPUTED_VALUE"""),"EDM")</f>
        <v>EDM</v>
      </c>
      <c r="C130" s="1" t="str">
        <f>IFERROR(__xludf.DUMMYFUNCTION("""COMPUTED_VALUE"""),"LBH")</f>
        <v>LBH</v>
      </c>
      <c r="D130" s="1">
        <f>IFERROR(__xludf.DUMMYFUNCTION("""COMPUTED_VALUE"""),4.0)</f>
        <v>4</v>
      </c>
    </row>
    <row r="131">
      <c r="A131" s="1" t="str">
        <f>IFERROR(__xludf.DUMMYFUNCTION("""COMPUTED_VALUE"""),"EDM-LDE")</f>
        <v>EDM-LDE</v>
      </c>
      <c r="B131" s="1" t="str">
        <f>IFERROR(__xludf.DUMMYFUNCTION("""COMPUTED_VALUE"""),"EDM")</f>
        <v>EDM</v>
      </c>
      <c r="C131" s="1" t="str">
        <f>IFERROR(__xludf.DUMMYFUNCTION("""COMPUTED_VALUE"""),"LDE")</f>
        <v>LDE</v>
      </c>
      <c r="D131" s="1">
        <f>IFERROR(__xludf.DUMMYFUNCTION("""COMPUTED_VALUE"""),4.0)</f>
        <v>4</v>
      </c>
    </row>
    <row r="132">
      <c r="A132" s="1" t="str">
        <f>IFERROR(__xludf.DUMMYFUNCTION("""COMPUTED_VALUE"""),"EDM-LSE")</f>
        <v>EDM-LSE</v>
      </c>
      <c r="B132" s="1" t="str">
        <f>IFERROR(__xludf.DUMMYFUNCTION("""COMPUTED_VALUE"""),"EDM")</f>
        <v>EDM</v>
      </c>
      <c r="C132" s="1" t="str">
        <f>IFERROR(__xludf.DUMMYFUNCTION("""COMPUTED_VALUE"""),"LSE")</f>
        <v>LSE</v>
      </c>
      <c r="D132" s="1">
        <f>IFERROR(__xludf.DUMMYFUNCTION("""COMPUTED_VALUE"""),6.0)</f>
        <v>6</v>
      </c>
    </row>
    <row r="133">
      <c r="A133" s="1" t="str">
        <f>IFERROR(__xludf.DUMMYFUNCTION("""COMPUTED_VALUE"""),"EDM-TRU")</f>
        <v>EDM-TRU</v>
      </c>
      <c r="B133" s="1" t="str">
        <f>IFERROR(__xludf.DUMMYFUNCTION("""COMPUTED_VALUE"""),"EDM")</f>
        <v>EDM</v>
      </c>
      <c r="C133" s="1" t="str">
        <f>IFERROR(__xludf.DUMMYFUNCTION("""COMPUTED_VALUE"""),"TRU")</f>
        <v>TRU</v>
      </c>
      <c r="D133" s="1">
        <f>IFERROR(__xludf.DUMMYFUNCTION("""COMPUTED_VALUE"""),4.0)</f>
        <v>4</v>
      </c>
    </row>
    <row r="134">
      <c r="A134" s="1" t="str">
        <f>IFERROR(__xludf.DUMMYFUNCTION("""COMPUTED_VALUE"""),"EEP-RBH")</f>
        <v>EEP-RBH</v>
      </c>
      <c r="B134" s="1" t="str">
        <f>IFERROR(__xludf.DUMMYFUNCTION("""COMPUTED_VALUE"""),"EEP")</f>
        <v>EEP</v>
      </c>
      <c r="C134" s="1" t="str">
        <f>IFERROR(__xludf.DUMMYFUNCTION("""COMPUTED_VALUE"""),"RBH")</f>
        <v>RBH</v>
      </c>
      <c r="D134" s="1">
        <f>IFERROR(__xludf.DUMMYFUNCTION("""COMPUTED_VALUE"""),6.0)</f>
        <v>6</v>
      </c>
    </row>
    <row r="135">
      <c r="A135" s="1" t="str">
        <f>IFERROR(__xludf.DUMMYFUNCTION("""COMPUTED_VALUE"""),"EEP-RDE")</f>
        <v>EEP-RDE</v>
      </c>
      <c r="B135" s="1" t="str">
        <f>IFERROR(__xludf.DUMMYFUNCTION("""COMPUTED_VALUE"""),"EEP")</f>
        <v>EEP</v>
      </c>
      <c r="C135" s="1" t="str">
        <f>IFERROR(__xludf.DUMMYFUNCTION("""COMPUTED_VALUE"""),"RDE")</f>
        <v>RDE</v>
      </c>
      <c r="D135" s="1">
        <f>IFERROR(__xludf.DUMMYFUNCTION("""COMPUTED_VALUE"""),6.0)</f>
        <v>6</v>
      </c>
    </row>
    <row r="136">
      <c r="A136" s="1" t="str">
        <f>IFERROR(__xludf.DUMMYFUNCTION("""COMPUTED_VALUE"""),"EEP-RSE")</f>
        <v>EEP-RSE</v>
      </c>
      <c r="B136" s="1" t="str">
        <f>IFERROR(__xludf.DUMMYFUNCTION("""COMPUTED_VALUE"""),"EEP")</f>
        <v>EEP</v>
      </c>
      <c r="C136" s="1" t="str">
        <f>IFERROR(__xludf.DUMMYFUNCTION("""COMPUTED_VALUE"""),"RSE")</f>
        <v>RSE</v>
      </c>
      <c r="D136" s="1">
        <f>IFERROR(__xludf.DUMMYFUNCTION("""COMPUTED_VALUE"""),12.0)</f>
        <v>12</v>
      </c>
    </row>
    <row r="137">
      <c r="A137" s="1" t="str">
        <f>IFERROR(__xludf.DUMMYFUNCTION("""COMPUTED_VALUE"""),"EEP-RTA")</f>
        <v>EEP-RTA</v>
      </c>
      <c r="B137" s="1" t="str">
        <f>IFERROR(__xludf.DUMMYFUNCTION("""COMPUTED_VALUE"""),"EEP")</f>
        <v>EEP</v>
      </c>
      <c r="C137" s="1" t="str">
        <f>IFERROR(__xludf.DUMMYFUNCTION("""COMPUTED_VALUE"""),"RTA")</f>
        <v>RTA</v>
      </c>
      <c r="D137" s="1">
        <f>IFERROR(__xludf.DUMMYFUNCTION("""COMPUTED_VALUE"""),2.0)</f>
        <v>2</v>
      </c>
    </row>
    <row r="138">
      <c r="A138" s="1" t="str">
        <f>IFERROR(__xludf.DUMMYFUNCTION("""COMPUTED_VALUE"""),"EEP-TRU")</f>
        <v>EEP-TRU</v>
      </c>
      <c r="B138" s="1" t="str">
        <f>IFERROR(__xludf.DUMMYFUNCTION("""COMPUTED_VALUE"""),"EEP")</f>
        <v>EEP</v>
      </c>
      <c r="C138" s="1" t="str">
        <f>IFERROR(__xludf.DUMMYFUNCTION("""COMPUTED_VALUE"""),"TRU")</f>
        <v>TRU</v>
      </c>
      <c r="D138" s="1">
        <f>IFERROR(__xludf.DUMMYFUNCTION("""COMPUTED_VALUE"""),6.0)</f>
        <v>6</v>
      </c>
    </row>
    <row r="139">
      <c r="A139" s="1" t="str">
        <f>IFERROR(__xludf.DUMMYFUNCTION("""COMPUTED_VALUE"""),"ELP-RBH")</f>
        <v>ELP-RBH</v>
      </c>
      <c r="B139" s="1" t="str">
        <f>IFERROR(__xludf.DUMMYFUNCTION("""COMPUTED_VALUE"""),"ELP")</f>
        <v>ELP</v>
      </c>
      <c r="C139" s="1" t="str">
        <f>IFERROR(__xludf.DUMMYFUNCTION("""COMPUTED_VALUE"""),"RBH")</f>
        <v>RBH</v>
      </c>
      <c r="D139" s="1">
        <f>IFERROR(__xludf.DUMMYFUNCTION("""COMPUTED_VALUE"""),4.0)</f>
        <v>4</v>
      </c>
    </row>
    <row r="140">
      <c r="A140" s="1" t="str">
        <f>IFERROR(__xludf.DUMMYFUNCTION("""COMPUTED_VALUE"""),"ELP-RDE")</f>
        <v>ELP-RDE</v>
      </c>
      <c r="B140" s="1" t="str">
        <f>IFERROR(__xludf.DUMMYFUNCTION("""COMPUTED_VALUE"""),"ELP")</f>
        <v>ELP</v>
      </c>
      <c r="C140" s="1" t="str">
        <f>IFERROR(__xludf.DUMMYFUNCTION("""COMPUTED_VALUE"""),"RDE")</f>
        <v>RDE</v>
      </c>
      <c r="D140" s="1">
        <f>IFERROR(__xludf.DUMMYFUNCTION("""COMPUTED_VALUE"""),4.0)</f>
        <v>4</v>
      </c>
    </row>
    <row r="141">
      <c r="A141" s="1" t="str">
        <f>IFERROR(__xludf.DUMMYFUNCTION("""COMPUTED_VALUE"""),"ELP-RSE")</f>
        <v>ELP-RSE</v>
      </c>
      <c r="B141" s="1" t="str">
        <f>IFERROR(__xludf.DUMMYFUNCTION("""COMPUTED_VALUE"""),"ELP")</f>
        <v>ELP</v>
      </c>
      <c r="C141" s="1" t="str">
        <f>IFERROR(__xludf.DUMMYFUNCTION("""COMPUTED_VALUE"""),"RSE")</f>
        <v>RSE</v>
      </c>
      <c r="D141" s="1">
        <f>IFERROR(__xludf.DUMMYFUNCTION("""COMPUTED_VALUE"""),6.0)</f>
        <v>6</v>
      </c>
    </row>
    <row r="142">
      <c r="A142" s="1" t="str">
        <f>IFERROR(__xludf.DUMMYFUNCTION("""COMPUTED_VALUE"""),"ELP-TRU")</f>
        <v>ELP-TRU</v>
      </c>
      <c r="B142" s="1" t="str">
        <f>IFERROR(__xludf.DUMMYFUNCTION("""COMPUTED_VALUE"""),"ELP")</f>
        <v>ELP</v>
      </c>
      <c r="C142" s="1" t="str">
        <f>IFERROR(__xludf.DUMMYFUNCTION("""COMPUTED_VALUE"""),"TRU")</f>
        <v>TRU</v>
      </c>
      <c r="D142" s="1">
        <f>IFERROR(__xludf.DUMMYFUNCTION("""COMPUTED_VALUE"""),6.0)</f>
        <v>6</v>
      </c>
    </row>
    <row r="143">
      <c r="A143" s="1" t="str">
        <f>IFERROR(__xludf.DUMMYFUNCTION("""COMPUTED_VALUE"""),"EMC-BTA")</f>
        <v>EMC-BTA</v>
      </c>
      <c r="B143" s="1" t="str">
        <f>IFERROR(__xludf.DUMMYFUNCTION("""COMPUTED_VALUE"""),"EMC")</f>
        <v>EMC</v>
      </c>
      <c r="C143" s="1" t="str">
        <f>IFERROR(__xludf.DUMMYFUNCTION("""COMPUTED_VALUE"""),"BTA")</f>
        <v>BTA</v>
      </c>
      <c r="D143" s="1">
        <f>IFERROR(__xludf.DUMMYFUNCTION("""COMPUTED_VALUE"""),16.0)</f>
        <v>16</v>
      </c>
    </row>
    <row r="144">
      <c r="A144" s="1" t="str">
        <f>IFERROR(__xludf.DUMMYFUNCTION("""COMPUTED_VALUE"""),"EMC-DOU")</f>
        <v>EMC-DOU</v>
      </c>
      <c r="B144" s="1" t="str">
        <f>IFERROR(__xludf.DUMMYFUNCTION("""COMPUTED_VALUE"""),"EMC")</f>
        <v>EMC</v>
      </c>
      <c r="C144" s="1" t="str">
        <f>IFERROR(__xludf.DUMMYFUNCTION("""COMPUTED_VALUE"""),"DOU")</f>
        <v>DOU</v>
      </c>
      <c r="D144" s="1">
        <f>IFERROR(__xludf.DUMMYFUNCTION("""COMPUTED_VALUE"""),1.0)</f>
        <v>1</v>
      </c>
    </row>
    <row r="145">
      <c r="A145" s="1" t="str">
        <f>IFERROR(__xludf.DUMMYFUNCTION("""COMPUTED_VALUE"""),"EMC-LBH")</f>
        <v>EMC-LBH</v>
      </c>
      <c r="B145" s="1" t="str">
        <f>IFERROR(__xludf.DUMMYFUNCTION("""COMPUTED_VALUE"""),"EMC")</f>
        <v>EMC</v>
      </c>
      <c r="C145" s="1" t="str">
        <f>IFERROR(__xludf.DUMMYFUNCTION("""COMPUTED_VALUE"""),"LBH")</f>
        <v>LBH</v>
      </c>
      <c r="D145" s="1">
        <f>IFERROR(__xludf.DUMMYFUNCTION("""COMPUTED_VALUE"""),32.0)</f>
        <v>32</v>
      </c>
    </row>
    <row r="146">
      <c r="A146" s="1" t="str">
        <f>IFERROR(__xludf.DUMMYFUNCTION("""COMPUTED_VALUE"""),"EMC-LDE")</f>
        <v>EMC-LDE</v>
      </c>
      <c r="B146" s="1" t="str">
        <f>IFERROR(__xludf.DUMMYFUNCTION("""COMPUTED_VALUE"""),"EMC")</f>
        <v>EMC</v>
      </c>
      <c r="C146" s="1" t="str">
        <f>IFERROR(__xludf.DUMMYFUNCTION("""COMPUTED_VALUE"""),"LDE")</f>
        <v>LDE</v>
      </c>
      <c r="D146" s="1">
        <f>IFERROR(__xludf.DUMMYFUNCTION("""COMPUTED_VALUE"""),32.0)</f>
        <v>32</v>
      </c>
    </row>
    <row r="147">
      <c r="A147" s="1" t="str">
        <f>IFERROR(__xludf.DUMMYFUNCTION("""COMPUTED_VALUE"""),"EMC-LSE")</f>
        <v>EMC-LSE</v>
      </c>
      <c r="B147" s="1" t="str">
        <f>IFERROR(__xludf.DUMMYFUNCTION("""COMPUTED_VALUE"""),"EMC")</f>
        <v>EMC</v>
      </c>
      <c r="C147" s="1" t="str">
        <f>IFERROR(__xludf.DUMMYFUNCTION("""COMPUTED_VALUE"""),"LSE")</f>
        <v>LSE</v>
      </c>
      <c r="D147" s="1">
        <f>IFERROR(__xludf.DUMMYFUNCTION("""COMPUTED_VALUE"""),24.0)</f>
        <v>24</v>
      </c>
    </row>
    <row r="148">
      <c r="A148" s="1" t="str">
        <f>IFERROR(__xludf.DUMMYFUNCTION("""COMPUTED_VALUE"""),"EMC-MCG")</f>
        <v>EMC-MCG</v>
      </c>
      <c r="B148" s="1" t="str">
        <f>IFERROR(__xludf.DUMMYFUNCTION("""COMPUTED_VALUE"""),"EMC")</f>
        <v>EMC</v>
      </c>
      <c r="C148" s="1" t="str">
        <f>IFERROR(__xludf.DUMMYFUNCTION("""COMPUTED_VALUE"""),"MCG")</f>
        <v>MCG</v>
      </c>
      <c r="D148" s="1">
        <f>IFERROR(__xludf.DUMMYFUNCTION("""COMPUTED_VALUE"""),300.0)</f>
        <v>300</v>
      </c>
    </row>
    <row r="149">
      <c r="A149" s="1" t="str">
        <f>IFERROR(__xludf.DUMMYFUNCTION("""COMPUTED_VALUE"""),"EMC-TCU")</f>
        <v>EMC-TCU</v>
      </c>
      <c r="B149" s="1" t="str">
        <f>IFERROR(__xludf.DUMMYFUNCTION("""COMPUTED_VALUE"""),"EMC")</f>
        <v>EMC</v>
      </c>
      <c r="C149" s="1" t="str">
        <f>IFERROR(__xludf.DUMMYFUNCTION("""COMPUTED_VALUE"""),"TCU")</f>
        <v>TCU</v>
      </c>
      <c r="D149" s="1">
        <f>IFERROR(__xludf.DUMMYFUNCTION("""COMPUTED_VALUE"""),1.0)</f>
        <v>1</v>
      </c>
    </row>
    <row r="150">
      <c r="A150" s="1" t="str">
        <f>IFERROR(__xludf.DUMMYFUNCTION("""COMPUTED_VALUE"""),"EXT-BSE")</f>
        <v>EXT-BSE</v>
      </c>
      <c r="B150" s="1" t="str">
        <f>IFERROR(__xludf.DUMMYFUNCTION("""COMPUTED_VALUE"""),"EXT")</f>
        <v>EXT</v>
      </c>
      <c r="C150" s="1" t="str">
        <f>IFERROR(__xludf.DUMMYFUNCTION("""COMPUTED_VALUE"""),"BSE")</f>
        <v>BSE</v>
      </c>
      <c r="D150" s="1">
        <f>IFERROR(__xludf.DUMMYFUNCTION("""COMPUTED_VALUE"""),16.0)</f>
        <v>16</v>
      </c>
    </row>
    <row r="151">
      <c r="A151" s="1" t="str">
        <f>IFERROR(__xludf.DUMMYFUNCTION("""COMPUTED_VALUE"""),"FER-LBH")</f>
        <v>FER-LBH</v>
      </c>
      <c r="B151" s="1" t="str">
        <f>IFERROR(__xludf.DUMMYFUNCTION("""COMPUTED_VALUE"""),"FER")</f>
        <v>FER</v>
      </c>
      <c r="C151" s="1" t="str">
        <f>IFERROR(__xludf.DUMMYFUNCTION("""COMPUTED_VALUE"""),"LBH")</f>
        <v>LBH</v>
      </c>
      <c r="D151" s="1">
        <f>IFERROR(__xludf.DUMMYFUNCTION("""COMPUTED_VALUE"""),2.0)</f>
        <v>2</v>
      </c>
    </row>
    <row r="152">
      <c r="A152" s="1" t="str">
        <f>IFERROR(__xludf.DUMMYFUNCTION("""COMPUTED_VALUE"""),"FER-LDE")</f>
        <v>FER-LDE</v>
      </c>
      <c r="B152" s="1" t="str">
        <f>IFERROR(__xludf.DUMMYFUNCTION("""COMPUTED_VALUE"""),"FER")</f>
        <v>FER</v>
      </c>
      <c r="C152" s="1" t="str">
        <f>IFERROR(__xludf.DUMMYFUNCTION("""COMPUTED_VALUE"""),"LDE")</f>
        <v>LDE</v>
      </c>
      <c r="D152" s="1">
        <f>IFERROR(__xludf.DUMMYFUNCTION("""COMPUTED_VALUE"""),2.0)</f>
        <v>2</v>
      </c>
    </row>
    <row r="153">
      <c r="A153" s="1" t="str">
        <f>IFERROR(__xludf.DUMMYFUNCTION("""COMPUTED_VALUE"""),"FER-LSE")</f>
        <v>FER-LSE</v>
      </c>
      <c r="B153" s="1" t="str">
        <f>IFERROR(__xludf.DUMMYFUNCTION("""COMPUTED_VALUE"""),"FER")</f>
        <v>FER</v>
      </c>
      <c r="C153" s="1" t="str">
        <f>IFERROR(__xludf.DUMMYFUNCTION("""COMPUTED_VALUE"""),"LSE")</f>
        <v>LSE</v>
      </c>
      <c r="D153" s="1">
        <f>IFERROR(__xludf.DUMMYFUNCTION("""COMPUTED_VALUE"""),2.0)</f>
        <v>2</v>
      </c>
    </row>
    <row r="154">
      <c r="A154" s="1" t="str">
        <f>IFERROR(__xludf.DUMMYFUNCTION("""COMPUTED_VALUE"""),"FER-TRU")</f>
        <v>FER-TRU</v>
      </c>
      <c r="B154" s="1" t="str">
        <f>IFERROR(__xludf.DUMMYFUNCTION("""COMPUTED_VALUE"""),"FER")</f>
        <v>FER</v>
      </c>
      <c r="C154" s="1" t="str">
        <f>IFERROR(__xludf.DUMMYFUNCTION("""COMPUTED_VALUE"""),"TRU")</f>
        <v>TRU</v>
      </c>
      <c r="D154" s="1">
        <f>IFERROR(__xludf.DUMMYFUNCTION("""COMPUTED_VALUE"""),5.0)</f>
        <v>5</v>
      </c>
    </row>
    <row r="155">
      <c r="A155" s="1" t="str">
        <f>IFERROR(__xludf.DUMMYFUNCTION("""COMPUTED_VALUE"""),"FP-BBH")</f>
        <v>FP-BBH</v>
      </c>
      <c r="B155" s="1" t="str">
        <f>IFERROR(__xludf.DUMMYFUNCTION("""COMPUTED_VALUE"""),"FP")</f>
        <v>FP</v>
      </c>
      <c r="C155" s="1" t="str">
        <f>IFERROR(__xludf.DUMMYFUNCTION("""COMPUTED_VALUE"""),"BBH")</f>
        <v>BBH</v>
      </c>
      <c r="D155" s="1">
        <f>IFERROR(__xludf.DUMMYFUNCTION("""COMPUTED_VALUE"""),3.0)</f>
        <v>3</v>
      </c>
    </row>
    <row r="156">
      <c r="A156" s="1" t="str">
        <f>IFERROR(__xludf.DUMMYFUNCTION("""COMPUTED_VALUE"""),"FP-BDE")</f>
        <v>FP-BDE</v>
      </c>
      <c r="B156" s="1" t="str">
        <f>IFERROR(__xludf.DUMMYFUNCTION("""COMPUTED_VALUE"""),"FP")</f>
        <v>FP</v>
      </c>
      <c r="C156" s="1" t="str">
        <f>IFERROR(__xludf.DUMMYFUNCTION("""COMPUTED_VALUE"""),"BDE")</f>
        <v>BDE</v>
      </c>
      <c r="D156" s="1">
        <f>IFERROR(__xludf.DUMMYFUNCTION("""COMPUTED_VALUE"""),3.0)</f>
        <v>3</v>
      </c>
    </row>
    <row r="157">
      <c r="A157" s="1" t="str">
        <f>IFERROR(__xludf.DUMMYFUNCTION("""COMPUTED_VALUE"""),"FP-BSE")</f>
        <v>FP-BSE</v>
      </c>
      <c r="B157" s="1" t="str">
        <f>IFERROR(__xludf.DUMMYFUNCTION("""COMPUTED_VALUE"""),"FP")</f>
        <v>FP</v>
      </c>
      <c r="C157" s="1" t="str">
        <f>IFERROR(__xludf.DUMMYFUNCTION("""COMPUTED_VALUE"""),"BSE")</f>
        <v>BSE</v>
      </c>
      <c r="D157" s="1">
        <f>IFERROR(__xludf.DUMMYFUNCTION("""COMPUTED_VALUE"""),3.0)</f>
        <v>3</v>
      </c>
    </row>
    <row r="158">
      <c r="A158" s="1" t="str">
        <f>IFERROR(__xludf.DUMMYFUNCTION("""COMPUTED_VALUE"""),"FRM-BBH")</f>
        <v>FRM-BBH</v>
      </c>
      <c r="B158" s="1" t="str">
        <f>IFERROR(__xludf.DUMMYFUNCTION("""COMPUTED_VALUE"""),"FRM")</f>
        <v>FRM</v>
      </c>
      <c r="C158" s="1" t="str">
        <f>IFERROR(__xludf.DUMMYFUNCTION("""COMPUTED_VALUE"""),"BBH")</f>
        <v>BBH</v>
      </c>
      <c r="D158" s="1">
        <f>IFERROR(__xludf.DUMMYFUNCTION("""COMPUTED_VALUE"""),4.0)</f>
        <v>4</v>
      </c>
    </row>
    <row r="159">
      <c r="A159" s="1" t="str">
        <f>IFERROR(__xludf.DUMMYFUNCTION("""COMPUTED_VALUE"""),"FRM-BSE")</f>
        <v>FRM-BSE</v>
      </c>
      <c r="B159" s="1" t="str">
        <f>IFERROR(__xludf.DUMMYFUNCTION("""COMPUTED_VALUE"""),"FRM")</f>
        <v>FRM</v>
      </c>
      <c r="C159" s="1" t="str">
        <f>IFERROR(__xludf.DUMMYFUNCTION("""COMPUTED_VALUE"""),"BSE")</f>
        <v>BSE</v>
      </c>
      <c r="D159" s="1">
        <f>IFERROR(__xludf.DUMMYFUNCTION("""COMPUTED_VALUE"""),4.0)</f>
        <v>4</v>
      </c>
    </row>
    <row r="160">
      <c r="A160" s="1" t="str">
        <f>IFERROR(__xludf.DUMMYFUNCTION("""COMPUTED_VALUE"""),"FS-BBH")</f>
        <v>FS-BBH</v>
      </c>
      <c r="B160" s="1" t="str">
        <f>IFERROR(__xludf.DUMMYFUNCTION("""COMPUTED_VALUE"""),"FS")</f>
        <v>FS</v>
      </c>
      <c r="C160" s="1" t="str">
        <f>IFERROR(__xludf.DUMMYFUNCTION("""COMPUTED_VALUE"""),"BBH")</f>
        <v>BBH</v>
      </c>
      <c r="D160" s="1">
        <f>IFERROR(__xludf.DUMMYFUNCTION("""COMPUTED_VALUE"""),2.0)</f>
        <v>2</v>
      </c>
    </row>
    <row r="161">
      <c r="A161" s="1" t="str">
        <f>IFERROR(__xludf.DUMMYFUNCTION("""COMPUTED_VALUE"""),"FS-LBH")</f>
        <v>FS-LBH</v>
      </c>
      <c r="B161" s="1" t="str">
        <f>IFERROR(__xludf.DUMMYFUNCTION("""COMPUTED_VALUE"""),"FS")</f>
        <v>FS</v>
      </c>
      <c r="C161" s="1" t="str">
        <f>IFERROR(__xludf.DUMMYFUNCTION("""COMPUTED_VALUE"""),"LBH")</f>
        <v>LBH</v>
      </c>
      <c r="D161" s="1">
        <f>IFERROR(__xludf.DUMMYFUNCTION("""COMPUTED_VALUE"""),2.0)</f>
        <v>2</v>
      </c>
    </row>
    <row r="162">
      <c r="A162" s="1" t="str">
        <f>IFERROR(__xludf.DUMMYFUNCTION("""COMPUTED_VALUE"""),"FS-LDE")</f>
        <v>FS-LDE</v>
      </c>
      <c r="B162" s="1" t="str">
        <f>IFERROR(__xludf.DUMMYFUNCTION("""COMPUTED_VALUE"""),"FS")</f>
        <v>FS</v>
      </c>
      <c r="C162" s="1" t="str">
        <f>IFERROR(__xludf.DUMMYFUNCTION("""COMPUTED_VALUE"""),"LDE")</f>
        <v>LDE</v>
      </c>
      <c r="D162" s="1">
        <f>IFERROR(__xludf.DUMMYFUNCTION("""COMPUTED_VALUE"""),2.0)</f>
        <v>2</v>
      </c>
    </row>
    <row r="163">
      <c r="A163" s="1" t="str">
        <f>IFERROR(__xludf.DUMMYFUNCTION("""COMPUTED_VALUE"""),"FS-TRU")</f>
        <v>FS-TRU</v>
      </c>
      <c r="B163" s="1" t="str">
        <f>IFERROR(__xludf.DUMMYFUNCTION("""COMPUTED_VALUE"""),"FS")</f>
        <v>FS</v>
      </c>
      <c r="C163" s="1" t="str">
        <f>IFERROR(__xludf.DUMMYFUNCTION("""COMPUTED_VALUE"""),"TRU")</f>
        <v>TRU</v>
      </c>
      <c r="D163" s="1">
        <f>IFERROR(__xludf.DUMMYFUNCTION("""COMPUTED_VALUE"""),4.0)</f>
        <v>4</v>
      </c>
    </row>
    <row r="164">
      <c r="A164" s="1" t="str">
        <f>IFERROR(__xludf.DUMMYFUNCTION("""COMPUTED_VALUE"""),"GF-LBH")</f>
        <v>GF-LBH</v>
      </c>
      <c r="B164" s="1" t="str">
        <f>IFERROR(__xludf.DUMMYFUNCTION("""COMPUTED_VALUE"""),"GF")</f>
        <v>GF</v>
      </c>
      <c r="C164" s="1" t="str">
        <f>IFERROR(__xludf.DUMMYFUNCTION("""COMPUTED_VALUE"""),"LBH")</f>
        <v>LBH</v>
      </c>
      <c r="D164" s="1">
        <f>IFERROR(__xludf.DUMMYFUNCTION("""COMPUTED_VALUE"""),4.0)</f>
        <v>4</v>
      </c>
    </row>
    <row r="165">
      <c r="A165" s="1" t="str">
        <f>IFERROR(__xludf.DUMMYFUNCTION("""COMPUTED_VALUE"""),"GF-LSE")</f>
        <v>GF-LSE</v>
      </c>
      <c r="B165" s="1" t="str">
        <f>IFERROR(__xludf.DUMMYFUNCTION("""COMPUTED_VALUE"""),"GF")</f>
        <v>GF</v>
      </c>
      <c r="C165" s="1" t="str">
        <f>IFERROR(__xludf.DUMMYFUNCTION("""COMPUTED_VALUE"""),"LSE")</f>
        <v>LSE</v>
      </c>
      <c r="D165" s="1">
        <f>IFERROR(__xludf.DUMMYFUNCTION("""COMPUTED_VALUE"""),6.0)</f>
        <v>6</v>
      </c>
    </row>
    <row r="166">
      <c r="A166" s="1" t="str">
        <f>IFERROR(__xludf.DUMMYFUNCTION("""COMPUTED_VALUE"""),"GF-TRU")</f>
        <v>GF-TRU</v>
      </c>
      <c r="B166" s="1" t="str">
        <f>IFERROR(__xludf.DUMMYFUNCTION("""COMPUTED_VALUE"""),"GF")</f>
        <v>GF</v>
      </c>
      <c r="C166" s="1" t="str">
        <f>IFERROR(__xludf.DUMMYFUNCTION("""COMPUTED_VALUE"""),"TRU")</f>
        <v>TRU</v>
      </c>
      <c r="D166" s="1">
        <f>IFERROR(__xludf.DUMMYFUNCTION("""COMPUTED_VALUE"""),5.0)</f>
        <v>5</v>
      </c>
    </row>
    <row r="167">
      <c r="A167" s="1" t="str">
        <f>IFERROR(__xludf.DUMMYFUNCTION("""COMPUTED_VALUE"""),"HB1-BBH")</f>
        <v>HB1-BBH</v>
      </c>
      <c r="B167" s="1" t="str">
        <f>IFERROR(__xludf.DUMMYFUNCTION("""COMPUTED_VALUE"""),"HB1")</f>
        <v>HB1</v>
      </c>
      <c r="C167" s="1" t="str">
        <f>IFERROR(__xludf.DUMMYFUNCTION("""COMPUTED_VALUE"""),"BBH")</f>
        <v>BBH</v>
      </c>
      <c r="D167" s="1">
        <f>IFERROR(__xludf.DUMMYFUNCTION("""COMPUTED_VALUE"""),4.0)</f>
        <v>4</v>
      </c>
    </row>
    <row r="168">
      <c r="A168" s="1" t="str">
        <f>IFERROR(__xludf.DUMMYFUNCTION("""COMPUTED_VALUE"""),"HB1-BDE")</f>
        <v>HB1-BDE</v>
      </c>
      <c r="B168" s="1" t="str">
        <f>IFERROR(__xludf.DUMMYFUNCTION("""COMPUTED_VALUE"""),"HB1")</f>
        <v>HB1</v>
      </c>
      <c r="C168" s="1" t="str">
        <f>IFERROR(__xludf.DUMMYFUNCTION("""COMPUTED_VALUE"""),"BDE")</f>
        <v>BDE</v>
      </c>
      <c r="D168" s="1">
        <f>IFERROR(__xludf.DUMMYFUNCTION("""COMPUTED_VALUE"""),2.0)</f>
        <v>2</v>
      </c>
    </row>
    <row r="169">
      <c r="A169" s="1" t="str">
        <f>IFERROR(__xludf.DUMMYFUNCTION("""COMPUTED_VALUE"""),"HB1-BSE")</f>
        <v>HB1-BSE</v>
      </c>
      <c r="B169" s="1" t="str">
        <f>IFERROR(__xludf.DUMMYFUNCTION("""COMPUTED_VALUE"""),"HB1")</f>
        <v>HB1</v>
      </c>
      <c r="C169" s="1" t="str">
        <f>IFERROR(__xludf.DUMMYFUNCTION("""COMPUTED_VALUE"""),"BSE")</f>
        <v>BSE</v>
      </c>
      <c r="D169" s="1">
        <f>IFERROR(__xludf.DUMMYFUNCTION("""COMPUTED_VALUE"""),2.0)</f>
        <v>2</v>
      </c>
    </row>
    <row r="170">
      <c r="A170" s="1" t="str">
        <f>IFERROR(__xludf.DUMMYFUNCTION("""COMPUTED_VALUE"""),"HB1-BTA")</f>
        <v>HB1-BTA</v>
      </c>
      <c r="B170" s="1" t="str">
        <f>IFERROR(__xludf.DUMMYFUNCTION("""COMPUTED_VALUE"""),"HB1")</f>
        <v>HB1</v>
      </c>
      <c r="C170" s="1" t="str">
        <f>IFERROR(__xludf.DUMMYFUNCTION("""COMPUTED_VALUE"""),"BTA")</f>
        <v>BTA</v>
      </c>
      <c r="D170" s="1">
        <f>IFERROR(__xludf.DUMMYFUNCTION("""COMPUTED_VALUE"""),1.0)</f>
        <v>1</v>
      </c>
    </row>
    <row r="171">
      <c r="A171" s="1" t="str">
        <f>IFERROR(__xludf.DUMMYFUNCTION("""COMPUTED_VALUE"""),"HB2-BBH")</f>
        <v>HB2-BBH</v>
      </c>
      <c r="B171" s="1" t="str">
        <f>IFERROR(__xludf.DUMMYFUNCTION("""COMPUTED_VALUE"""),"HB2")</f>
        <v>HB2</v>
      </c>
      <c r="C171" s="1" t="str">
        <f>IFERROR(__xludf.DUMMYFUNCTION("""COMPUTED_VALUE"""),"BBH")</f>
        <v>BBH</v>
      </c>
      <c r="D171" s="1">
        <f>IFERROR(__xludf.DUMMYFUNCTION("""COMPUTED_VALUE"""),2.0)</f>
        <v>2</v>
      </c>
    </row>
    <row r="172">
      <c r="A172" s="1" t="str">
        <f>IFERROR(__xludf.DUMMYFUNCTION("""COMPUTED_VALUE"""),"HB2-BDE")</f>
        <v>HB2-BDE</v>
      </c>
      <c r="B172" s="1" t="str">
        <f>IFERROR(__xludf.DUMMYFUNCTION("""COMPUTED_VALUE"""),"HB2")</f>
        <v>HB2</v>
      </c>
      <c r="C172" s="1" t="str">
        <f>IFERROR(__xludf.DUMMYFUNCTION("""COMPUTED_VALUE"""),"BDE")</f>
        <v>BDE</v>
      </c>
      <c r="D172" s="1">
        <f>IFERROR(__xludf.DUMMYFUNCTION("""COMPUTED_VALUE"""),2.0)</f>
        <v>2</v>
      </c>
    </row>
    <row r="173">
      <c r="A173" s="1" t="str">
        <f>IFERROR(__xludf.DUMMYFUNCTION("""COMPUTED_VALUE"""),"HB2-BSE")</f>
        <v>HB2-BSE</v>
      </c>
      <c r="B173" s="1" t="str">
        <f>IFERROR(__xludf.DUMMYFUNCTION("""COMPUTED_VALUE"""),"HB2")</f>
        <v>HB2</v>
      </c>
      <c r="C173" s="1" t="str">
        <f>IFERROR(__xludf.DUMMYFUNCTION("""COMPUTED_VALUE"""),"BSE")</f>
        <v>BSE</v>
      </c>
      <c r="D173" s="1">
        <f>IFERROR(__xludf.DUMMYFUNCTION("""COMPUTED_VALUE"""),2.0)</f>
        <v>2</v>
      </c>
    </row>
    <row r="174">
      <c r="A174" s="1" t="str">
        <f>IFERROR(__xludf.DUMMYFUNCTION("""COMPUTED_VALUE"""),"HB2-BTA")</f>
        <v>HB2-BTA</v>
      </c>
      <c r="B174" s="1" t="str">
        <f>IFERROR(__xludf.DUMMYFUNCTION("""COMPUTED_VALUE"""),"HB2")</f>
        <v>HB2</v>
      </c>
      <c r="C174" s="1" t="str">
        <f>IFERROR(__xludf.DUMMYFUNCTION("""COMPUTED_VALUE"""),"BTA")</f>
        <v>BTA</v>
      </c>
      <c r="D174" s="1">
        <f>IFERROR(__xludf.DUMMYFUNCTION("""COMPUTED_VALUE"""),2.0)</f>
        <v>2</v>
      </c>
    </row>
    <row r="175">
      <c r="A175" s="1" t="str">
        <f>IFERROR(__xludf.DUMMYFUNCTION("""COMPUTED_VALUE"""),"HB2-TRU")</f>
        <v>HB2-TRU</v>
      </c>
      <c r="B175" s="1" t="str">
        <f>IFERROR(__xludf.DUMMYFUNCTION("""COMPUTED_VALUE"""),"HB2")</f>
        <v>HB2</v>
      </c>
      <c r="C175" s="1" t="str">
        <f>IFERROR(__xludf.DUMMYFUNCTION("""COMPUTED_VALUE"""),"TRU")</f>
        <v>TRU</v>
      </c>
      <c r="D175" s="1">
        <f>IFERROR(__xludf.DUMMYFUNCTION("""COMPUTED_VALUE"""),2.0)</f>
        <v>2</v>
      </c>
    </row>
    <row r="176">
      <c r="A176" s="1" t="str">
        <f>IFERROR(__xludf.DUMMYFUNCTION("""COMPUTED_VALUE"""),"HB3-LBH")</f>
        <v>HB3-LBH</v>
      </c>
      <c r="B176" s="1" t="str">
        <f>IFERROR(__xludf.DUMMYFUNCTION("""COMPUTED_VALUE"""),"HB3")</f>
        <v>HB3</v>
      </c>
      <c r="C176" s="1" t="str">
        <f>IFERROR(__xludf.DUMMYFUNCTION("""COMPUTED_VALUE"""),"LBH")</f>
        <v>LBH</v>
      </c>
      <c r="D176" s="1">
        <f>IFERROR(__xludf.DUMMYFUNCTION("""COMPUTED_VALUE"""),4.0)</f>
        <v>4</v>
      </c>
    </row>
    <row r="177">
      <c r="A177" s="1" t="str">
        <f>IFERROR(__xludf.DUMMYFUNCTION("""COMPUTED_VALUE"""),"HB3-LDE")</f>
        <v>HB3-LDE</v>
      </c>
      <c r="B177" s="1" t="str">
        <f>IFERROR(__xludf.DUMMYFUNCTION("""COMPUTED_VALUE"""),"HB3")</f>
        <v>HB3</v>
      </c>
      <c r="C177" s="1" t="str">
        <f>IFERROR(__xludf.DUMMYFUNCTION("""COMPUTED_VALUE"""),"LDE")</f>
        <v>LDE</v>
      </c>
      <c r="D177" s="1">
        <f>IFERROR(__xludf.DUMMYFUNCTION("""COMPUTED_VALUE"""),4.0)</f>
        <v>4</v>
      </c>
    </row>
    <row r="178">
      <c r="A178" s="1" t="str">
        <f>IFERROR(__xludf.DUMMYFUNCTION("""COMPUTED_VALUE"""),"HB3-LSE")</f>
        <v>HB3-LSE</v>
      </c>
      <c r="B178" s="1" t="str">
        <f>IFERROR(__xludf.DUMMYFUNCTION("""COMPUTED_VALUE"""),"HB3")</f>
        <v>HB3</v>
      </c>
      <c r="C178" s="1" t="str">
        <f>IFERROR(__xludf.DUMMYFUNCTION("""COMPUTED_VALUE"""),"LSE")</f>
        <v>LSE</v>
      </c>
      <c r="D178" s="1">
        <f>IFERROR(__xludf.DUMMYFUNCTION("""COMPUTED_VALUE"""),4.0)</f>
        <v>4</v>
      </c>
    </row>
    <row r="179">
      <c r="A179" s="1" t="str">
        <f>IFERROR(__xludf.DUMMYFUNCTION("""COMPUTED_VALUE"""),"HB3-LTA")</f>
        <v>HB3-LTA</v>
      </c>
      <c r="B179" s="1" t="str">
        <f>IFERROR(__xludf.DUMMYFUNCTION("""COMPUTED_VALUE"""),"HB3")</f>
        <v>HB3</v>
      </c>
      <c r="C179" s="1" t="str">
        <f>IFERROR(__xludf.DUMMYFUNCTION("""COMPUTED_VALUE"""),"LTA")</f>
        <v>LTA</v>
      </c>
      <c r="D179" s="1">
        <f>IFERROR(__xludf.DUMMYFUNCTION("""COMPUTED_VALUE"""),8.0)</f>
        <v>8</v>
      </c>
    </row>
    <row r="180">
      <c r="A180" s="1" t="str">
        <f>IFERROR(__xludf.DUMMYFUNCTION("""COMPUTED_VALUE"""),"HB4-RBH")</f>
        <v>HB4-RBH</v>
      </c>
      <c r="B180" s="1" t="str">
        <f>IFERROR(__xludf.DUMMYFUNCTION("""COMPUTED_VALUE"""),"HB4")</f>
        <v>HB4</v>
      </c>
      <c r="C180" s="1" t="str">
        <f>IFERROR(__xludf.DUMMYFUNCTION("""COMPUTED_VALUE"""),"RBH")</f>
        <v>RBH</v>
      </c>
      <c r="D180" s="1">
        <f>IFERROR(__xludf.DUMMYFUNCTION("""COMPUTED_VALUE"""),6.0)</f>
        <v>6</v>
      </c>
    </row>
    <row r="181">
      <c r="A181" s="1" t="str">
        <f>IFERROR(__xludf.DUMMYFUNCTION("""COMPUTED_VALUE"""),"HB4-RDE")</f>
        <v>HB4-RDE</v>
      </c>
      <c r="B181" s="1" t="str">
        <f>IFERROR(__xludf.DUMMYFUNCTION("""COMPUTED_VALUE"""),"HB4")</f>
        <v>HB4</v>
      </c>
      <c r="C181" s="1" t="str">
        <f>IFERROR(__xludf.DUMMYFUNCTION("""COMPUTED_VALUE"""),"RDE")</f>
        <v>RDE</v>
      </c>
      <c r="D181" s="1">
        <f>IFERROR(__xludf.DUMMYFUNCTION("""COMPUTED_VALUE"""),6.0)</f>
        <v>6</v>
      </c>
    </row>
    <row r="182">
      <c r="A182" s="1" t="str">
        <f>IFERROR(__xludf.DUMMYFUNCTION("""COMPUTED_VALUE"""),"HB4-RSE")</f>
        <v>HB4-RSE</v>
      </c>
      <c r="B182" s="1" t="str">
        <f>IFERROR(__xludf.DUMMYFUNCTION("""COMPUTED_VALUE"""),"HB4")</f>
        <v>HB4</v>
      </c>
      <c r="C182" s="1" t="str">
        <f>IFERROR(__xludf.DUMMYFUNCTION("""COMPUTED_VALUE"""),"RSE")</f>
        <v>RSE</v>
      </c>
      <c r="D182" s="1">
        <f>IFERROR(__xludf.DUMMYFUNCTION("""COMPUTED_VALUE"""),4.0)</f>
        <v>4</v>
      </c>
    </row>
    <row r="183">
      <c r="A183" s="1" t="str">
        <f>IFERROR(__xludf.DUMMYFUNCTION("""COMPUTED_VALUE"""),"HB4-RTA")</f>
        <v>HB4-RTA</v>
      </c>
      <c r="B183" s="1" t="str">
        <f>IFERROR(__xludf.DUMMYFUNCTION("""COMPUTED_VALUE"""),"HB4")</f>
        <v>HB4</v>
      </c>
      <c r="C183" s="1" t="str">
        <f>IFERROR(__xludf.DUMMYFUNCTION("""COMPUTED_VALUE"""),"RTA")</f>
        <v>RTA</v>
      </c>
      <c r="D183" s="1">
        <f>IFERROR(__xludf.DUMMYFUNCTION("""COMPUTED_VALUE"""),4.0)</f>
        <v>4</v>
      </c>
    </row>
    <row r="184">
      <c r="A184" s="1" t="str">
        <f>IFERROR(__xludf.DUMMYFUNCTION("""COMPUTED_VALUE"""),"HB5-ABH")</f>
        <v>HB5-ABH</v>
      </c>
      <c r="B184" s="1" t="str">
        <f>IFERROR(__xludf.DUMMYFUNCTION("""COMPUTED_VALUE"""),"HB5")</f>
        <v>HB5</v>
      </c>
      <c r="C184" s="1" t="str">
        <f>IFERROR(__xludf.DUMMYFUNCTION("""COMPUTED_VALUE"""),"ABH")</f>
        <v>ABH</v>
      </c>
      <c r="D184" s="1">
        <f>IFERROR(__xludf.DUMMYFUNCTION("""COMPUTED_VALUE"""),6.0)</f>
        <v>6</v>
      </c>
    </row>
    <row r="185">
      <c r="A185" s="1" t="str">
        <f>IFERROR(__xludf.DUMMYFUNCTION("""COMPUTED_VALUE"""),"HB5-ADE")</f>
        <v>HB5-ADE</v>
      </c>
      <c r="B185" s="1" t="str">
        <f>IFERROR(__xludf.DUMMYFUNCTION("""COMPUTED_VALUE"""),"HB5")</f>
        <v>HB5</v>
      </c>
      <c r="C185" s="1" t="str">
        <f>IFERROR(__xludf.DUMMYFUNCTION("""COMPUTED_VALUE"""),"ADE")</f>
        <v>ADE</v>
      </c>
      <c r="D185" s="1">
        <f>IFERROR(__xludf.DUMMYFUNCTION("""COMPUTED_VALUE"""),6.0)</f>
        <v>6</v>
      </c>
    </row>
    <row r="186">
      <c r="A186" s="1" t="str">
        <f>IFERROR(__xludf.DUMMYFUNCTION("""COMPUTED_VALUE"""),"HB5-ASE")</f>
        <v>HB5-ASE</v>
      </c>
      <c r="B186" s="1" t="str">
        <f>IFERROR(__xludf.DUMMYFUNCTION("""COMPUTED_VALUE"""),"HB5")</f>
        <v>HB5</v>
      </c>
      <c r="C186" s="1" t="str">
        <f>IFERROR(__xludf.DUMMYFUNCTION("""COMPUTED_VALUE"""),"ASE")</f>
        <v>ASE</v>
      </c>
      <c r="D186" s="1">
        <f>IFERROR(__xludf.DUMMYFUNCTION("""COMPUTED_VALUE"""),4.0)</f>
        <v>4</v>
      </c>
    </row>
    <row r="187">
      <c r="A187" s="1" t="str">
        <f>IFERROR(__xludf.DUMMYFUNCTION("""COMPUTED_VALUE"""),"HB5-ATA")</f>
        <v>HB5-ATA</v>
      </c>
      <c r="B187" s="1" t="str">
        <f>IFERROR(__xludf.DUMMYFUNCTION("""COMPUTED_VALUE"""),"HB5")</f>
        <v>HB5</v>
      </c>
      <c r="C187" s="1" t="str">
        <f>IFERROR(__xludf.DUMMYFUNCTION("""COMPUTED_VALUE"""),"ATA")</f>
        <v>ATA</v>
      </c>
      <c r="D187" s="1">
        <f>IFERROR(__xludf.DUMMYFUNCTION("""COMPUTED_VALUE"""),4.0)</f>
        <v>4</v>
      </c>
    </row>
    <row r="188">
      <c r="A188" s="1" t="str">
        <f>IFERROR(__xludf.DUMMYFUNCTION("""COMPUTED_VALUE"""),"HBB-BBH")</f>
        <v>HBB-BBH</v>
      </c>
      <c r="B188" s="1" t="str">
        <f>IFERROR(__xludf.DUMMYFUNCTION("""COMPUTED_VALUE"""),"HBB")</f>
        <v>HBB</v>
      </c>
      <c r="C188" s="1" t="str">
        <f>IFERROR(__xludf.DUMMYFUNCTION("""COMPUTED_VALUE"""),"BBH")</f>
        <v>BBH</v>
      </c>
      <c r="D188" s="1">
        <f>IFERROR(__xludf.DUMMYFUNCTION("""COMPUTED_VALUE"""),4.0)</f>
        <v>4</v>
      </c>
    </row>
    <row r="189">
      <c r="A189" s="1" t="str">
        <f>IFERROR(__xludf.DUMMYFUNCTION("""COMPUTED_VALUE"""),"HBB-BDE")</f>
        <v>HBB-BDE</v>
      </c>
      <c r="B189" s="1" t="str">
        <f>IFERROR(__xludf.DUMMYFUNCTION("""COMPUTED_VALUE"""),"HBB")</f>
        <v>HBB</v>
      </c>
      <c r="C189" s="1" t="str">
        <f>IFERROR(__xludf.DUMMYFUNCTION("""COMPUTED_VALUE"""),"BDE")</f>
        <v>BDE</v>
      </c>
      <c r="D189" s="1">
        <f>IFERROR(__xludf.DUMMYFUNCTION("""COMPUTED_VALUE"""),4.0)</f>
        <v>4</v>
      </c>
    </row>
    <row r="190">
      <c r="A190" s="1" t="str">
        <f>IFERROR(__xludf.DUMMYFUNCTION("""COMPUTED_VALUE"""),"HBB-LSE")</f>
        <v>HBB-LSE</v>
      </c>
      <c r="B190" s="1" t="str">
        <f>IFERROR(__xludf.DUMMYFUNCTION("""COMPUTED_VALUE"""),"HBB")</f>
        <v>HBB</v>
      </c>
      <c r="C190" s="1" t="str">
        <f>IFERROR(__xludf.DUMMYFUNCTION("""COMPUTED_VALUE"""),"LSE")</f>
        <v>LSE</v>
      </c>
      <c r="D190" s="1">
        <f>IFERROR(__xludf.DUMMYFUNCTION("""COMPUTED_VALUE"""),2.0)</f>
        <v>2</v>
      </c>
    </row>
    <row r="191">
      <c r="A191" s="1" t="str">
        <f>IFERROR(__xludf.DUMMYFUNCTION("""COMPUTED_VALUE"""),"HBB-LTA")</f>
        <v>HBB-LTA</v>
      </c>
      <c r="B191" s="1" t="str">
        <f>IFERROR(__xludf.DUMMYFUNCTION("""COMPUTED_VALUE"""),"HBB")</f>
        <v>HBB</v>
      </c>
      <c r="C191" s="1" t="str">
        <f>IFERROR(__xludf.DUMMYFUNCTION("""COMPUTED_VALUE"""),"LTA")</f>
        <v>LTA</v>
      </c>
      <c r="D191" s="1">
        <f>IFERROR(__xludf.DUMMYFUNCTION("""COMPUTED_VALUE"""),2.0)</f>
        <v>2</v>
      </c>
    </row>
    <row r="192">
      <c r="A192" s="1" t="str">
        <f>IFERROR(__xludf.DUMMYFUNCTION("""COMPUTED_VALUE"""),"HBC-LBH")</f>
        <v>HBC-LBH</v>
      </c>
      <c r="B192" s="1" t="str">
        <f>IFERROR(__xludf.DUMMYFUNCTION("""COMPUTED_VALUE"""),"HBC")</f>
        <v>HBC</v>
      </c>
      <c r="C192" s="1" t="str">
        <f>IFERROR(__xludf.DUMMYFUNCTION("""COMPUTED_VALUE"""),"LBH")</f>
        <v>LBH</v>
      </c>
      <c r="D192" s="1">
        <f>IFERROR(__xludf.DUMMYFUNCTION("""COMPUTED_VALUE"""),4.0)</f>
        <v>4</v>
      </c>
    </row>
    <row r="193">
      <c r="A193" s="1" t="str">
        <f>IFERROR(__xludf.DUMMYFUNCTION("""COMPUTED_VALUE"""),"HBC-LDE")</f>
        <v>HBC-LDE</v>
      </c>
      <c r="B193" s="1" t="str">
        <f>IFERROR(__xludf.DUMMYFUNCTION("""COMPUTED_VALUE"""),"HBC")</f>
        <v>HBC</v>
      </c>
      <c r="C193" s="1" t="str">
        <f>IFERROR(__xludf.DUMMYFUNCTION("""COMPUTED_VALUE"""),"LDE")</f>
        <v>LDE</v>
      </c>
      <c r="D193" s="1">
        <f>IFERROR(__xludf.DUMMYFUNCTION("""COMPUTED_VALUE"""),2.0)</f>
        <v>2</v>
      </c>
    </row>
    <row r="194">
      <c r="A194" s="1" t="str">
        <f>IFERROR(__xludf.DUMMYFUNCTION("""COMPUTED_VALUE"""),"HBC-RSE")</f>
        <v>HBC-RSE</v>
      </c>
      <c r="B194" s="1" t="str">
        <f>IFERROR(__xludf.DUMMYFUNCTION("""COMPUTED_VALUE"""),"HBC")</f>
        <v>HBC</v>
      </c>
      <c r="C194" s="1" t="str">
        <f>IFERROR(__xludf.DUMMYFUNCTION("""COMPUTED_VALUE"""),"RSE")</f>
        <v>RSE</v>
      </c>
      <c r="D194" s="1">
        <f>IFERROR(__xludf.DUMMYFUNCTION("""COMPUTED_VALUE"""),2.0)</f>
        <v>2</v>
      </c>
    </row>
    <row r="195">
      <c r="A195" s="1" t="str">
        <f>IFERROR(__xludf.DUMMYFUNCTION("""COMPUTED_VALUE"""),"HBC-RTA")</f>
        <v>HBC-RTA</v>
      </c>
      <c r="B195" s="1" t="str">
        <f>IFERROR(__xludf.DUMMYFUNCTION("""COMPUTED_VALUE"""),"HBC")</f>
        <v>HBC</v>
      </c>
      <c r="C195" s="1" t="str">
        <f>IFERROR(__xludf.DUMMYFUNCTION("""COMPUTED_VALUE"""),"RTA")</f>
        <v>RTA</v>
      </c>
      <c r="D195" s="1">
        <f>IFERROR(__xludf.DUMMYFUNCTION("""COMPUTED_VALUE"""),4.0)</f>
        <v>4</v>
      </c>
    </row>
    <row r="196">
      <c r="A196" s="1" t="str">
        <f>IFERROR(__xludf.DUMMYFUNCTION("""COMPUTED_VALUE"""),"HBC-TRU")</f>
        <v>HBC-TRU</v>
      </c>
      <c r="B196" s="1" t="str">
        <f>IFERROR(__xludf.DUMMYFUNCTION("""COMPUTED_VALUE"""),"HBC")</f>
        <v>HBC</v>
      </c>
      <c r="C196" s="1" t="str">
        <f>IFERROR(__xludf.DUMMYFUNCTION("""COMPUTED_VALUE"""),"TRU")</f>
        <v>TRU</v>
      </c>
      <c r="D196" s="1">
        <f>IFERROR(__xludf.DUMMYFUNCTION("""COMPUTED_VALUE"""),2.0)</f>
        <v>2</v>
      </c>
    </row>
    <row r="197">
      <c r="A197" s="1" t="str">
        <f>IFERROR(__xludf.DUMMYFUNCTION("""COMPUTED_VALUE"""),"HBL-ABH")</f>
        <v>HBL-ABH</v>
      </c>
      <c r="B197" s="1" t="str">
        <f>IFERROR(__xludf.DUMMYFUNCTION("""COMPUTED_VALUE"""),"HBL")</f>
        <v>HBL</v>
      </c>
      <c r="C197" s="1" t="str">
        <f>IFERROR(__xludf.DUMMYFUNCTION("""COMPUTED_VALUE"""),"ABH")</f>
        <v>ABH</v>
      </c>
      <c r="D197" s="1">
        <f>IFERROR(__xludf.DUMMYFUNCTION("""COMPUTED_VALUE"""),8.0)</f>
        <v>8</v>
      </c>
    </row>
    <row r="198">
      <c r="A198" s="1" t="str">
        <f>IFERROR(__xludf.DUMMYFUNCTION("""COMPUTED_VALUE"""),"HBL-ADE")</f>
        <v>HBL-ADE</v>
      </c>
      <c r="B198" s="1" t="str">
        <f>IFERROR(__xludf.DUMMYFUNCTION("""COMPUTED_VALUE"""),"HBL")</f>
        <v>HBL</v>
      </c>
      <c r="C198" s="1" t="str">
        <f>IFERROR(__xludf.DUMMYFUNCTION("""COMPUTED_VALUE"""),"ADE")</f>
        <v>ADE</v>
      </c>
      <c r="D198" s="1">
        <f>IFERROR(__xludf.DUMMYFUNCTION("""COMPUTED_VALUE"""),8.0)</f>
        <v>8</v>
      </c>
    </row>
    <row r="199">
      <c r="A199" s="1" t="str">
        <f>IFERROR(__xludf.DUMMYFUNCTION("""COMPUTED_VALUE"""),"HBL-ASE")</f>
        <v>HBL-ASE</v>
      </c>
      <c r="B199" s="1" t="str">
        <f>IFERROR(__xludf.DUMMYFUNCTION("""COMPUTED_VALUE"""),"HBL")</f>
        <v>HBL</v>
      </c>
      <c r="C199" s="1" t="str">
        <f>IFERROR(__xludf.DUMMYFUNCTION("""COMPUTED_VALUE"""),"ASE")</f>
        <v>ASE</v>
      </c>
      <c r="D199" s="1">
        <f>IFERROR(__xludf.DUMMYFUNCTION("""COMPUTED_VALUE"""),6.0)</f>
        <v>6</v>
      </c>
    </row>
    <row r="200">
      <c r="A200" s="1" t="str">
        <f>IFERROR(__xludf.DUMMYFUNCTION("""COMPUTED_VALUE"""),"HBL-ATA")</f>
        <v>HBL-ATA</v>
      </c>
      <c r="B200" s="1" t="str">
        <f>IFERROR(__xludf.DUMMYFUNCTION("""COMPUTED_VALUE"""),"HBL")</f>
        <v>HBL</v>
      </c>
      <c r="C200" s="1" t="str">
        <f>IFERROR(__xludf.DUMMYFUNCTION("""COMPUTED_VALUE"""),"ATA")</f>
        <v>ATA</v>
      </c>
      <c r="D200" s="1">
        <f>IFERROR(__xludf.DUMMYFUNCTION("""COMPUTED_VALUE"""),6.0)</f>
        <v>6</v>
      </c>
    </row>
    <row r="201">
      <c r="A201" s="1" t="str">
        <f>IFERROR(__xludf.DUMMYFUNCTION("""COMPUTED_VALUE"""),"HBM-ASE")</f>
        <v>HBM-ASE</v>
      </c>
      <c r="B201" s="1" t="str">
        <f>IFERROR(__xludf.DUMMYFUNCTION("""COMPUTED_VALUE"""),"HBM")</f>
        <v>HBM</v>
      </c>
      <c r="C201" s="1" t="str">
        <f>IFERROR(__xludf.DUMMYFUNCTION("""COMPUTED_VALUE"""),"ASE")</f>
        <v>ASE</v>
      </c>
      <c r="D201" s="1">
        <f>IFERROR(__xludf.DUMMYFUNCTION("""COMPUTED_VALUE"""),6.0)</f>
        <v>6</v>
      </c>
    </row>
    <row r="202">
      <c r="A202" s="1" t="str">
        <f>IFERROR(__xludf.DUMMYFUNCTION("""COMPUTED_VALUE"""),"HBM-ATA")</f>
        <v>HBM-ATA</v>
      </c>
      <c r="B202" s="1" t="str">
        <f>IFERROR(__xludf.DUMMYFUNCTION("""COMPUTED_VALUE"""),"HBM")</f>
        <v>HBM</v>
      </c>
      <c r="C202" s="1" t="str">
        <f>IFERROR(__xludf.DUMMYFUNCTION("""COMPUTED_VALUE"""),"ATA")</f>
        <v>ATA</v>
      </c>
      <c r="D202" s="1">
        <f>IFERROR(__xludf.DUMMYFUNCTION("""COMPUTED_VALUE"""),4.0)</f>
        <v>4</v>
      </c>
    </row>
    <row r="203">
      <c r="A203" s="1" t="str">
        <f>IFERROR(__xludf.DUMMYFUNCTION("""COMPUTED_VALUE"""),"HBM-RBH")</f>
        <v>HBM-RBH</v>
      </c>
      <c r="B203" s="1" t="str">
        <f>IFERROR(__xludf.DUMMYFUNCTION("""COMPUTED_VALUE"""),"HBM")</f>
        <v>HBM</v>
      </c>
      <c r="C203" s="1" t="str">
        <f>IFERROR(__xludf.DUMMYFUNCTION("""COMPUTED_VALUE"""),"RBH")</f>
        <v>RBH</v>
      </c>
      <c r="D203" s="1">
        <f>IFERROR(__xludf.DUMMYFUNCTION("""COMPUTED_VALUE"""),8.0)</f>
        <v>8</v>
      </c>
    </row>
    <row r="204">
      <c r="A204" s="1" t="str">
        <f>IFERROR(__xludf.DUMMYFUNCTION("""COMPUTED_VALUE"""),"HBM-RDE")</f>
        <v>HBM-RDE</v>
      </c>
      <c r="B204" s="1" t="str">
        <f>IFERROR(__xludf.DUMMYFUNCTION("""COMPUTED_VALUE"""),"HBM")</f>
        <v>HBM</v>
      </c>
      <c r="C204" s="1" t="str">
        <f>IFERROR(__xludf.DUMMYFUNCTION("""COMPUTED_VALUE"""),"RDE")</f>
        <v>RDE</v>
      </c>
      <c r="D204" s="1">
        <f>IFERROR(__xludf.DUMMYFUNCTION("""COMPUTED_VALUE"""),8.0)</f>
        <v>8</v>
      </c>
    </row>
    <row r="205">
      <c r="A205" s="1" t="str">
        <f>IFERROR(__xludf.DUMMYFUNCTION("""COMPUTED_VALUE"""),"HOS-DOU")</f>
        <v>HOS-DOU</v>
      </c>
      <c r="B205" s="1" t="str">
        <f>IFERROR(__xludf.DUMMYFUNCTION("""COMPUTED_VALUE"""),"HOS")</f>
        <v>HOS</v>
      </c>
      <c r="C205" s="1" t="str">
        <f>IFERROR(__xludf.DUMMYFUNCTION("""COMPUTED_VALUE"""),"DOU")</f>
        <v>DOU</v>
      </c>
      <c r="D205" s="1">
        <f>IFERROR(__xludf.DUMMYFUNCTION("""COMPUTED_VALUE"""),1.0)</f>
        <v>1</v>
      </c>
    </row>
    <row r="206">
      <c r="A206" s="1" t="str">
        <f>IFERROR(__xludf.DUMMYFUNCTION("""COMPUTED_VALUE"""),"HOS-MCG")</f>
        <v>HOS-MCG</v>
      </c>
      <c r="B206" s="1" t="str">
        <f>IFERROR(__xludf.DUMMYFUNCTION("""COMPUTED_VALUE"""),"HOS")</f>
        <v>HOS</v>
      </c>
      <c r="C206" s="1" t="str">
        <f>IFERROR(__xludf.DUMMYFUNCTION("""COMPUTED_VALUE"""),"MCG")</f>
        <v>MCG</v>
      </c>
      <c r="D206" s="1">
        <f>IFERROR(__xludf.DUMMYFUNCTION("""COMPUTED_VALUE"""),400.0)</f>
        <v>400</v>
      </c>
    </row>
    <row r="207">
      <c r="A207" s="1" t="str">
        <f>IFERROR(__xludf.DUMMYFUNCTION("""COMPUTED_VALUE"""),"HOS-RBH")</f>
        <v>HOS-RBH</v>
      </c>
      <c r="B207" s="1" t="str">
        <f>IFERROR(__xludf.DUMMYFUNCTION("""COMPUTED_VALUE"""),"HOS")</f>
        <v>HOS</v>
      </c>
      <c r="C207" s="1" t="str">
        <f>IFERROR(__xludf.DUMMYFUNCTION("""COMPUTED_VALUE"""),"RBH")</f>
        <v>RBH</v>
      </c>
      <c r="D207" s="1">
        <f>IFERROR(__xludf.DUMMYFUNCTION("""COMPUTED_VALUE"""),24.0)</f>
        <v>24</v>
      </c>
    </row>
    <row r="208">
      <c r="A208" s="1" t="str">
        <f>IFERROR(__xludf.DUMMYFUNCTION("""COMPUTED_VALUE"""),"HOS-RDE")</f>
        <v>HOS-RDE</v>
      </c>
      <c r="B208" s="1" t="str">
        <f>IFERROR(__xludf.DUMMYFUNCTION("""COMPUTED_VALUE"""),"HOS")</f>
        <v>HOS</v>
      </c>
      <c r="C208" s="1" t="str">
        <f>IFERROR(__xludf.DUMMYFUNCTION("""COMPUTED_VALUE"""),"RDE")</f>
        <v>RDE</v>
      </c>
      <c r="D208" s="1">
        <f>IFERROR(__xludf.DUMMYFUNCTION("""COMPUTED_VALUE"""),20.0)</f>
        <v>20</v>
      </c>
    </row>
    <row r="209">
      <c r="A209" s="1" t="str">
        <f>IFERROR(__xludf.DUMMYFUNCTION("""COMPUTED_VALUE"""),"HOS-RSE")</f>
        <v>HOS-RSE</v>
      </c>
      <c r="B209" s="1" t="str">
        <f>IFERROR(__xludf.DUMMYFUNCTION("""COMPUTED_VALUE"""),"HOS")</f>
        <v>HOS</v>
      </c>
      <c r="C209" s="1" t="str">
        <f>IFERROR(__xludf.DUMMYFUNCTION("""COMPUTED_VALUE"""),"RSE")</f>
        <v>RSE</v>
      </c>
      <c r="D209" s="1">
        <f>IFERROR(__xludf.DUMMYFUNCTION("""COMPUTED_VALUE"""),20.0)</f>
        <v>20</v>
      </c>
    </row>
    <row r="210">
      <c r="A210" s="1" t="str">
        <f>IFERROR(__xludf.DUMMYFUNCTION("""COMPUTED_VALUE"""),"HOS-RTA")</f>
        <v>HOS-RTA</v>
      </c>
      <c r="B210" s="1" t="str">
        <f>IFERROR(__xludf.DUMMYFUNCTION("""COMPUTED_VALUE"""),"HOS")</f>
        <v>HOS</v>
      </c>
      <c r="C210" s="1" t="str">
        <f>IFERROR(__xludf.DUMMYFUNCTION("""COMPUTED_VALUE"""),"RTA")</f>
        <v>RTA</v>
      </c>
      <c r="D210" s="1">
        <f>IFERROR(__xludf.DUMMYFUNCTION("""COMPUTED_VALUE"""),16.0)</f>
        <v>16</v>
      </c>
    </row>
    <row r="211">
      <c r="A211" s="1" t="str">
        <f>IFERROR(__xludf.DUMMYFUNCTION("""COMPUTED_VALUE"""),"HOS-SU")</f>
        <v>HOS-SU</v>
      </c>
      <c r="B211" s="1" t="str">
        <f>IFERROR(__xludf.DUMMYFUNCTION("""COMPUTED_VALUE"""),"HOS")</f>
        <v>HOS</v>
      </c>
      <c r="C211" s="1" t="str">
        <f>IFERROR(__xludf.DUMMYFUNCTION("""COMPUTED_VALUE"""),"SU")</f>
        <v>SU</v>
      </c>
      <c r="D211" s="1">
        <f>IFERROR(__xludf.DUMMYFUNCTION("""COMPUTED_VALUE"""),1.0)</f>
        <v>1</v>
      </c>
    </row>
    <row r="212">
      <c r="A212" s="1" t="str">
        <f>IFERROR(__xludf.DUMMYFUNCTION("""COMPUTED_VALUE"""),"HOS-TCU")</f>
        <v>HOS-TCU</v>
      </c>
      <c r="B212" s="1" t="str">
        <f>IFERROR(__xludf.DUMMYFUNCTION("""COMPUTED_VALUE"""),"HOS")</f>
        <v>HOS</v>
      </c>
      <c r="C212" s="1" t="str">
        <f>IFERROR(__xludf.DUMMYFUNCTION("""COMPUTED_VALUE"""),"TCU")</f>
        <v>TCU</v>
      </c>
      <c r="D212" s="1">
        <f>IFERROR(__xludf.DUMMYFUNCTION("""COMPUTED_VALUE"""),1.0)</f>
        <v>1</v>
      </c>
    </row>
    <row r="213">
      <c r="A213" s="1" t="str">
        <f>IFERROR(__xludf.DUMMYFUNCTION("""COMPUTED_VALUE"""),"HOS-TRU")</f>
        <v>HOS-TRU</v>
      </c>
      <c r="B213" s="1" t="str">
        <f>IFERROR(__xludf.DUMMYFUNCTION("""COMPUTED_VALUE"""),"HOS")</f>
        <v>HOS</v>
      </c>
      <c r="C213" s="1" t="str">
        <f>IFERROR(__xludf.DUMMYFUNCTION("""COMPUTED_VALUE"""),"TRU")</f>
        <v>TRU</v>
      </c>
      <c r="D213" s="1">
        <f>IFERROR(__xludf.DUMMYFUNCTION("""COMPUTED_VALUE"""),16.0)</f>
        <v>16</v>
      </c>
    </row>
    <row r="214">
      <c r="A214" s="1" t="str">
        <f>IFERROR(__xludf.DUMMYFUNCTION("""COMPUTED_VALUE"""),"HWP-BBH")</f>
        <v>HWP-BBH</v>
      </c>
      <c r="B214" s="1" t="str">
        <f>IFERROR(__xludf.DUMMYFUNCTION("""COMPUTED_VALUE"""),"HWP")</f>
        <v>HWP</v>
      </c>
      <c r="C214" s="1" t="str">
        <f>IFERROR(__xludf.DUMMYFUNCTION("""COMPUTED_VALUE"""),"BBH")</f>
        <v>BBH</v>
      </c>
      <c r="D214" s="1">
        <f>IFERROR(__xludf.DUMMYFUNCTION("""COMPUTED_VALUE"""),4.0)</f>
        <v>4</v>
      </c>
    </row>
    <row r="215">
      <c r="A215" s="1" t="str">
        <f>IFERROR(__xludf.DUMMYFUNCTION("""COMPUTED_VALUE"""),"HWP-BDE")</f>
        <v>HWP-BDE</v>
      </c>
      <c r="B215" s="1" t="str">
        <f>IFERROR(__xludf.DUMMYFUNCTION("""COMPUTED_VALUE"""),"HWP")</f>
        <v>HWP</v>
      </c>
      <c r="C215" s="1" t="str">
        <f>IFERROR(__xludf.DUMMYFUNCTION("""COMPUTED_VALUE"""),"BDE")</f>
        <v>BDE</v>
      </c>
      <c r="D215" s="1">
        <f>IFERROR(__xludf.DUMMYFUNCTION("""COMPUTED_VALUE"""),6.0)</f>
        <v>6</v>
      </c>
    </row>
    <row r="216">
      <c r="A216" s="1" t="str">
        <f>IFERROR(__xludf.DUMMYFUNCTION("""COMPUTED_VALUE"""),"HWP-BSE")</f>
        <v>HWP-BSE</v>
      </c>
      <c r="B216" s="1" t="str">
        <f>IFERROR(__xludf.DUMMYFUNCTION("""COMPUTED_VALUE"""),"HWP")</f>
        <v>HWP</v>
      </c>
      <c r="C216" s="1" t="str">
        <f>IFERROR(__xludf.DUMMYFUNCTION("""COMPUTED_VALUE"""),"BSE")</f>
        <v>BSE</v>
      </c>
      <c r="D216" s="1">
        <f>IFERROR(__xludf.DUMMYFUNCTION("""COMPUTED_VALUE"""),6.0)</f>
        <v>6</v>
      </c>
    </row>
    <row r="217">
      <c r="A217" s="1" t="str">
        <f>IFERROR(__xludf.DUMMYFUNCTION("""COMPUTED_VALUE"""),"HWP-LTA")</f>
        <v>HWP-LTA</v>
      </c>
      <c r="B217" s="1" t="str">
        <f>IFERROR(__xludf.DUMMYFUNCTION("""COMPUTED_VALUE"""),"HWP")</f>
        <v>HWP</v>
      </c>
      <c r="C217" s="1" t="str">
        <f>IFERROR(__xludf.DUMMYFUNCTION("""COMPUTED_VALUE"""),"LTA")</f>
        <v>LTA</v>
      </c>
      <c r="D217" s="1">
        <f>IFERROR(__xludf.DUMMYFUNCTION("""COMPUTED_VALUE"""),2.0)</f>
        <v>2</v>
      </c>
    </row>
    <row r="218">
      <c r="A218" s="1" t="str">
        <f>IFERROR(__xludf.DUMMYFUNCTION("""COMPUTED_VALUE"""),"HWP-TRU")</f>
        <v>HWP-TRU</v>
      </c>
      <c r="B218" s="1" t="str">
        <f>IFERROR(__xludf.DUMMYFUNCTION("""COMPUTED_VALUE"""),"HWP")</f>
        <v>HWP</v>
      </c>
      <c r="C218" s="1" t="str">
        <f>IFERROR(__xludf.DUMMYFUNCTION("""COMPUTED_VALUE"""),"TRU")</f>
        <v>TRU</v>
      </c>
      <c r="D218" s="1">
        <f>IFERROR(__xludf.DUMMYFUNCTION("""COMPUTED_VALUE"""),4.0)</f>
        <v>4</v>
      </c>
    </row>
    <row r="219">
      <c r="A219" s="1" t="str">
        <f>IFERROR(__xludf.DUMMYFUNCTION("""COMPUTED_VALUE"""),"HYF-BSE")</f>
        <v>HYF-BSE</v>
      </c>
      <c r="B219" s="1" t="str">
        <f>IFERROR(__xludf.DUMMYFUNCTION("""COMPUTED_VALUE"""),"HYF")</f>
        <v>HYF</v>
      </c>
      <c r="C219" s="1" t="str">
        <f>IFERROR(__xludf.DUMMYFUNCTION("""COMPUTED_VALUE"""),"BSE")</f>
        <v>BSE</v>
      </c>
      <c r="D219" s="1">
        <f>IFERROR(__xludf.DUMMYFUNCTION("""COMPUTED_VALUE"""),2.0)</f>
        <v>2</v>
      </c>
    </row>
    <row r="220">
      <c r="A220" s="1" t="str">
        <f>IFERROR(__xludf.DUMMYFUNCTION("""COMPUTED_VALUE"""),"HYF-LBH")</f>
        <v>HYF-LBH</v>
      </c>
      <c r="B220" s="1" t="str">
        <f>IFERROR(__xludf.DUMMYFUNCTION("""COMPUTED_VALUE"""),"HYF")</f>
        <v>HYF</v>
      </c>
      <c r="C220" s="1" t="str">
        <f>IFERROR(__xludf.DUMMYFUNCTION("""COMPUTED_VALUE"""),"LBH")</f>
        <v>LBH</v>
      </c>
      <c r="D220" s="1">
        <f>IFERROR(__xludf.DUMMYFUNCTION("""COMPUTED_VALUE"""),4.0)</f>
        <v>4</v>
      </c>
    </row>
    <row r="221">
      <c r="A221" s="1" t="str">
        <f>IFERROR(__xludf.DUMMYFUNCTION("""COMPUTED_VALUE"""),"HYF-MHL")</f>
        <v>HYF-MHL</v>
      </c>
      <c r="B221" s="1" t="str">
        <f>IFERROR(__xludf.DUMMYFUNCTION("""COMPUTED_VALUE"""),"HYF")</f>
        <v>HYF</v>
      </c>
      <c r="C221" s="1" t="str">
        <f>IFERROR(__xludf.DUMMYFUNCTION("""COMPUTED_VALUE"""),"MHL")</f>
        <v>MHL</v>
      </c>
      <c r="D221" s="1">
        <f>IFERROR(__xludf.DUMMYFUNCTION("""COMPUTED_VALUE"""),16.0)</f>
        <v>16</v>
      </c>
    </row>
    <row r="222">
      <c r="A222" s="1" t="str">
        <f>IFERROR(__xludf.DUMMYFUNCTION("""COMPUTED_VALUE"""),"HYF-TRU")</f>
        <v>HYF-TRU</v>
      </c>
      <c r="B222" s="1" t="str">
        <f>IFERROR(__xludf.DUMMYFUNCTION("""COMPUTED_VALUE"""),"HYF")</f>
        <v>HYF</v>
      </c>
      <c r="C222" s="1" t="str">
        <f>IFERROR(__xludf.DUMMYFUNCTION("""COMPUTED_VALUE"""),"TRU")</f>
        <v>TRU</v>
      </c>
      <c r="D222" s="1">
        <f>IFERROR(__xludf.DUMMYFUNCTION("""COMPUTED_VALUE"""),4.0)</f>
        <v>4</v>
      </c>
    </row>
    <row r="223">
      <c r="A223" s="1" t="str">
        <f>IFERROR(__xludf.DUMMYFUNCTION("""COMPUTED_VALUE"""),"INC-BBH")</f>
        <v>INC-BBH</v>
      </c>
      <c r="B223" s="1" t="str">
        <f>IFERROR(__xludf.DUMMYFUNCTION("""COMPUTED_VALUE"""),"INC")</f>
        <v>INC</v>
      </c>
      <c r="C223" s="1" t="str">
        <f>IFERROR(__xludf.DUMMYFUNCTION("""COMPUTED_VALUE"""),"BBH")</f>
        <v>BBH</v>
      </c>
      <c r="D223" s="1">
        <f>IFERROR(__xludf.DUMMYFUNCTION("""COMPUTED_VALUE"""),3.0)</f>
        <v>3</v>
      </c>
    </row>
    <row r="224">
      <c r="A224" s="1" t="str">
        <f>IFERROR(__xludf.DUMMYFUNCTION("""COMPUTED_VALUE"""),"INC-BDE")</f>
        <v>INC-BDE</v>
      </c>
      <c r="B224" s="1" t="str">
        <f>IFERROR(__xludf.DUMMYFUNCTION("""COMPUTED_VALUE"""),"INC")</f>
        <v>INC</v>
      </c>
      <c r="C224" s="1" t="str">
        <f>IFERROR(__xludf.DUMMYFUNCTION("""COMPUTED_VALUE"""),"BDE")</f>
        <v>BDE</v>
      </c>
      <c r="D224" s="1">
        <f>IFERROR(__xludf.DUMMYFUNCTION("""COMPUTED_VALUE"""),2.0)</f>
        <v>2</v>
      </c>
    </row>
    <row r="225">
      <c r="A225" s="1" t="str">
        <f>IFERROR(__xludf.DUMMYFUNCTION("""COMPUTED_VALUE"""),"INC-BSE")</f>
        <v>INC-BSE</v>
      </c>
      <c r="B225" s="1" t="str">
        <f>IFERROR(__xludf.DUMMYFUNCTION("""COMPUTED_VALUE"""),"INC")</f>
        <v>INC</v>
      </c>
      <c r="C225" s="1" t="str">
        <f>IFERROR(__xludf.DUMMYFUNCTION("""COMPUTED_VALUE"""),"BSE")</f>
        <v>BSE</v>
      </c>
      <c r="D225" s="1">
        <f>IFERROR(__xludf.DUMMYFUNCTION("""COMPUTED_VALUE"""),4.0)</f>
        <v>4</v>
      </c>
    </row>
    <row r="226">
      <c r="A226" s="1" t="str">
        <f>IFERROR(__xludf.DUMMYFUNCTION("""COMPUTED_VALUE"""),"INC-BTA")</f>
        <v>INC-BTA</v>
      </c>
      <c r="B226" s="1" t="str">
        <f>IFERROR(__xludf.DUMMYFUNCTION("""COMPUTED_VALUE"""),"INC")</f>
        <v>INC</v>
      </c>
      <c r="C226" s="1" t="str">
        <f>IFERROR(__xludf.DUMMYFUNCTION("""COMPUTED_VALUE"""),"BTA")</f>
        <v>BTA</v>
      </c>
      <c r="D226" s="1">
        <f>IFERROR(__xludf.DUMMYFUNCTION("""COMPUTED_VALUE"""),1.0)</f>
        <v>1</v>
      </c>
    </row>
    <row r="227">
      <c r="A227" s="1" t="str">
        <f>IFERROR(__xludf.DUMMYFUNCTION("""COMPUTED_VALUE"""),"INF-BBH")</f>
        <v>INF-BBH</v>
      </c>
      <c r="B227" s="1" t="str">
        <f>IFERROR(__xludf.DUMMYFUNCTION("""COMPUTED_VALUE"""),"INF")</f>
        <v>INF</v>
      </c>
      <c r="C227" s="1" t="str">
        <f>IFERROR(__xludf.DUMMYFUNCTION("""COMPUTED_VALUE"""),"BBH")</f>
        <v>BBH</v>
      </c>
      <c r="D227" s="1">
        <f>IFERROR(__xludf.DUMMYFUNCTION("""COMPUTED_VALUE"""),24.0)</f>
        <v>24</v>
      </c>
    </row>
    <row r="228">
      <c r="A228" s="1" t="str">
        <f>IFERROR(__xludf.DUMMYFUNCTION("""COMPUTED_VALUE"""),"INF-BDE")</f>
        <v>INF-BDE</v>
      </c>
      <c r="B228" s="1" t="str">
        <f>IFERROR(__xludf.DUMMYFUNCTION("""COMPUTED_VALUE"""),"INF")</f>
        <v>INF</v>
      </c>
      <c r="C228" s="1" t="str">
        <f>IFERROR(__xludf.DUMMYFUNCTION("""COMPUTED_VALUE"""),"BDE")</f>
        <v>BDE</v>
      </c>
      <c r="D228" s="1">
        <f>IFERROR(__xludf.DUMMYFUNCTION("""COMPUTED_VALUE"""),24.0)</f>
        <v>24</v>
      </c>
    </row>
    <row r="229">
      <c r="A229" s="1" t="str">
        <f>IFERROR(__xludf.DUMMYFUNCTION("""COMPUTED_VALUE"""),"INF-BSE")</f>
        <v>INF-BSE</v>
      </c>
      <c r="B229" s="1" t="str">
        <f>IFERROR(__xludf.DUMMYFUNCTION("""COMPUTED_VALUE"""),"INF")</f>
        <v>INF</v>
      </c>
      <c r="C229" s="1" t="str">
        <f>IFERROR(__xludf.DUMMYFUNCTION("""COMPUTED_VALUE"""),"BSE")</f>
        <v>BSE</v>
      </c>
      <c r="D229" s="1">
        <f>IFERROR(__xludf.DUMMYFUNCTION("""COMPUTED_VALUE"""),16.0)</f>
        <v>16</v>
      </c>
    </row>
    <row r="230">
      <c r="A230" s="1" t="str">
        <f>IFERROR(__xludf.DUMMYFUNCTION("""COMPUTED_VALUE"""),"INF-BTA")</f>
        <v>INF-BTA</v>
      </c>
      <c r="B230" s="1" t="str">
        <f>IFERROR(__xludf.DUMMYFUNCTION("""COMPUTED_VALUE"""),"INF")</f>
        <v>INF</v>
      </c>
      <c r="C230" s="1" t="str">
        <f>IFERROR(__xludf.DUMMYFUNCTION("""COMPUTED_VALUE"""),"BTA")</f>
        <v>BTA</v>
      </c>
      <c r="D230" s="1">
        <f>IFERROR(__xludf.DUMMYFUNCTION("""COMPUTED_VALUE"""),12.0)</f>
        <v>12</v>
      </c>
    </row>
    <row r="231">
      <c r="A231" s="1" t="str">
        <f>IFERROR(__xludf.DUMMYFUNCTION("""COMPUTED_VALUE"""),"INF-MCG")</f>
        <v>INF-MCG</v>
      </c>
      <c r="B231" s="1" t="str">
        <f>IFERROR(__xludf.DUMMYFUNCTION("""COMPUTED_VALUE"""),"INF")</f>
        <v>INF</v>
      </c>
      <c r="C231" s="1" t="str">
        <f>IFERROR(__xludf.DUMMYFUNCTION("""COMPUTED_VALUE"""),"MCG")</f>
        <v>MCG</v>
      </c>
      <c r="D231" s="1">
        <f>IFERROR(__xludf.DUMMYFUNCTION("""COMPUTED_VALUE"""),300.0)</f>
        <v>300</v>
      </c>
    </row>
    <row r="232">
      <c r="A232" s="1" t="str">
        <f>IFERROR(__xludf.DUMMYFUNCTION("""COMPUTED_VALUE"""),"INF-TRU")</f>
        <v>INF-TRU</v>
      </c>
      <c r="B232" s="1" t="str">
        <f>IFERROR(__xludf.DUMMYFUNCTION("""COMPUTED_VALUE"""),"INF")</f>
        <v>INF</v>
      </c>
      <c r="C232" s="1" t="str">
        <f>IFERROR(__xludf.DUMMYFUNCTION("""COMPUTED_VALUE"""),"TRU")</f>
        <v>TRU</v>
      </c>
      <c r="D232" s="1">
        <f>IFERROR(__xludf.DUMMYFUNCTION("""COMPUTED_VALUE"""),10.0)</f>
        <v>10</v>
      </c>
    </row>
    <row r="233">
      <c r="A233" s="1" t="str">
        <f>IFERROR(__xludf.DUMMYFUNCTION("""COMPUTED_VALUE"""),"IVP-RBH")</f>
        <v>IVP-RBH</v>
      </c>
      <c r="B233" s="1" t="str">
        <f>IFERROR(__xludf.DUMMYFUNCTION("""COMPUTED_VALUE"""),"IVP")</f>
        <v>IVP</v>
      </c>
      <c r="C233" s="1" t="str">
        <f>IFERROR(__xludf.DUMMYFUNCTION("""COMPUTED_VALUE"""),"RBH")</f>
        <v>RBH</v>
      </c>
      <c r="D233" s="1">
        <f>IFERROR(__xludf.DUMMYFUNCTION("""COMPUTED_VALUE"""),6.0)</f>
        <v>6</v>
      </c>
    </row>
    <row r="234">
      <c r="A234" s="1" t="str">
        <f>IFERROR(__xludf.DUMMYFUNCTION("""COMPUTED_VALUE"""),"IVP-RDE")</f>
        <v>IVP-RDE</v>
      </c>
      <c r="B234" s="1" t="str">
        <f>IFERROR(__xludf.DUMMYFUNCTION("""COMPUTED_VALUE"""),"IVP")</f>
        <v>IVP</v>
      </c>
      <c r="C234" s="1" t="str">
        <f>IFERROR(__xludf.DUMMYFUNCTION("""COMPUTED_VALUE"""),"RDE")</f>
        <v>RDE</v>
      </c>
      <c r="D234" s="1">
        <f>IFERROR(__xludf.DUMMYFUNCTION("""COMPUTED_VALUE"""),4.0)</f>
        <v>4</v>
      </c>
    </row>
    <row r="235">
      <c r="A235" s="1" t="str">
        <f>IFERROR(__xludf.DUMMYFUNCTION("""COMPUTED_VALUE"""),"IVP-RSE")</f>
        <v>IVP-RSE</v>
      </c>
      <c r="B235" s="1" t="str">
        <f>IFERROR(__xludf.DUMMYFUNCTION("""COMPUTED_VALUE"""),"IVP")</f>
        <v>IVP</v>
      </c>
      <c r="C235" s="1" t="str">
        <f>IFERROR(__xludf.DUMMYFUNCTION("""COMPUTED_VALUE"""),"RSE")</f>
        <v>RSE</v>
      </c>
      <c r="D235" s="1">
        <f>IFERROR(__xludf.DUMMYFUNCTION("""COMPUTED_VALUE"""),4.0)</f>
        <v>4</v>
      </c>
    </row>
    <row r="236">
      <c r="A236" s="1" t="str">
        <f>IFERROR(__xludf.DUMMYFUNCTION("""COMPUTED_VALUE"""),"IVP-RTA")</f>
        <v>IVP-RTA</v>
      </c>
      <c r="B236" s="1" t="str">
        <f>IFERROR(__xludf.DUMMYFUNCTION("""COMPUTED_VALUE"""),"IVP")</f>
        <v>IVP</v>
      </c>
      <c r="C236" s="1" t="str">
        <f>IFERROR(__xludf.DUMMYFUNCTION("""COMPUTED_VALUE"""),"RTA")</f>
        <v>RTA</v>
      </c>
      <c r="D236" s="1">
        <f>IFERROR(__xludf.DUMMYFUNCTION("""COMPUTED_VALUE"""),2.0)</f>
        <v>2</v>
      </c>
    </row>
    <row r="237">
      <c r="A237" s="1" t="str">
        <f>IFERROR(__xludf.DUMMYFUNCTION("""COMPUTED_VALUE"""),"IVP-TRU")</f>
        <v>IVP-TRU</v>
      </c>
      <c r="B237" s="1" t="str">
        <f>IFERROR(__xludf.DUMMYFUNCTION("""COMPUTED_VALUE"""),"IVP")</f>
        <v>IVP</v>
      </c>
      <c r="C237" s="1" t="str">
        <f>IFERROR(__xludf.DUMMYFUNCTION("""COMPUTED_VALUE"""),"TRU")</f>
        <v>TRU</v>
      </c>
      <c r="D237" s="1">
        <f>IFERROR(__xludf.DUMMYFUNCTION("""COMPUTED_VALUE"""),6.0)</f>
        <v>6</v>
      </c>
    </row>
    <row r="238">
      <c r="A238" s="1" t="str">
        <f>IFERROR(__xludf.DUMMYFUNCTION("""COMPUTED_VALUE"""),"LAB-LDE")</f>
        <v>LAB-LDE</v>
      </c>
      <c r="B238" s="1" t="str">
        <f>IFERROR(__xludf.DUMMYFUNCTION("""COMPUTED_VALUE"""),"LAB")</f>
        <v>LAB</v>
      </c>
      <c r="C238" s="1" t="str">
        <f>IFERROR(__xludf.DUMMYFUNCTION("""COMPUTED_VALUE"""),"LDE")</f>
        <v>LDE</v>
      </c>
      <c r="D238" s="1">
        <f>IFERROR(__xludf.DUMMYFUNCTION("""COMPUTED_VALUE"""),12.0)</f>
        <v>12</v>
      </c>
    </row>
    <row r="239">
      <c r="A239" s="1" t="str">
        <f>IFERROR(__xludf.DUMMYFUNCTION("""COMPUTED_VALUE"""),"LAB-LSE")</f>
        <v>LAB-LSE</v>
      </c>
      <c r="B239" s="1" t="str">
        <f>IFERROR(__xludf.DUMMYFUNCTION("""COMPUTED_VALUE"""),"LAB")</f>
        <v>LAB</v>
      </c>
      <c r="C239" s="1" t="str">
        <f>IFERROR(__xludf.DUMMYFUNCTION("""COMPUTED_VALUE"""),"LSE")</f>
        <v>LSE</v>
      </c>
      <c r="D239" s="1">
        <f>IFERROR(__xludf.DUMMYFUNCTION("""COMPUTED_VALUE"""),6.0)</f>
        <v>6</v>
      </c>
    </row>
    <row r="240">
      <c r="A240" s="1" t="str">
        <f>IFERROR(__xludf.DUMMYFUNCTION("""COMPUTED_VALUE"""),"LAB-TRU")</f>
        <v>LAB-TRU</v>
      </c>
      <c r="B240" s="1" t="str">
        <f>IFERROR(__xludf.DUMMYFUNCTION("""COMPUTED_VALUE"""),"LAB")</f>
        <v>LAB</v>
      </c>
      <c r="C240" s="1" t="str">
        <f>IFERROR(__xludf.DUMMYFUNCTION("""COMPUTED_VALUE"""),"TRU")</f>
        <v>TRU</v>
      </c>
      <c r="D240" s="1">
        <f>IFERROR(__xludf.DUMMYFUNCTION("""COMPUTED_VALUE"""),8.0)</f>
        <v>8</v>
      </c>
    </row>
    <row r="241">
      <c r="A241" s="1" t="str">
        <f>IFERROR(__xludf.DUMMYFUNCTION("""COMPUTED_VALUE"""),"LIB-ABH")</f>
        <v>LIB-ABH</v>
      </c>
      <c r="B241" s="1" t="str">
        <f>IFERROR(__xludf.DUMMYFUNCTION("""COMPUTED_VALUE"""),"LIB")</f>
        <v>LIB</v>
      </c>
      <c r="C241" s="1" t="str">
        <f>IFERROR(__xludf.DUMMYFUNCTION("""COMPUTED_VALUE"""),"ABH")</f>
        <v>ABH</v>
      </c>
      <c r="D241" s="1">
        <f>IFERROR(__xludf.DUMMYFUNCTION("""COMPUTED_VALUE"""),8.0)</f>
        <v>8</v>
      </c>
    </row>
    <row r="242">
      <c r="A242" s="1" t="str">
        <f>IFERROR(__xludf.DUMMYFUNCTION("""COMPUTED_VALUE"""),"LIB-ADE")</f>
        <v>LIB-ADE</v>
      </c>
      <c r="B242" s="1" t="str">
        <f>IFERROR(__xludf.DUMMYFUNCTION("""COMPUTED_VALUE"""),"LIB")</f>
        <v>LIB</v>
      </c>
      <c r="C242" s="1" t="str">
        <f>IFERROR(__xludf.DUMMYFUNCTION("""COMPUTED_VALUE"""),"ADE")</f>
        <v>ADE</v>
      </c>
      <c r="D242" s="1">
        <f>IFERROR(__xludf.DUMMYFUNCTION("""COMPUTED_VALUE"""),12.0)</f>
        <v>12</v>
      </c>
    </row>
    <row r="243">
      <c r="A243" s="1" t="str">
        <f>IFERROR(__xludf.DUMMYFUNCTION("""COMPUTED_VALUE"""),"LIB-ASE")</f>
        <v>LIB-ASE</v>
      </c>
      <c r="B243" s="1" t="str">
        <f>IFERROR(__xludf.DUMMYFUNCTION("""COMPUTED_VALUE"""),"LIB")</f>
        <v>LIB</v>
      </c>
      <c r="C243" s="1" t="str">
        <f>IFERROR(__xludf.DUMMYFUNCTION("""COMPUTED_VALUE"""),"ASE")</f>
        <v>ASE</v>
      </c>
      <c r="D243" s="1">
        <f>IFERROR(__xludf.DUMMYFUNCTION("""COMPUTED_VALUE"""),12.0)</f>
        <v>12</v>
      </c>
    </row>
    <row r="244">
      <c r="A244" s="1" t="str">
        <f>IFERROR(__xludf.DUMMYFUNCTION("""COMPUTED_VALUE"""),"LIB-ATA")</f>
        <v>LIB-ATA</v>
      </c>
      <c r="B244" s="1" t="str">
        <f>IFERROR(__xludf.DUMMYFUNCTION("""COMPUTED_VALUE"""),"LIB")</f>
        <v>LIB</v>
      </c>
      <c r="C244" s="1" t="str">
        <f>IFERROR(__xludf.DUMMYFUNCTION("""COMPUTED_VALUE"""),"ATA")</f>
        <v>ATA</v>
      </c>
      <c r="D244" s="1">
        <f>IFERROR(__xludf.DUMMYFUNCTION("""COMPUTED_VALUE"""),6.0)</f>
        <v>6</v>
      </c>
    </row>
    <row r="245">
      <c r="A245" s="1" t="str">
        <f>IFERROR(__xludf.DUMMYFUNCTION("""COMPUTED_VALUE"""),"LIB-COM")</f>
        <v>LIB-COM</v>
      </c>
      <c r="B245" s="1" t="str">
        <f>IFERROR(__xludf.DUMMYFUNCTION("""COMPUTED_VALUE"""),"LIB")</f>
        <v>LIB</v>
      </c>
      <c r="C245" s="1" t="str">
        <f>IFERROR(__xludf.DUMMYFUNCTION("""COMPUTED_VALUE"""),"COM")</f>
        <v>COM</v>
      </c>
      <c r="D245" s="1">
        <f>IFERROR(__xludf.DUMMYFUNCTION("""COMPUTED_VALUE"""),1.0)</f>
        <v>1</v>
      </c>
    </row>
    <row r="246">
      <c r="A246" s="1" t="str">
        <f>IFERROR(__xludf.DUMMYFUNCTION("""COMPUTED_VALUE"""),"LIB-LOG")</f>
        <v>LIB-LOG</v>
      </c>
      <c r="B246" s="1" t="str">
        <f>IFERROR(__xludf.DUMMYFUNCTION("""COMPUTED_VALUE"""),"LIB")</f>
        <v>LIB</v>
      </c>
      <c r="C246" s="1" t="str">
        <f>IFERROR(__xludf.DUMMYFUNCTION("""COMPUTED_VALUE"""),"LOG")</f>
        <v>LOG</v>
      </c>
      <c r="D246" s="1">
        <f>IFERROR(__xludf.DUMMYFUNCTION("""COMPUTED_VALUE"""),1.0)</f>
        <v>1</v>
      </c>
    </row>
    <row r="247">
      <c r="A247" s="1" t="str">
        <f>IFERROR(__xludf.DUMMYFUNCTION("""COMPUTED_VALUE"""),"LIB-MCG")</f>
        <v>LIB-MCG</v>
      </c>
      <c r="B247" s="1" t="str">
        <f>IFERROR(__xludf.DUMMYFUNCTION("""COMPUTED_VALUE"""),"LIB")</f>
        <v>LIB</v>
      </c>
      <c r="C247" s="1" t="str">
        <f>IFERROR(__xludf.DUMMYFUNCTION("""COMPUTED_VALUE"""),"MCG")</f>
        <v>MCG</v>
      </c>
      <c r="D247" s="1">
        <f>IFERROR(__xludf.DUMMYFUNCTION("""COMPUTED_VALUE"""),250.0)</f>
        <v>250</v>
      </c>
    </row>
    <row r="248">
      <c r="A248" s="1" t="str">
        <f>IFERROR(__xludf.DUMMYFUNCTION("""COMPUTED_VALUE"""),"LIB-TRU")</f>
        <v>LIB-TRU</v>
      </c>
      <c r="B248" s="1" t="str">
        <f>IFERROR(__xludf.DUMMYFUNCTION("""COMPUTED_VALUE"""),"LIB")</f>
        <v>LIB</v>
      </c>
      <c r="C248" s="1" t="str">
        <f>IFERROR(__xludf.DUMMYFUNCTION("""COMPUTED_VALUE"""),"TRU")</f>
        <v>TRU</v>
      </c>
      <c r="D248" s="1">
        <f>IFERROR(__xludf.DUMMYFUNCTION("""COMPUTED_VALUE"""),20.0)</f>
        <v>20</v>
      </c>
    </row>
    <row r="249">
      <c r="A249" s="1" t="str">
        <f>IFERROR(__xludf.DUMMYFUNCTION("""COMPUTED_VALUE"""),"LM-BDE")</f>
        <v>LM-BDE</v>
      </c>
      <c r="B249" s="1" t="str">
        <f>IFERROR(__xludf.DUMMYFUNCTION("""COMPUTED_VALUE"""),"LM")</f>
        <v>LM</v>
      </c>
      <c r="C249" s="1" t="str">
        <f>IFERROR(__xludf.DUMMYFUNCTION("""COMPUTED_VALUE"""),"BDE")</f>
        <v>BDE</v>
      </c>
      <c r="D249" s="1">
        <f>IFERROR(__xludf.DUMMYFUNCTION("""COMPUTED_VALUE"""),8.0)</f>
        <v>8</v>
      </c>
    </row>
    <row r="250">
      <c r="A250" s="1" t="str">
        <f>IFERROR(__xludf.DUMMYFUNCTION("""COMPUTED_VALUE"""),"LM-BSE")</f>
        <v>LM-BSE</v>
      </c>
      <c r="B250" s="1" t="str">
        <f>IFERROR(__xludf.DUMMYFUNCTION("""COMPUTED_VALUE"""),"LM")</f>
        <v>LM</v>
      </c>
      <c r="C250" s="1" t="str">
        <f>IFERROR(__xludf.DUMMYFUNCTION("""COMPUTED_VALUE"""),"BSE")</f>
        <v>BSE</v>
      </c>
      <c r="D250" s="1">
        <f>IFERROR(__xludf.DUMMYFUNCTION("""COMPUTED_VALUE"""),12.0)</f>
        <v>12</v>
      </c>
    </row>
    <row r="251">
      <c r="A251" s="1" t="str">
        <f>IFERROR(__xludf.DUMMYFUNCTION("""COMPUTED_VALUE"""),"LM-BTA")</f>
        <v>LM-BTA</v>
      </c>
      <c r="B251" s="1" t="str">
        <f>IFERROR(__xludf.DUMMYFUNCTION("""COMPUTED_VALUE"""),"LM")</f>
        <v>LM</v>
      </c>
      <c r="C251" s="1" t="str">
        <f>IFERROR(__xludf.DUMMYFUNCTION("""COMPUTED_VALUE"""),"BTA")</f>
        <v>BTA</v>
      </c>
      <c r="D251" s="1">
        <f>IFERROR(__xludf.DUMMYFUNCTION("""COMPUTED_VALUE"""),8.0)</f>
        <v>8</v>
      </c>
    </row>
    <row r="252">
      <c r="A252" s="1" t="str">
        <f>IFERROR(__xludf.DUMMYFUNCTION("""COMPUTED_VALUE"""),"LM-LBH")</f>
        <v>LM-LBH</v>
      </c>
      <c r="B252" s="1" t="str">
        <f>IFERROR(__xludf.DUMMYFUNCTION("""COMPUTED_VALUE"""),"LM")</f>
        <v>LM</v>
      </c>
      <c r="C252" s="1" t="str">
        <f>IFERROR(__xludf.DUMMYFUNCTION("""COMPUTED_VALUE"""),"LBH")</f>
        <v>LBH</v>
      </c>
      <c r="D252" s="1">
        <f>IFERROR(__xludf.DUMMYFUNCTION("""COMPUTED_VALUE"""),8.0)</f>
        <v>8</v>
      </c>
    </row>
    <row r="253">
      <c r="A253" s="1" t="str">
        <f>IFERROR(__xludf.DUMMYFUNCTION("""COMPUTED_VALUE"""),"LM-TRU")</f>
        <v>LM-TRU</v>
      </c>
      <c r="B253" s="1" t="str">
        <f>IFERROR(__xludf.DUMMYFUNCTION("""COMPUTED_VALUE"""),"LM")</f>
        <v>LM</v>
      </c>
      <c r="C253" s="1" t="str">
        <f>IFERROR(__xludf.DUMMYFUNCTION("""COMPUTED_VALUE"""),"TRU")</f>
        <v>TRU</v>
      </c>
      <c r="D253" s="1">
        <f>IFERROR(__xludf.DUMMYFUNCTION("""COMPUTED_VALUE"""),10.0)</f>
        <v>10</v>
      </c>
    </row>
    <row r="254">
      <c r="A254" s="1" t="str">
        <f>IFERROR(__xludf.DUMMYFUNCTION("""COMPUTED_VALUE"""),"MCA-RBH")</f>
        <v>MCA-RBH</v>
      </c>
      <c r="B254" s="1" t="str">
        <f>IFERROR(__xludf.DUMMYFUNCTION("""COMPUTED_VALUE"""),"MCA")</f>
        <v>MCA</v>
      </c>
      <c r="C254" s="1" t="str">
        <f>IFERROR(__xludf.DUMMYFUNCTION("""COMPUTED_VALUE"""),"RBH")</f>
        <v>RBH</v>
      </c>
      <c r="D254" s="1">
        <f>IFERROR(__xludf.DUMMYFUNCTION("""COMPUTED_VALUE"""),4.0)</f>
        <v>4</v>
      </c>
    </row>
    <row r="255">
      <c r="A255" s="1" t="str">
        <f>IFERROR(__xludf.DUMMYFUNCTION("""COMPUTED_VALUE"""),"MCA-RDE")</f>
        <v>MCA-RDE</v>
      </c>
      <c r="B255" s="1" t="str">
        <f>IFERROR(__xludf.DUMMYFUNCTION("""COMPUTED_VALUE"""),"MCA")</f>
        <v>MCA</v>
      </c>
      <c r="C255" s="1" t="str">
        <f>IFERROR(__xludf.DUMMYFUNCTION("""COMPUTED_VALUE"""),"RDE")</f>
        <v>RDE</v>
      </c>
      <c r="D255" s="1">
        <f>IFERROR(__xludf.DUMMYFUNCTION("""COMPUTED_VALUE"""),6.0)</f>
        <v>6</v>
      </c>
    </row>
    <row r="256">
      <c r="A256" s="1" t="str">
        <f>IFERROR(__xludf.DUMMYFUNCTION("""COMPUTED_VALUE"""),"MCA-RSE")</f>
        <v>MCA-RSE</v>
      </c>
      <c r="B256" s="1" t="str">
        <f>IFERROR(__xludf.DUMMYFUNCTION("""COMPUTED_VALUE"""),"MCA")</f>
        <v>MCA</v>
      </c>
      <c r="C256" s="1" t="str">
        <f>IFERROR(__xludf.DUMMYFUNCTION("""COMPUTED_VALUE"""),"RSE")</f>
        <v>RSE</v>
      </c>
      <c r="D256" s="1">
        <f>IFERROR(__xludf.DUMMYFUNCTION("""COMPUTED_VALUE"""),4.0)</f>
        <v>4</v>
      </c>
    </row>
    <row r="257">
      <c r="A257" s="1" t="str">
        <f>IFERROR(__xludf.DUMMYFUNCTION("""COMPUTED_VALUE"""),"MCA-TRU")</f>
        <v>MCA-TRU</v>
      </c>
      <c r="B257" s="1" t="str">
        <f>IFERROR(__xludf.DUMMYFUNCTION("""COMPUTED_VALUE"""),"MCA")</f>
        <v>MCA</v>
      </c>
      <c r="C257" s="1" t="str">
        <f>IFERROR(__xludf.DUMMYFUNCTION("""COMPUTED_VALUE"""),"TRU")</f>
        <v>TRU</v>
      </c>
      <c r="D257" s="1">
        <f>IFERROR(__xludf.DUMMYFUNCTION("""COMPUTED_VALUE"""),6.0)</f>
        <v>6</v>
      </c>
    </row>
    <row r="258">
      <c r="A258" s="1" t="str">
        <f>IFERROR(__xludf.DUMMYFUNCTION("""COMPUTED_VALUE"""),"ORC-ASE")</f>
        <v>ORC-ASE</v>
      </c>
      <c r="B258" s="1" t="str">
        <f>IFERROR(__xludf.DUMMYFUNCTION("""COMPUTED_VALUE"""),"ORC")</f>
        <v>ORC</v>
      </c>
      <c r="C258" s="1" t="str">
        <f>IFERROR(__xludf.DUMMYFUNCTION("""COMPUTED_VALUE"""),"ASE")</f>
        <v>ASE</v>
      </c>
      <c r="D258" s="1">
        <f>IFERROR(__xludf.DUMMYFUNCTION("""COMPUTED_VALUE"""),8.0)</f>
        <v>8</v>
      </c>
    </row>
    <row r="259">
      <c r="A259" s="1" t="str">
        <f>IFERROR(__xludf.DUMMYFUNCTION("""COMPUTED_VALUE"""),"ORC-ATA")</f>
        <v>ORC-ATA</v>
      </c>
      <c r="B259" s="1" t="str">
        <f>IFERROR(__xludf.DUMMYFUNCTION("""COMPUTED_VALUE"""),"ORC")</f>
        <v>ORC</v>
      </c>
      <c r="C259" s="1" t="str">
        <f>IFERROR(__xludf.DUMMYFUNCTION("""COMPUTED_VALUE"""),"ATA")</f>
        <v>ATA</v>
      </c>
      <c r="D259" s="1">
        <f>IFERROR(__xludf.DUMMYFUNCTION("""COMPUTED_VALUE"""),4.0)</f>
        <v>4</v>
      </c>
    </row>
    <row r="260">
      <c r="A260" s="1" t="str">
        <f>IFERROR(__xludf.DUMMYFUNCTION("""COMPUTED_VALUE"""),"ORC-TRU")</f>
        <v>ORC-TRU</v>
      </c>
      <c r="B260" s="1" t="str">
        <f>IFERROR(__xludf.DUMMYFUNCTION("""COMPUTED_VALUE"""),"ORC")</f>
        <v>ORC</v>
      </c>
      <c r="C260" s="1" t="str">
        <f>IFERROR(__xludf.DUMMYFUNCTION("""COMPUTED_VALUE"""),"TRU")</f>
        <v>TRU</v>
      </c>
      <c r="D260" s="1">
        <f>IFERROR(__xludf.DUMMYFUNCTION("""COMPUTED_VALUE"""),2.0)</f>
        <v>2</v>
      </c>
    </row>
    <row r="261">
      <c r="A261" s="1" t="str">
        <f>IFERROR(__xludf.DUMMYFUNCTION("""COMPUTED_VALUE"""),"PAC-BSE")</f>
        <v>PAC-BSE</v>
      </c>
      <c r="B261" s="1" t="str">
        <f>IFERROR(__xludf.DUMMYFUNCTION("""COMPUTED_VALUE"""),"PAC")</f>
        <v>PAC</v>
      </c>
      <c r="C261" s="1" t="str">
        <f>IFERROR(__xludf.DUMMYFUNCTION("""COMPUTED_VALUE"""),"BSE")</f>
        <v>BSE</v>
      </c>
      <c r="D261" s="1">
        <f>IFERROR(__xludf.DUMMYFUNCTION("""COMPUTED_VALUE"""),6.0)</f>
        <v>6</v>
      </c>
    </row>
    <row r="262">
      <c r="A262" s="1" t="str">
        <f>IFERROR(__xludf.DUMMYFUNCTION("""COMPUTED_VALUE"""),"PAC-LBH")</f>
        <v>PAC-LBH</v>
      </c>
      <c r="B262" s="1" t="str">
        <f>IFERROR(__xludf.DUMMYFUNCTION("""COMPUTED_VALUE"""),"PAC")</f>
        <v>PAC</v>
      </c>
      <c r="C262" s="1" t="str">
        <f>IFERROR(__xludf.DUMMYFUNCTION("""COMPUTED_VALUE"""),"LBH")</f>
        <v>LBH</v>
      </c>
      <c r="D262" s="1">
        <f>IFERROR(__xludf.DUMMYFUNCTION("""COMPUTED_VALUE"""),10.0)</f>
        <v>10</v>
      </c>
    </row>
    <row r="263">
      <c r="A263" s="1" t="str">
        <f>IFERROR(__xludf.DUMMYFUNCTION("""COMPUTED_VALUE"""),"PAC-LDE")</f>
        <v>PAC-LDE</v>
      </c>
      <c r="B263" s="1" t="str">
        <f>IFERROR(__xludf.DUMMYFUNCTION("""COMPUTED_VALUE"""),"PAC")</f>
        <v>PAC</v>
      </c>
      <c r="C263" s="1" t="str">
        <f>IFERROR(__xludf.DUMMYFUNCTION("""COMPUTED_VALUE"""),"LDE")</f>
        <v>LDE</v>
      </c>
      <c r="D263" s="1">
        <f>IFERROR(__xludf.DUMMYFUNCTION("""COMPUTED_VALUE"""),6.0)</f>
        <v>6</v>
      </c>
    </row>
    <row r="264">
      <c r="A264" s="1" t="str">
        <f>IFERROR(__xludf.DUMMYFUNCTION("""COMPUTED_VALUE"""),"PAC-MCG")</f>
        <v>PAC-MCG</v>
      </c>
      <c r="B264" s="1" t="str">
        <f>IFERROR(__xludf.DUMMYFUNCTION("""COMPUTED_VALUE"""),"PAC")</f>
        <v>PAC</v>
      </c>
      <c r="C264" s="1" t="str">
        <f>IFERROR(__xludf.DUMMYFUNCTION("""COMPUTED_VALUE"""),"MCG")</f>
        <v>MCG</v>
      </c>
      <c r="D264" s="1">
        <f>IFERROR(__xludf.DUMMYFUNCTION("""COMPUTED_VALUE"""),100.0)</f>
        <v>100</v>
      </c>
    </row>
    <row r="265">
      <c r="A265" s="1" t="str">
        <f>IFERROR(__xludf.DUMMYFUNCTION("""COMPUTED_VALUE"""),"PAC-TRU")</f>
        <v>PAC-TRU</v>
      </c>
      <c r="B265" s="1" t="str">
        <f>IFERROR(__xludf.DUMMYFUNCTION("""COMPUTED_VALUE"""),"PAC")</f>
        <v>PAC</v>
      </c>
      <c r="C265" s="1" t="str">
        <f>IFERROR(__xludf.DUMMYFUNCTION("""COMPUTED_VALUE"""),"TRU")</f>
        <v>TRU</v>
      </c>
      <c r="D265" s="1">
        <f>IFERROR(__xludf.DUMMYFUNCTION("""COMPUTED_VALUE"""),4.0)</f>
        <v>4</v>
      </c>
    </row>
    <row r="266">
      <c r="A266" s="1" t="str">
        <f>IFERROR(__xludf.DUMMYFUNCTION("""COMPUTED_VALUE"""),"PAR-BBH")</f>
        <v>PAR-BBH</v>
      </c>
      <c r="B266" s="1" t="str">
        <f>IFERROR(__xludf.DUMMYFUNCTION("""COMPUTED_VALUE"""),"PAR")</f>
        <v>PAR</v>
      </c>
      <c r="C266" s="1" t="str">
        <f>IFERROR(__xludf.DUMMYFUNCTION("""COMPUTED_VALUE"""),"BBH")</f>
        <v>BBH</v>
      </c>
      <c r="D266" s="1">
        <f>IFERROR(__xludf.DUMMYFUNCTION("""COMPUTED_VALUE"""),16.0)</f>
        <v>16</v>
      </c>
    </row>
    <row r="267">
      <c r="A267" s="1" t="str">
        <f>IFERROR(__xludf.DUMMYFUNCTION("""COMPUTED_VALUE"""),"PAR-BDE")</f>
        <v>PAR-BDE</v>
      </c>
      <c r="B267" s="1" t="str">
        <f>IFERROR(__xludf.DUMMYFUNCTION("""COMPUTED_VALUE"""),"PAR")</f>
        <v>PAR</v>
      </c>
      <c r="C267" s="1" t="str">
        <f>IFERROR(__xludf.DUMMYFUNCTION("""COMPUTED_VALUE"""),"BDE")</f>
        <v>BDE</v>
      </c>
      <c r="D267" s="1">
        <f>IFERROR(__xludf.DUMMYFUNCTION("""COMPUTED_VALUE"""),16.0)</f>
        <v>16</v>
      </c>
    </row>
    <row r="268">
      <c r="A268" s="1" t="str">
        <f>IFERROR(__xludf.DUMMYFUNCTION("""COMPUTED_VALUE"""),"PAR-BSE")</f>
        <v>PAR-BSE</v>
      </c>
      <c r="B268" s="1" t="str">
        <f>IFERROR(__xludf.DUMMYFUNCTION("""COMPUTED_VALUE"""),"PAR")</f>
        <v>PAR</v>
      </c>
      <c r="C268" s="1" t="str">
        <f>IFERROR(__xludf.DUMMYFUNCTION("""COMPUTED_VALUE"""),"BSE")</f>
        <v>BSE</v>
      </c>
      <c r="D268" s="1">
        <f>IFERROR(__xludf.DUMMYFUNCTION("""COMPUTED_VALUE"""),20.0)</f>
        <v>20</v>
      </c>
    </row>
    <row r="269">
      <c r="A269" s="1" t="str">
        <f>IFERROR(__xludf.DUMMYFUNCTION("""COMPUTED_VALUE"""),"PAR-BTA")</f>
        <v>PAR-BTA</v>
      </c>
      <c r="B269" s="1" t="str">
        <f>IFERROR(__xludf.DUMMYFUNCTION("""COMPUTED_VALUE"""),"PAR")</f>
        <v>PAR</v>
      </c>
      <c r="C269" s="1" t="str">
        <f>IFERROR(__xludf.DUMMYFUNCTION("""COMPUTED_VALUE"""),"BTA")</f>
        <v>BTA</v>
      </c>
      <c r="D269" s="1">
        <f>IFERROR(__xludf.DUMMYFUNCTION("""COMPUTED_VALUE"""),10.0)</f>
        <v>10</v>
      </c>
    </row>
    <row r="270">
      <c r="A270" s="1" t="str">
        <f>IFERROR(__xludf.DUMMYFUNCTION("""COMPUTED_VALUE"""),"PAR-HAB")</f>
        <v>PAR-HAB</v>
      </c>
      <c r="B270" s="1" t="str">
        <f>IFERROR(__xludf.DUMMYFUNCTION("""COMPUTED_VALUE"""),"PAR")</f>
        <v>PAR</v>
      </c>
      <c r="C270" s="1" t="str">
        <f>IFERROR(__xludf.DUMMYFUNCTION("""COMPUTED_VALUE"""),"HAB")</f>
        <v>HAB</v>
      </c>
      <c r="D270" s="1">
        <f>IFERROR(__xludf.DUMMYFUNCTION("""COMPUTED_VALUE"""),5.0)</f>
        <v>5</v>
      </c>
    </row>
    <row r="271">
      <c r="A271" s="1" t="str">
        <f>IFERROR(__xludf.DUMMYFUNCTION("""COMPUTED_VALUE"""),"PAR-MCG")</f>
        <v>PAR-MCG</v>
      </c>
      <c r="B271" s="1" t="str">
        <f>IFERROR(__xludf.DUMMYFUNCTION("""COMPUTED_VALUE"""),"PAR")</f>
        <v>PAR</v>
      </c>
      <c r="C271" s="1" t="str">
        <f>IFERROR(__xludf.DUMMYFUNCTION("""COMPUTED_VALUE"""),"MCG")</f>
        <v>MCG</v>
      </c>
      <c r="D271" s="1">
        <f>IFERROR(__xludf.DUMMYFUNCTION("""COMPUTED_VALUE"""),300.0)</f>
        <v>300</v>
      </c>
    </row>
    <row r="272">
      <c r="A272" s="1" t="str">
        <f>IFERROR(__xludf.DUMMYFUNCTION("""COMPUTED_VALUE"""),"PAR-SOI")</f>
        <v>PAR-SOI</v>
      </c>
      <c r="B272" s="1" t="str">
        <f>IFERROR(__xludf.DUMMYFUNCTION("""COMPUTED_VALUE"""),"PAR")</f>
        <v>PAR</v>
      </c>
      <c r="C272" s="1" t="str">
        <f>IFERROR(__xludf.DUMMYFUNCTION("""COMPUTED_VALUE"""),"SOI")</f>
        <v>SOI</v>
      </c>
      <c r="D272" s="1">
        <f>IFERROR(__xludf.DUMMYFUNCTION("""COMPUTED_VALUE"""),100.0)</f>
        <v>100</v>
      </c>
    </row>
    <row r="273">
      <c r="A273" s="1" t="str">
        <f>IFERROR(__xludf.DUMMYFUNCTION("""COMPUTED_VALUE"""),"PBH-ADS")</f>
        <v>PBH-ADS</v>
      </c>
      <c r="B273" s="1" t="str">
        <f>IFERROR(__xludf.DUMMYFUNCTION("""COMPUTED_VALUE"""),"PBH")</f>
        <v>PBH</v>
      </c>
      <c r="C273" s="1" t="str">
        <f>IFERROR(__xludf.DUMMYFUNCTION("""COMPUTED_VALUE"""),"ADS")</f>
        <v>ADS</v>
      </c>
      <c r="D273" s="1">
        <f>IFERROR(__xludf.DUMMYFUNCTION("""COMPUTED_VALUE"""),1.0)</f>
        <v>1</v>
      </c>
    </row>
    <row r="274">
      <c r="A274" s="1" t="str">
        <f>IFERROR(__xludf.DUMMYFUNCTION("""COMPUTED_VALUE"""),"PBH-COM")</f>
        <v>PBH-COM</v>
      </c>
      <c r="B274" s="1" t="str">
        <f>IFERROR(__xludf.DUMMYFUNCTION("""COMPUTED_VALUE"""),"PBH")</f>
        <v>PBH</v>
      </c>
      <c r="C274" s="1" t="str">
        <f>IFERROR(__xludf.DUMMYFUNCTION("""COMPUTED_VALUE"""),"COM")</f>
        <v>COM</v>
      </c>
      <c r="D274" s="1">
        <f>IFERROR(__xludf.DUMMYFUNCTION("""COMPUTED_VALUE"""),1.0)</f>
        <v>1</v>
      </c>
    </row>
    <row r="275">
      <c r="A275" s="1" t="str">
        <f>IFERROR(__xludf.DUMMYFUNCTION("""COMPUTED_VALUE"""),"PBH-MCG")</f>
        <v>PBH-MCG</v>
      </c>
      <c r="B275" s="1" t="str">
        <f>IFERROR(__xludf.DUMMYFUNCTION("""COMPUTED_VALUE"""),"PBH")</f>
        <v>PBH</v>
      </c>
      <c r="C275" s="1" t="str">
        <f>IFERROR(__xludf.DUMMYFUNCTION("""COMPUTED_VALUE"""),"MCG")</f>
        <v>MCG</v>
      </c>
      <c r="D275" s="1">
        <f>IFERROR(__xludf.DUMMYFUNCTION("""COMPUTED_VALUE"""),300.0)</f>
        <v>300</v>
      </c>
    </row>
    <row r="276">
      <c r="A276" s="1" t="str">
        <f>IFERROR(__xludf.DUMMYFUNCTION("""COMPUTED_VALUE"""),"PBH-RBH")</f>
        <v>PBH-RBH</v>
      </c>
      <c r="B276" s="1" t="str">
        <f>IFERROR(__xludf.DUMMYFUNCTION("""COMPUTED_VALUE"""),"PBH")</f>
        <v>PBH</v>
      </c>
      <c r="C276" s="1" t="str">
        <f>IFERROR(__xludf.DUMMYFUNCTION("""COMPUTED_VALUE"""),"RBH")</f>
        <v>RBH</v>
      </c>
      <c r="D276" s="1">
        <f>IFERROR(__xludf.DUMMYFUNCTION("""COMPUTED_VALUE"""),16.0)</f>
        <v>16</v>
      </c>
    </row>
    <row r="277">
      <c r="A277" s="1" t="str">
        <f>IFERROR(__xludf.DUMMYFUNCTION("""COMPUTED_VALUE"""),"PBH-RDE")</f>
        <v>PBH-RDE</v>
      </c>
      <c r="B277" s="1" t="str">
        <f>IFERROR(__xludf.DUMMYFUNCTION("""COMPUTED_VALUE"""),"PBH")</f>
        <v>PBH</v>
      </c>
      <c r="C277" s="1" t="str">
        <f>IFERROR(__xludf.DUMMYFUNCTION("""COMPUTED_VALUE"""),"RDE")</f>
        <v>RDE</v>
      </c>
      <c r="D277" s="1">
        <f>IFERROR(__xludf.DUMMYFUNCTION("""COMPUTED_VALUE"""),24.0)</f>
        <v>24</v>
      </c>
    </row>
    <row r="278">
      <c r="A278" s="1" t="str">
        <f>IFERROR(__xludf.DUMMYFUNCTION("""COMPUTED_VALUE"""),"PBH-RSE")</f>
        <v>PBH-RSE</v>
      </c>
      <c r="B278" s="1" t="str">
        <f>IFERROR(__xludf.DUMMYFUNCTION("""COMPUTED_VALUE"""),"PBH")</f>
        <v>PBH</v>
      </c>
      <c r="C278" s="1" t="str">
        <f>IFERROR(__xludf.DUMMYFUNCTION("""COMPUTED_VALUE"""),"RSE")</f>
        <v>RSE</v>
      </c>
      <c r="D278" s="1">
        <f>IFERROR(__xludf.DUMMYFUNCTION("""COMPUTED_VALUE"""),24.0)</f>
        <v>24</v>
      </c>
    </row>
    <row r="279">
      <c r="A279" s="1" t="str">
        <f>IFERROR(__xludf.DUMMYFUNCTION("""COMPUTED_VALUE"""),"PBH-RTA")</f>
        <v>PBH-RTA</v>
      </c>
      <c r="B279" s="1" t="str">
        <f>IFERROR(__xludf.DUMMYFUNCTION("""COMPUTED_VALUE"""),"PBH")</f>
        <v>PBH</v>
      </c>
      <c r="C279" s="1" t="str">
        <f>IFERROR(__xludf.DUMMYFUNCTION("""COMPUTED_VALUE"""),"RTA")</f>
        <v>RTA</v>
      </c>
      <c r="D279" s="1">
        <f>IFERROR(__xludf.DUMMYFUNCTION("""COMPUTED_VALUE"""),12.0)</f>
        <v>12</v>
      </c>
    </row>
    <row r="280">
      <c r="A280" s="1" t="str">
        <f>IFERROR(__xludf.DUMMYFUNCTION("""COMPUTED_VALUE"""),"PBH-TRU")</f>
        <v>PBH-TRU</v>
      </c>
      <c r="B280" s="1" t="str">
        <f>IFERROR(__xludf.DUMMYFUNCTION("""COMPUTED_VALUE"""),"PBH")</f>
        <v>PBH</v>
      </c>
      <c r="C280" s="1" t="str">
        <f>IFERROR(__xludf.DUMMYFUNCTION("""COMPUTED_VALUE"""),"TRU")</f>
        <v>TRU</v>
      </c>
      <c r="D280" s="1">
        <f>IFERROR(__xludf.DUMMYFUNCTION("""COMPUTED_VALUE"""),30.0)</f>
        <v>30</v>
      </c>
    </row>
    <row r="281">
      <c r="A281" s="1" t="str">
        <f>IFERROR(__xludf.DUMMYFUNCTION("""COMPUTED_VALUE"""),"PHF-LBH")</f>
        <v>PHF-LBH</v>
      </c>
      <c r="B281" s="1" t="str">
        <f>IFERROR(__xludf.DUMMYFUNCTION("""COMPUTED_VALUE"""),"PHF")</f>
        <v>PHF</v>
      </c>
      <c r="C281" s="1" t="str">
        <f>IFERROR(__xludf.DUMMYFUNCTION("""COMPUTED_VALUE"""),"LBH")</f>
        <v>LBH</v>
      </c>
      <c r="D281" s="1">
        <f>IFERROR(__xludf.DUMMYFUNCTION("""COMPUTED_VALUE"""),4.0)</f>
        <v>4</v>
      </c>
    </row>
    <row r="282">
      <c r="A282" s="1" t="str">
        <f>IFERROR(__xludf.DUMMYFUNCTION("""COMPUTED_VALUE"""),"PHF-LDE")</f>
        <v>PHF-LDE</v>
      </c>
      <c r="B282" s="1" t="str">
        <f>IFERROR(__xludf.DUMMYFUNCTION("""COMPUTED_VALUE"""),"PHF")</f>
        <v>PHF</v>
      </c>
      <c r="C282" s="1" t="str">
        <f>IFERROR(__xludf.DUMMYFUNCTION("""COMPUTED_VALUE"""),"LDE")</f>
        <v>LDE</v>
      </c>
      <c r="D282" s="1">
        <f>IFERROR(__xludf.DUMMYFUNCTION("""COMPUTED_VALUE"""),6.0)</f>
        <v>6</v>
      </c>
    </row>
    <row r="283">
      <c r="A283" s="1" t="str">
        <f>IFERROR(__xludf.DUMMYFUNCTION("""COMPUTED_VALUE"""),"PHF-LSE")</f>
        <v>PHF-LSE</v>
      </c>
      <c r="B283" s="1" t="str">
        <f>IFERROR(__xludf.DUMMYFUNCTION("""COMPUTED_VALUE"""),"PHF")</f>
        <v>PHF</v>
      </c>
      <c r="C283" s="1" t="str">
        <f>IFERROR(__xludf.DUMMYFUNCTION("""COMPUTED_VALUE"""),"LSE")</f>
        <v>LSE</v>
      </c>
      <c r="D283" s="1">
        <f>IFERROR(__xludf.DUMMYFUNCTION("""COMPUTED_VALUE"""),8.0)</f>
        <v>8</v>
      </c>
    </row>
    <row r="284">
      <c r="A284" s="1" t="str">
        <f>IFERROR(__xludf.DUMMYFUNCTION("""COMPUTED_VALUE"""),"PHF-LTA")</f>
        <v>PHF-LTA</v>
      </c>
      <c r="B284" s="1" t="str">
        <f>IFERROR(__xludf.DUMMYFUNCTION("""COMPUTED_VALUE"""),"PHF")</f>
        <v>PHF</v>
      </c>
      <c r="C284" s="1" t="str">
        <f>IFERROR(__xludf.DUMMYFUNCTION("""COMPUTED_VALUE"""),"LTA")</f>
        <v>LTA</v>
      </c>
      <c r="D284" s="1">
        <f>IFERROR(__xludf.DUMMYFUNCTION("""COMPUTED_VALUE"""),2.0)</f>
        <v>2</v>
      </c>
    </row>
    <row r="285">
      <c r="A285" s="1" t="str">
        <f>IFERROR(__xludf.DUMMYFUNCTION("""COMPUTED_VALUE"""),"PHF-TRU")</f>
        <v>PHF-TRU</v>
      </c>
      <c r="B285" s="1" t="str">
        <f>IFERROR(__xludf.DUMMYFUNCTION("""COMPUTED_VALUE"""),"PHF")</f>
        <v>PHF</v>
      </c>
      <c r="C285" s="1" t="str">
        <f>IFERROR(__xludf.DUMMYFUNCTION("""COMPUTED_VALUE"""),"TRU")</f>
        <v>TRU</v>
      </c>
      <c r="D285" s="1">
        <f>IFERROR(__xludf.DUMMYFUNCTION("""COMPUTED_VALUE"""),6.0)</f>
        <v>6</v>
      </c>
    </row>
    <row r="286">
      <c r="A286" s="1" t="str">
        <f>IFERROR(__xludf.DUMMYFUNCTION("""COMPUTED_VALUE"""),"POL-BDE")</f>
        <v>POL-BDE</v>
      </c>
      <c r="B286" s="1" t="str">
        <f>IFERROR(__xludf.DUMMYFUNCTION("""COMPUTED_VALUE"""),"POL")</f>
        <v>POL</v>
      </c>
      <c r="C286" s="1" t="str">
        <f>IFERROR(__xludf.DUMMYFUNCTION("""COMPUTED_VALUE"""),"BDE")</f>
        <v>BDE</v>
      </c>
      <c r="D286" s="1">
        <f>IFERROR(__xludf.DUMMYFUNCTION("""COMPUTED_VALUE"""),4.0)</f>
        <v>4</v>
      </c>
    </row>
    <row r="287">
      <c r="A287" s="1" t="str">
        <f>IFERROR(__xludf.DUMMYFUNCTION("""COMPUTED_VALUE"""),"POL-BSE")</f>
        <v>POL-BSE</v>
      </c>
      <c r="B287" s="1" t="str">
        <f>IFERROR(__xludf.DUMMYFUNCTION("""COMPUTED_VALUE"""),"POL")</f>
        <v>POL</v>
      </c>
      <c r="C287" s="1" t="str">
        <f>IFERROR(__xludf.DUMMYFUNCTION("""COMPUTED_VALUE"""),"BSE")</f>
        <v>BSE</v>
      </c>
      <c r="D287" s="1">
        <f>IFERROR(__xludf.DUMMYFUNCTION("""COMPUTED_VALUE"""),4.0)</f>
        <v>4</v>
      </c>
    </row>
    <row r="288">
      <c r="A288" s="1" t="str">
        <f>IFERROR(__xludf.DUMMYFUNCTION("""COMPUTED_VALUE"""),"POL-LBH")</f>
        <v>POL-LBH</v>
      </c>
      <c r="B288" s="1" t="str">
        <f>IFERROR(__xludf.DUMMYFUNCTION("""COMPUTED_VALUE"""),"POL")</f>
        <v>POL</v>
      </c>
      <c r="C288" s="1" t="str">
        <f>IFERROR(__xludf.DUMMYFUNCTION("""COMPUTED_VALUE"""),"LBH")</f>
        <v>LBH</v>
      </c>
      <c r="D288" s="1">
        <f>IFERROR(__xludf.DUMMYFUNCTION("""COMPUTED_VALUE"""),8.0)</f>
        <v>8</v>
      </c>
    </row>
    <row r="289">
      <c r="A289" s="1" t="str">
        <f>IFERROR(__xludf.DUMMYFUNCTION("""COMPUTED_VALUE"""),"POL-TRU")</f>
        <v>POL-TRU</v>
      </c>
      <c r="B289" s="1" t="str">
        <f>IFERROR(__xludf.DUMMYFUNCTION("""COMPUTED_VALUE"""),"POL")</f>
        <v>POL</v>
      </c>
      <c r="C289" s="1" t="str">
        <f>IFERROR(__xludf.DUMMYFUNCTION("""COMPUTED_VALUE"""),"TRU")</f>
        <v>TRU</v>
      </c>
      <c r="D289" s="1">
        <f>IFERROR(__xludf.DUMMYFUNCTION("""COMPUTED_VALUE"""),2.0)</f>
        <v>2</v>
      </c>
    </row>
    <row r="290">
      <c r="A290" s="1" t="str">
        <f>IFERROR(__xludf.DUMMYFUNCTION("""COMPUTED_VALUE"""),"PP1-BBH")</f>
        <v>PP1-BBH</v>
      </c>
      <c r="B290" s="1" t="str">
        <f>IFERROR(__xludf.DUMMYFUNCTION("""COMPUTED_VALUE"""),"PP1")</f>
        <v>PP1</v>
      </c>
      <c r="C290" s="1" t="str">
        <f>IFERROR(__xludf.DUMMYFUNCTION("""COMPUTED_VALUE"""),"BBH")</f>
        <v>BBH</v>
      </c>
      <c r="D290" s="1">
        <f>IFERROR(__xludf.DUMMYFUNCTION("""COMPUTED_VALUE"""),3.0)</f>
        <v>3</v>
      </c>
    </row>
    <row r="291">
      <c r="A291" s="1" t="str">
        <f>IFERROR(__xludf.DUMMYFUNCTION("""COMPUTED_VALUE"""),"PP1-BDE")</f>
        <v>PP1-BDE</v>
      </c>
      <c r="B291" s="1" t="str">
        <f>IFERROR(__xludf.DUMMYFUNCTION("""COMPUTED_VALUE"""),"PP1")</f>
        <v>PP1</v>
      </c>
      <c r="C291" s="1" t="str">
        <f>IFERROR(__xludf.DUMMYFUNCTION("""COMPUTED_VALUE"""),"BDE")</f>
        <v>BDE</v>
      </c>
      <c r="D291" s="1">
        <f>IFERROR(__xludf.DUMMYFUNCTION("""COMPUTED_VALUE"""),3.0)</f>
        <v>3</v>
      </c>
    </row>
    <row r="292">
      <c r="A292" s="1" t="str">
        <f>IFERROR(__xludf.DUMMYFUNCTION("""COMPUTED_VALUE"""),"PP1-BSE")</f>
        <v>PP1-BSE</v>
      </c>
      <c r="B292" s="1" t="str">
        <f>IFERROR(__xludf.DUMMYFUNCTION("""COMPUTED_VALUE"""),"PP1")</f>
        <v>PP1</v>
      </c>
      <c r="C292" s="1" t="str">
        <f>IFERROR(__xludf.DUMMYFUNCTION("""COMPUTED_VALUE"""),"BSE")</f>
        <v>BSE</v>
      </c>
      <c r="D292" s="1">
        <f>IFERROR(__xludf.DUMMYFUNCTION("""COMPUTED_VALUE"""),4.0)</f>
        <v>4</v>
      </c>
    </row>
    <row r="293">
      <c r="A293" s="1" t="str">
        <f>IFERROR(__xludf.DUMMYFUNCTION("""COMPUTED_VALUE"""),"PP2-BBH")</f>
        <v>PP2-BBH</v>
      </c>
      <c r="B293" s="1" t="str">
        <f>IFERROR(__xludf.DUMMYFUNCTION("""COMPUTED_VALUE"""),"PP2")</f>
        <v>PP2</v>
      </c>
      <c r="C293" s="1" t="str">
        <f>IFERROR(__xludf.DUMMYFUNCTION("""COMPUTED_VALUE"""),"BBH")</f>
        <v>BBH</v>
      </c>
      <c r="D293" s="1">
        <f>IFERROR(__xludf.DUMMYFUNCTION("""COMPUTED_VALUE"""),6.0)</f>
        <v>6</v>
      </c>
    </row>
    <row r="294">
      <c r="A294" s="1" t="str">
        <f>IFERROR(__xludf.DUMMYFUNCTION("""COMPUTED_VALUE"""),"PP2-BDE")</f>
        <v>PP2-BDE</v>
      </c>
      <c r="B294" s="1" t="str">
        <f>IFERROR(__xludf.DUMMYFUNCTION("""COMPUTED_VALUE"""),"PP2")</f>
        <v>PP2</v>
      </c>
      <c r="C294" s="1" t="str">
        <f>IFERROR(__xludf.DUMMYFUNCTION("""COMPUTED_VALUE"""),"BDE")</f>
        <v>BDE</v>
      </c>
      <c r="D294" s="1">
        <f>IFERROR(__xludf.DUMMYFUNCTION("""COMPUTED_VALUE"""),6.0)</f>
        <v>6</v>
      </c>
    </row>
    <row r="295">
      <c r="A295" s="1" t="str">
        <f>IFERROR(__xludf.DUMMYFUNCTION("""COMPUTED_VALUE"""),"PP2-BSE")</f>
        <v>PP2-BSE</v>
      </c>
      <c r="B295" s="1" t="str">
        <f>IFERROR(__xludf.DUMMYFUNCTION("""COMPUTED_VALUE"""),"PP2")</f>
        <v>PP2</v>
      </c>
      <c r="C295" s="1" t="str">
        <f>IFERROR(__xludf.DUMMYFUNCTION("""COMPUTED_VALUE"""),"BSE")</f>
        <v>BSE</v>
      </c>
      <c r="D295" s="1">
        <f>IFERROR(__xludf.DUMMYFUNCTION("""COMPUTED_VALUE"""),3.0)</f>
        <v>3</v>
      </c>
    </row>
    <row r="296">
      <c r="A296" s="1" t="str">
        <f>IFERROR(__xludf.DUMMYFUNCTION("""COMPUTED_VALUE"""),"PP2-TRU")</f>
        <v>PP2-TRU</v>
      </c>
      <c r="B296" s="1" t="str">
        <f>IFERROR(__xludf.DUMMYFUNCTION("""COMPUTED_VALUE"""),"PP2")</f>
        <v>PP2</v>
      </c>
      <c r="C296" s="1" t="str">
        <f>IFERROR(__xludf.DUMMYFUNCTION("""COMPUTED_VALUE"""),"TRU")</f>
        <v>TRU</v>
      </c>
      <c r="D296" s="1">
        <f>IFERROR(__xludf.DUMMYFUNCTION("""COMPUTED_VALUE"""),4.0)</f>
        <v>4</v>
      </c>
    </row>
    <row r="297">
      <c r="A297" s="1" t="str">
        <f>IFERROR(__xludf.DUMMYFUNCTION("""COMPUTED_VALUE"""),"PP3-LDE")</f>
        <v>PP3-LDE</v>
      </c>
      <c r="B297" s="1" t="str">
        <f>IFERROR(__xludf.DUMMYFUNCTION("""COMPUTED_VALUE"""),"PP3")</f>
        <v>PP3</v>
      </c>
      <c r="C297" s="1" t="str">
        <f>IFERROR(__xludf.DUMMYFUNCTION("""COMPUTED_VALUE"""),"LDE")</f>
        <v>LDE</v>
      </c>
      <c r="D297" s="1">
        <f>IFERROR(__xludf.DUMMYFUNCTION("""COMPUTED_VALUE"""),6.0)</f>
        <v>6</v>
      </c>
    </row>
    <row r="298">
      <c r="A298" s="1" t="str">
        <f>IFERROR(__xludf.DUMMYFUNCTION("""COMPUTED_VALUE"""),"PP3-LSE")</f>
        <v>PP3-LSE</v>
      </c>
      <c r="B298" s="1" t="str">
        <f>IFERROR(__xludf.DUMMYFUNCTION("""COMPUTED_VALUE"""),"PP3")</f>
        <v>PP3</v>
      </c>
      <c r="C298" s="1" t="str">
        <f>IFERROR(__xludf.DUMMYFUNCTION("""COMPUTED_VALUE"""),"LSE")</f>
        <v>LSE</v>
      </c>
      <c r="D298" s="1">
        <f>IFERROR(__xludf.DUMMYFUNCTION("""COMPUTED_VALUE"""),4.0)</f>
        <v>4</v>
      </c>
    </row>
    <row r="299">
      <c r="A299" s="1" t="str">
        <f>IFERROR(__xludf.DUMMYFUNCTION("""COMPUTED_VALUE"""),"PP3-TRU")</f>
        <v>PP3-TRU</v>
      </c>
      <c r="B299" s="1" t="str">
        <f>IFERROR(__xludf.DUMMYFUNCTION("""COMPUTED_VALUE"""),"PP3")</f>
        <v>PP3</v>
      </c>
      <c r="C299" s="1" t="str">
        <f>IFERROR(__xludf.DUMMYFUNCTION("""COMPUTED_VALUE"""),"TRU")</f>
        <v>TRU</v>
      </c>
      <c r="D299" s="1">
        <f>IFERROR(__xludf.DUMMYFUNCTION("""COMPUTED_VALUE"""),6.0)</f>
        <v>6</v>
      </c>
    </row>
    <row r="300">
      <c r="A300" s="1" t="str">
        <f>IFERROR(__xludf.DUMMYFUNCTION("""COMPUTED_VALUE"""),"PP4-RBH")</f>
        <v>PP4-RBH</v>
      </c>
      <c r="B300" s="1" t="str">
        <f>IFERROR(__xludf.DUMMYFUNCTION("""COMPUTED_VALUE"""),"PP4")</f>
        <v>PP4</v>
      </c>
      <c r="C300" s="1" t="str">
        <f>IFERROR(__xludf.DUMMYFUNCTION("""COMPUTED_VALUE"""),"RBH")</f>
        <v>RBH</v>
      </c>
      <c r="D300" s="1">
        <f>IFERROR(__xludf.DUMMYFUNCTION("""COMPUTED_VALUE"""),6.0)</f>
        <v>6</v>
      </c>
    </row>
    <row r="301">
      <c r="A301" s="1" t="str">
        <f>IFERROR(__xludf.DUMMYFUNCTION("""COMPUTED_VALUE"""),"PP4-RDE")</f>
        <v>PP4-RDE</v>
      </c>
      <c r="B301" s="1" t="str">
        <f>IFERROR(__xludf.DUMMYFUNCTION("""COMPUTED_VALUE"""),"PP4")</f>
        <v>PP4</v>
      </c>
      <c r="C301" s="1" t="str">
        <f>IFERROR(__xludf.DUMMYFUNCTION("""COMPUTED_VALUE"""),"RDE")</f>
        <v>RDE</v>
      </c>
      <c r="D301" s="1">
        <f>IFERROR(__xludf.DUMMYFUNCTION("""COMPUTED_VALUE"""),6.0)</f>
        <v>6</v>
      </c>
    </row>
    <row r="302">
      <c r="A302" s="1" t="str">
        <f>IFERROR(__xludf.DUMMYFUNCTION("""COMPUTED_VALUE"""),"PP4-RSE")</f>
        <v>PP4-RSE</v>
      </c>
      <c r="B302" s="1" t="str">
        <f>IFERROR(__xludf.DUMMYFUNCTION("""COMPUTED_VALUE"""),"PP4")</f>
        <v>PP4</v>
      </c>
      <c r="C302" s="1" t="str">
        <f>IFERROR(__xludf.DUMMYFUNCTION("""COMPUTED_VALUE"""),"RSE")</f>
        <v>RSE</v>
      </c>
      <c r="D302" s="1">
        <f>IFERROR(__xludf.DUMMYFUNCTION("""COMPUTED_VALUE"""),8.0)</f>
        <v>8</v>
      </c>
    </row>
    <row r="303">
      <c r="A303" s="1" t="str">
        <f>IFERROR(__xludf.DUMMYFUNCTION("""COMPUTED_VALUE"""),"PP4-TRU")</f>
        <v>PP4-TRU</v>
      </c>
      <c r="B303" s="1" t="str">
        <f>IFERROR(__xludf.DUMMYFUNCTION("""COMPUTED_VALUE"""),"PP4")</f>
        <v>PP4</v>
      </c>
      <c r="C303" s="1" t="str">
        <f>IFERROR(__xludf.DUMMYFUNCTION("""COMPUTED_VALUE"""),"TRU")</f>
        <v>TRU</v>
      </c>
      <c r="D303" s="1">
        <f>IFERROR(__xludf.DUMMYFUNCTION("""COMPUTED_VALUE"""),4.0)</f>
        <v>4</v>
      </c>
    </row>
    <row r="304">
      <c r="A304" s="1" t="str">
        <f>IFERROR(__xludf.DUMMYFUNCTION("""COMPUTED_VALUE"""),"PPF-BSE")</f>
        <v>PPF-BSE</v>
      </c>
      <c r="B304" s="1" t="str">
        <f>IFERROR(__xludf.DUMMYFUNCTION("""COMPUTED_VALUE"""),"PPF")</f>
        <v>PPF</v>
      </c>
      <c r="C304" s="1" t="str">
        <f>IFERROR(__xludf.DUMMYFUNCTION("""COMPUTED_VALUE"""),"BSE")</f>
        <v>BSE</v>
      </c>
      <c r="D304" s="1">
        <f>IFERROR(__xludf.DUMMYFUNCTION("""COMPUTED_VALUE"""),2.0)</f>
        <v>2</v>
      </c>
    </row>
    <row r="305">
      <c r="A305" s="1" t="str">
        <f>IFERROR(__xludf.DUMMYFUNCTION("""COMPUTED_VALUE"""),"PPF-LBH")</f>
        <v>PPF-LBH</v>
      </c>
      <c r="B305" s="1" t="str">
        <f>IFERROR(__xludf.DUMMYFUNCTION("""COMPUTED_VALUE"""),"PPF")</f>
        <v>PPF</v>
      </c>
      <c r="C305" s="1" t="str">
        <f>IFERROR(__xludf.DUMMYFUNCTION("""COMPUTED_VALUE"""),"LBH")</f>
        <v>LBH</v>
      </c>
      <c r="D305" s="1">
        <f>IFERROR(__xludf.DUMMYFUNCTION("""COMPUTED_VALUE"""),4.0)</f>
        <v>4</v>
      </c>
    </row>
    <row r="306">
      <c r="A306" s="1" t="str">
        <f>IFERROR(__xludf.DUMMYFUNCTION("""COMPUTED_VALUE"""),"PPF-LDE")</f>
        <v>PPF-LDE</v>
      </c>
      <c r="B306" s="1" t="str">
        <f>IFERROR(__xludf.DUMMYFUNCTION("""COMPUTED_VALUE"""),"PPF")</f>
        <v>PPF</v>
      </c>
      <c r="C306" s="1" t="str">
        <f>IFERROR(__xludf.DUMMYFUNCTION("""COMPUTED_VALUE"""),"LDE")</f>
        <v>LDE</v>
      </c>
      <c r="D306" s="1">
        <f>IFERROR(__xludf.DUMMYFUNCTION("""COMPUTED_VALUE"""),2.0)</f>
        <v>2</v>
      </c>
    </row>
    <row r="307">
      <c r="A307" s="1" t="str">
        <f>IFERROR(__xludf.DUMMYFUNCTION("""COMPUTED_VALUE"""),"PPF-TRU")</f>
        <v>PPF-TRU</v>
      </c>
      <c r="B307" s="1" t="str">
        <f>IFERROR(__xludf.DUMMYFUNCTION("""COMPUTED_VALUE"""),"PPF")</f>
        <v>PPF</v>
      </c>
      <c r="C307" s="1" t="str">
        <f>IFERROR(__xludf.DUMMYFUNCTION("""COMPUTED_VALUE"""),"TRU")</f>
        <v>TRU</v>
      </c>
      <c r="D307" s="1">
        <f>IFERROR(__xludf.DUMMYFUNCTION("""COMPUTED_VALUE"""),2.0)</f>
        <v>2</v>
      </c>
    </row>
    <row r="308">
      <c r="A308" s="1" t="str">
        <f>IFERROR(__xludf.DUMMYFUNCTION("""COMPUTED_VALUE"""),"PSY-ABH")</f>
        <v>PSY-ABH</v>
      </c>
      <c r="B308" s="1" t="str">
        <f>IFERROR(__xludf.DUMMYFUNCTION("""COMPUTED_VALUE"""),"PSY")</f>
        <v>PSY</v>
      </c>
      <c r="C308" s="1" t="str">
        <f>IFERROR(__xludf.DUMMYFUNCTION("""COMPUTED_VALUE"""),"ABH")</f>
        <v>ABH</v>
      </c>
      <c r="D308" s="1">
        <f>IFERROR(__xludf.DUMMYFUNCTION("""COMPUTED_VALUE"""),32.0)</f>
        <v>32</v>
      </c>
    </row>
    <row r="309">
      <c r="A309" s="1" t="str">
        <f>IFERROR(__xludf.DUMMYFUNCTION("""COMPUTED_VALUE"""),"PSY-ADE")</f>
        <v>PSY-ADE</v>
      </c>
      <c r="B309" s="1" t="str">
        <f>IFERROR(__xludf.DUMMYFUNCTION("""COMPUTED_VALUE"""),"PSY")</f>
        <v>PSY</v>
      </c>
      <c r="C309" s="1" t="str">
        <f>IFERROR(__xludf.DUMMYFUNCTION("""COMPUTED_VALUE"""),"ADE")</f>
        <v>ADE</v>
      </c>
      <c r="D309" s="1">
        <f>IFERROR(__xludf.DUMMYFUNCTION("""COMPUTED_VALUE"""),24.0)</f>
        <v>24</v>
      </c>
    </row>
    <row r="310">
      <c r="A310" s="1" t="str">
        <f>IFERROR(__xludf.DUMMYFUNCTION("""COMPUTED_VALUE"""),"PSY-ASE")</f>
        <v>PSY-ASE</v>
      </c>
      <c r="B310" s="1" t="str">
        <f>IFERROR(__xludf.DUMMYFUNCTION("""COMPUTED_VALUE"""),"PSY")</f>
        <v>PSY</v>
      </c>
      <c r="C310" s="1" t="str">
        <f>IFERROR(__xludf.DUMMYFUNCTION("""COMPUTED_VALUE"""),"ASE")</f>
        <v>ASE</v>
      </c>
      <c r="D310" s="1">
        <f>IFERROR(__xludf.DUMMYFUNCTION("""COMPUTED_VALUE"""),24.0)</f>
        <v>24</v>
      </c>
    </row>
    <row r="311">
      <c r="A311" s="1" t="str">
        <f>IFERROR(__xludf.DUMMYFUNCTION("""COMPUTED_VALUE"""),"PSY-ATA")</f>
        <v>PSY-ATA</v>
      </c>
      <c r="B311" s="1" t="str">
        <f>IFERROR(__xludf.DUMMYFUNCTION("""COMPUTED_VALUE"""),"PSY")</f>
        <v>PSY</v>
      </c>
      <c r="C311" s="1" t="str">
        <f>IFERROR(__xludf.DUMMYFUNCTION("""COMPUTED_VALUE"""),"ATA")</f>
        <v>ATA</v>
      </c>
      <c r="D311" s="1">
        <f>IFERROR(__xludf.DUMMYFUNCTION("""COMPUTED_VALUE"""),8.0)</f>
        <v>8</v>
      </c>
    </row>
    <row r="312">
      <c r="A312" s="1" t="str">
        <f>IFERROR(__xludf.DUMMYFUNCTION("""COMPUTED_VALUE"""),"PSY-TRU")</f>
        <v>PSY-TRU</v>
      </c>
      <c r="B312" s="1" t="str">
        <f>IFERROR(__xludf.DUMMYFUNCTION("""COMPUTED_VALUE"""),"PSY")</f>
        <v>PSY</v>
      </c>
      <c r="C312" s="1" t="str">
        <f>IFERROR(__xludf.DUMMYFUNCTION("""COMPUTED_VALUE"""),"TRU")</f>
        <v>TRU</v>
      </c>
      <c r="D312" s="1">
        <f>IFERROR(__xludf.DUMMYFUNCTION("""COMPUTED_VALUE"""),24.0)</f>
        <v>24</v>
      </c>
    </row>
    <row r="313">
      <c r="A313" s="1" t="str">
        <f>IFERROR(__xludf.DUMMYFUNCTION("""COMPUTED_VALUE"""),"PWH-BBH")</f>
        <v>PWH-BBH</v>
      </c>
      <c r="B313" s="1" t="str">
        <f>IFERROR(__xludf.DUMMYFUNCTION("""COMPUTED_VALUE"""),"PWH")</f>
        <v>PWH</v>
      </c>
      <c r="C313" s="1" t="str">
        <f>IFERROR(__xludf.DUMMYFUNCTION("""COMPUTED_VALUE"""),"BBH")</f>
        <v>BBH</v>
      </c>
      <c r="D313" s="1">
        <f>IFERROR(__xludf.DUMMYFUNCTION("""COMPUTED_VALUE"""),24.0)</f>
        <v>24</v>
      </c>
    </row>
    <row r="314">
      <c r="A314" s="1" t="str">
        <f>IFERROR(__xludf.DUMMYFUNCTION("""COMPUTED_VALUE"""),"PWH-BDE")</f>
        <v>PWH-BDE</v>
      </c>
      <c r="B314" s="1" t="str">
        <f>IFERROR(__xludf.DUMMYFUNCTION("""COMPUTED_VALUE"""),"PWH")</f>
        <v>PWH</v>
      </c>
      <c r="C314" s="1" t="str">
        <f>IFERROR(__xludf.DUMMYFUNCTION("""COMPUTED_VALUE"""),"BDE")</f>
        <v>BDE</v>
      </c>
      <c r="D314" s="1">
        <f>IFERROR(__xludf.DUMMYFUNCTION("""COMPUTED_VALUE"""),24.0)</f>
        <v>24</v>
      </c>
    </row>
    <row r="315">
      <c r="A315" s="1" t="str">
        <f>IFERROR(__xludf.DUMMYFUNCTION("""COMPUTED_VALUE"""),"PWH-BSE")</f>
        <v>PWH-BSE</v>
      </c>
      <c r="B315" s="1" t="str">
        <f>IFERROR(__xludf.DUMMYFUNCTION("""COMPUTED_VALUE"""),"PWH")</f>
        <v>PWH</v>
      </c>
      <c r="C315" s="1" t="str">
        <f>IFERROR(__xludf.DUMMYFUNCTION("""COMPUTED_VALUE"""),"BSE")</f>
        <v>BSE</v>
      </c>
      <c r="D315" s="1">
        <f>IFERROR(__xludf.DUMMYFUNCTION("""COMPUTED_VALUE"""),12.0)</f>
        <v>12</v>
      </c>
    </row>
    <row r="316">
      <c r="A316" s="1" t="str">
        <f>IFERROR(__xludf.DUMMYFUNCTION("""COMPUTED_VALUE"""),"PWH-MCG")</f>
        <v>PWH-MCG</v>
      </c>
      <c r="B316" s="1" t="str">
        <f>IFERROR(__xludf.DUMMYFUNCTION("""COMPUTED_VALUE"""),"PWH")</f>
        <v>PWH</v>
      </c>
      <c r="C316" s="1" t="str">
        <f>IFERROR(__xludf.DUMMYFUNCTION("""COMPUTED_VALUE"""),"MCG")</f>
        <v>MCG</v>
      </c>
      <c r="D316" s="1">
        <f>IFERROR(__xludf.DUMMYFUNCTION("""COMPUTED_VALUE"""),300.0)</f>
        <v>300</v>
      </c>
    </row>
    <row r="317">
      <c r="A317" s="1" t="str">
        <f>IFERROR(__xludf.DUMMYFUNCTION("""COMPUTED_VALUE"""),"PWH-TRU")</f>
        <v>PWH-TRU</v>
      </c>
      <c r="B317" s="1" t="str">
        <f>IFERROR(__xludf.DUMMYFUNCTION("""COMPUTED_VALUE"""),"PWH")</f>
        <v>PWH</v>
      </c>
      <c r="C317" s="1" t="str">
        <f>IFERROR(__xludf.DUMMYFUNCTION("""COMPUTED_VALUE"""),"TRU")</f>
        <v>TRU</v>
      </c>
      <c r="D317" s="1">
        <f>IFERROR(__xludf.DUMMYFUNCTION("""COMPUTED_VALUE"""),20.0)</f>
        <v>20</v>
      </c>
    </row>
    <row r="318">
      <c r="A318" s="1" t="str">
        <f>IFERROR(__xludf.DUMMYFUNCTION("""COMPUTED_VALUE"""),"REF-BBH")</f>
        <v>REF-BBH</v>
      </c>
      <c r="B318" s="1" t="str">
        <f>IFERROR(__xludf.DUMMYFUNCTION("""COMPUTED_VALUE"""),"REF")</f>
        <v>REF</v>
      </c>
      <c r="C318" s="1" t="str">
        <f>IFERROR(__xludf.DUMMYFUNCTION("""COMPUTED_VALUE"""),"BBH")</f>
        <v>BBH</v>
      </c>
      <c r="D318" s="1">
        <f>IFERROR(__xludf.DUMMYFUNCTION("""COMPUTED_VALUE"""),6.0)</f>
        <v>6</v>
      </c>
    </row>
    <row r="319">
      <c r="A319" s="1" t="str">
        <f>IFERROR(__xludf.DUMMYFUNCTION("""COMPUTED_VALUE"""),"REF-BDE")</f>
        <v>REF-BDE</v>
      </c>
      <c r="B319" s="1" t="str">
        <f>IFERROR(__xludf.DUMMYFUNCTION("""COMPUTED_VALUE"""),"REF")</f>
        <v>REF</v>
      </c>
      <c r="C319" s="1" t="str">
        <f>IFERROR(__xludf.DUMMYFUNCTION("""COMPUTED_VALUE"""),"BDE")</f>
        <v>BDE</v>
      </c>
      <c r="D319" s="1">
        <f>IFERROR(__xludf.DUMMYFUNCTION("""COMPUTED_VALUE"""),6.0)</f>
        <v>6</v>
      </c>
    </row>
    <row r="320">
      <c r="A320" s="1" t="str">
        <f>IFERROR(__xludf.DUMMYFUNCTION("""COMPUTED_VALUE"""),"REF-BSE")</f>
        <v>REF-BSE</v>
      </c>
      <c r="B320" s="1" t="str">
        <f>IFERROR(__xludf.DUMMYFUNCTION("""COMPUTED_VALUE"""),"REF")</f>
        <v>REF</v>
      </c>
      <c r="C320" s="1" t="str">
        <f>IFERROR(__xludf.DUMMYFUNCTION("""COMPUTED_VALUE"""),"BSE")</f>
        <v>BSE</v>
      </c>
      <c r="D320" s="1">
        <f>IFERROR(__xludf.DUMMYFUNCTION("""COMPUTED_VALUE"""),6.0)</f>
        <v>6</v>
      </c>
    </row>
    <row r="321">
      <c r="A321" s="1" t="str">
        <f>IFERROR(__xludf.DUMMYFUNCTION("""COMPUTED_VALUE"""),"RIG-BSE")</f>
        <v>RIG-BSE</v>
      </c>
      <c r="B321" s="1" t="str">
        <f>IFERROR(__xludf.DUMMYFUNCTION("""COMPUTED_VALUE"""),"RIG")</f>
        <v>RIG</v>
      </c>
      <c r="C321" s="1" t="str">
        <f>IFERROR(__xludf.DUMMYFUNCTION("""COMPUTED_VALUE"""),"BSE")</f>
        <v>BSE</v>
      </c>
      <c r="D321" s="1">
        <f>IFERROR(__xludf.DUMMYFUNCTION("""COMPUTED_VALUE"""),12.0)</f>
        <v>12</v>
      </c>
    </row>
    <row r="322">
      <c r="A322" s="1" t="str">
        <f>IFERROR(__xludf.DUMMYFUNCTION("""COMPUTED_VALUE"""),"SCA-RBH")</f>
        <v>SCA-RBH</v>
      </c>
      <c r="B322" s="1" t="str">
        <f>IFERROR(__xludf.DUMMYFUNCTION("""COMPUTED_VALUE"""),"SCA")</f>
        <v>SCA</v>
      </c>
      <c r="C322" s="1" t="str">
        <f>IFERROR(__xludf.DUMMYFUNCTION("""COMPUTED_VALUE"""),"RBH")</f>
        <v>RBH</v>
      </c>
      <c r="D322" s="1">
        <f>IFERROR(__xludf.DUMMYFUNCTION("""COMPUTED_VALUE"""),3.0)</f>
        <v>3</v>
      </c>
    </row>
    <row r="323">
      <c r="A323" s="1" t="str">
        <f>IFERROR(__xludf.DUMMYFUNCTION("""COMPUTED_VALUE"""),"SCA-RDE")</f>
        <v>SCA-RDE</v>
      </c>
      <c r="B323" s="1" t="str">
        <f>IFERROR(__xludf.DUMMYFUNCTION("""COMPUTED_VALUE"""),"SCA")</f>
        <v>SCA</v>
      </c>
      <c r="C323" s="1" t="str">
        <f>IFERROR(__xludf.DUMMYFUNCTION("""COMPUTED_VALUE"""),"RDE")</f>
        <v>RDE</v>
      </c>
      <c r="D323" s="1">
        <f>IFERROR(__xludf.DUMMYFUNCTION("""COMPUTED_VALUE"""),6.0)</f>
        <v>6</v>
      </c>
    </row>
    <row r="324">
      <c r="A324" s="1" t="str">
        <f>IFERROR(__xludf.DUMMYFUNCTION("""COMPUTED_VALUE"""),"SCA-RSE")</f>
        <v>SCA-RSE</v>
      </c>
      <c r="B324" s="1" t="str">
        <f>IFERROR(__xludf.DUMMYFUNCTION("""COMPUTED_VALUE"""),"SCA")</f>
        <v>SCA</v>
      </c>
      <c r="C324" s="1" t="str">
        <f>IFERROR(__xludf.DUMMYFUNCTION("""COMPUTED_VALUE"""),"RSE")</f>
        <v>RSE</v>
      </c>
      <c r="D324" s="1">
        <f>IFERROR(__xludf.DUMMYFUNCTION("""COMPUTED_VALUE"""),2.0)</f>
        <v>2</v>
      </c>
    </row>
    <row r="325">
      <c r="A325" s="1" t="str">
        <f>IFERROR(__xludf.DUMMYFUNCTION("""COMPUTED_VALUE"""),"SCA-TRU")</f>
        <v>SCA-TRU</v>
      </c>
      <c r="B325" s="1" t="str">
        <f>IFERROR(__xludf.DUMMYFUNCTION("""COMPUTED_VALUE"""),"SCA")</f>
        <v>SCA</v>
      </c>
      <c r="C325" s="1" t="str">
        <f>IFERROR(__xludf.DUMMYFUNCTION("""COMPUTED_VALUE"""),"TRU")</f>
        <v>TRU</v>
      </c>
      <c r="D325" s="1">
        <f>IFERROR(__xludf.DUMMYFUNCTION("""COMPUTED_VALUE"""),4.0)</f>
        <v>4</v>
      </c>
    </row>
    <row r="326">
      <c r="A326" s="1" t="str">
        <f>IFERROR(__xludf.DUMMYFUNCTION("""COMPUTED_VALUE"""),"SD-LBH")</f>
        <v>SD-LBH</v>
      </c>
      <c r="B326" s="1" t="str">
        <f>IFERROR(__xludf.DUMMYFUNCTION("""COMPUTED_VALUE"""),"SD")</f>
        <v>SD</v>
      </c>
      <c r="C326" s="1" t="str">
        <f>IFERROR(__xludf.DUMMYFUNCTION("""COMPUTED_VALUE"""),"LBH")</f>
        <v>LBH</v>
      </c>
      <c r="D326" s="1">
        <f>IFERROR(__xludf.DUMMYFUNCTION("""COMPUTED_VALUE"""),6.0)</f>
        <v>6</v>
      </c>
    </row>
    <row r="327">
      <c r="A327" s="1" t="str">
        <f>IFERROR(__xludf.DUMMYFUNCTION("""COMPUTED_VALUE"""),"SD-LDE")</f>
        <v>SD-LDE</v>
      </c>
      <c r="B327" s="1" t="str">
        <f>IFERROR(__xludf.DUMMYFUNCTION("""COMPUTED_VALUE"""),"SD")</f>
        <v>SD</v>
      </c>
      <c r="C327" s="1" t="str">
        <f>IFERROR(__xludf.DUMMYFUNCTION("""COMPUTED_VALUE"""),"LDE")</f>
        <v>LDE</v>
      </c>
      <c r="D327" s="1">
        <f>IFERROR(__xludf.DUMMYFUNCTION("""COMPUTED_VALUE"""),6.0)</f>
        <v>6</v>
      </c>
    </row>
    <row r="328">
      <c r="A328" s="1" t="str">
        <f>IFERROR(__xludf.DUMMYFUNCTION("""COMPUTED_VALUE"""),"SD-LSE")</f>
        <v>SD-LSE</v>
      </c>
      <c r="B328" s="1" t="str">
        <f>IFERROR(__xludf.DUMMYFUNCTION("""COMPUTED_VALUE"""),"SD")</f>
        <v>SD</v>
      </c>
      <c r="C328" s="1" t="str">
        <f>IFERROR(__xludf.DUMMYFUNCTION("""COMPUTED_VALUE"""),"LSE")</f>
        <v>LSE</v>
      </c>
      <c r="D328" s="1">
        <f>IFERROR(__xludf.DUMMYFUNCTION("""COMPUTED_VALUE"""),10.0)</f>
        <v>10</v>
      </c>
    </row>
    <row r="329">
      <c r="A329" s="1" t="str">
        <f>IFERROR(__xludf.DUMMYFUNCTION("""COMPUTED_VALUE"""),"SD-LTA")</f>
        <v>SD-LTA</v>
      </c>
      <c r="B329" s="1" t="str">
        <f>IFERROR(__xludf.DUMMYFUNCTION("""COMPUTED_VALUE"""),"SD")</f>
        <v>SD</v>
      </c>
      <c r="C329" s="1" t="str">
        <f>IFERROR(__xludf.DUMMYFUNCTION("""COMPUTED_VALUE"""),"LTA")</f>
        <v>LTA</v>
      </c>
      <c r="D329" s="1">
        <f>IFERROR(__xludf.DUMMYFUNCTION("""COMPUTED_VALUE"""),4.0)</f>
        <v>4</v>
      </c>
    </row>
    <row r="330">
      <c r="A330" s="1" t="str">
        <f>IFERROR(__xludf.DUMMYFUNCTION("""COMPUTED_VALUE"""),"SD-TRU")</f>
        <v>SD-TRU</v>
      </c>
      <c r="B330" s="1" t="str">
        <f>IFERROR(__xludf.DUMMYFUNCTION("""COMPUTED_VALUE"""),"SD")</f>
        <v>SD</v>
      </c>
      <c r="C330" s="1" t="str">
        <f>IFERROR(__xludf.DUMMYFUNCTION("""COMPUTED_VALUE"""),"TRU")</f>
        <v>TRU</v>
      </c>
      <c r="D330" s="1">
        <f>IFERROR(__xludf.DUMMYFUNCTION("""COMPUTED_VALUE"""),8.0)</f>
        <v>8</v>
      </c>
    </row>
    <row r="331">
      <c r="A331" s="1" t="str">
        <f>IFERROR(__xludf.DUMMYFUNCTION("""COMPUTED_VALUE"""),"SDP-ADS")</f>
        <v>SDP-ADS</v>
      </c>
      <c r="B331" s="1" t="str">
        <f>IFERROR(__xludf.DUMMYFUNCTION("""COMPUTED_VALUE"""),"SDP")</f>
        <v>SDP</v>
      </c>
      <c r="C331" s="1" t="str">
        <f>IFERROR(__xludf.DUMMYFUNCTION("""COMPUTED_VALUE"""),"ADS")</f>
        <v>ADS</v>
      </c>
      <c r="D331" s="1">
        <f>IFERROR(__xludf.DUMMYFUNCTION("""COMPUTED_VALUE"""),1.0)</f>
        <v>1</v>
      </c>
    </row>
    <row r="332">
      <c r="A332" s="1" t="str">
        <f>IFERROR(__xludf.DUMMYFUNCTION("""COMPUTED_VALUE"""),"SDP-BMF")</f>
        <v>SDP-BMF</v>
      </c>
      <c r="B332" s="1" t="str">
        <f>IFERROR(__xludf.DUMMYFUNCTION("""COMPUTED_VALUE"""),"SDP")</f>
        <v>SDP</v>
      </c>
      <c r="C332" s="1" t="str">
        <f>IFERROR(__xludf.DUMMYFUNCTION("""COMPUTED_VALUE"""),"BMF")</f>
        <v>BMF</v>
      </c>
      <c r="D332" s="1">
        <f>IFERROR(__xludf.DUMMYFUNCTION("""COMPUTED_VALUE"""),1.0)</f>
        <v>1</v>
      </c>
    </row>
    <row r="333">
      <c r="A333" s="1" t="str">
        <f>IFERROR(__xludf.DUMMYFUNCTION("""COMPUTED_VALUE"""),"SDP-DOU")</f>
        <v>SDP-DOU</v>
      </c>
      <c r="B333" s="1" t="str">
        <f>IFERROR(__xludf.DUMMYFUNCTION("""COMPUTED_VALUE"""),"SDP")</f>
        <v>SDP</v>
      </c>
      <c r="C333" s="1" t="str">
        <f>IFERROR(__xludf.DUMMYFUNCTION("""COMPUTED_VALUE"""),"DOU")</f>
        <v>DOU</v>
      </c>
      <c r="D333" s="1">
        <f>IFERROR(__xludf.DUMMYFUNCTION("""COMPUTED_VALUE"""),1.0)</f>
        <v>1</v>
      </c>
    </row>
    <row r="334">
      <c r="A334" s="1" t="str">
        <f>IFERROR(__xludf.DUMMYFUNCTION("""COMPUTED_VALUE"""),"SDP-MCG")</f>
        <v>SDP-MCG</v>
      </c>
      <c r="B334" s="1" t="str">
        <f>IFERROR(__xludf.DUMMYFUNCTION("""COMPUTED_VALUE"""),"SDP")</f>
        <v>SDP</v>
      </c>
      <c r="C334" s="1" t="str">
        <f>IFERROR(__xludf.DUMMYFUNCTION("""COMPUTED_VALUE"""),"MCG")</f>
        <v>MCG</v>
      </c>
      <c r="D334" s="1">
        <f>IFERROR(__xludf.DUMMYFUNCTION("""COMPUTED_VALUE"""),300.0)</f>
        <v>300</v>
      </c>
    </row>
    <row r="335">
      <c r="A335" s="1" t="str">
        <f>IFERROR(__xludf.DUMMYFUNCTION("""COMPUTED_VALUE"""),"SDP-RBH")</f>
        <v>SDP-RBH</v>
      </c>
      <c r="B335" s="1" t="str">
        <f>IFERROR(__xludf.DUMMYFUNCTION("""COMPUTED_VALUE"""),"SDP")</f>
        <v>SDP</v>
      </c>
      <c r="C335" s="1" t="str">
        <f>IFERROR(__xludf.DUMMYFUNCTION("""COMPUTED_VALUE"""),"RBH")</f>
        <v>RBH</v>
      </c>
      <c r="D335" s="1">
        <f>IFERROR(__xludf.DUMMYFUNCTION("""COMPUTED_VALUE"""),16.0)</f>
        <v>16</v>
      </c>
    </row>
    <row r="336">
      <c r="A336" s="1" t="str">
        <f>IFERROR(__xludf.DUMMYFUNCTION("""COMPUTED_VALUE"""),"SDP-RDE")</f>
        <v>SDP-RDE</v>
      </c>
      <c r="B336" s="1" t="str">
        <f>IFERROR(__xludf.DUMMYFUNCTION("""COMPUTED_VALUE"""),"SDP")</f>
        <v>SDP</v>
      </c>
      <c r="C336" s="1" t="str">
        <f>IFERROR(__xludf.DUMMYFUNCTION("""COMPUTED_VALUE"""),"RDE")</f>
        <v>RDE</v>
      </c>
      <c r="D336" s="1">
        <f>IFERROR(__xludf.DUMMYFUNCTION("""COMPUTED_VALUE"""),16.0)</f>
        <v>16</v>
      </c>
    </row>
    <row r="337">
      <c r="A337" s="1" t="str">
        <f>IFERROR(__xludf.DUMMYFUNCTION("""COMPUTED_VALUE"""),"SDP-RSE")</f>
        <v>SDP-RSE</v>
      </c>
      <c r="B337" s="1" t="str">
        <f>IFERROR(__xludf.DUMMYFUNCTION("""COMPUTED_VALUE"""),"SDP")</f>
        <v>SDP</v>
      </c>
      <c r="C337" s="1" t="str">
        <f>IFERROR(__xludf.DUMMYFUNCTION("""COMPUTED_VALUE"""),"RSE")</f>
        <v>RSE</v>
      </c>
      <c r="D337" s="1">
        <f>IFERROR(__xludf.DUMMYFUNCTION("""COMPUTED_VALUE"""),10.0)</f>
        <v>10</v>
      </c>
    </row>
    <row r="338">
      <c r="A338" s="1" t="str">
        <f>IFERROR(__xludf.DUMMYFUNCTION("""COMPUTED_VALUE"""),"SDP-RTA")</f>
        <v>SDP-RTA</v>
      </c>
      <c r="B338" s="1" t="str">
        <f>IFERROR(__xludf.DUMMYFUNCTION("""COMPUTED_VALUE"""),"SDP")</f>
        <v>SDP</v>
      </c>
      <c r="C338" s="1" t="str">
        <f>IFERROR(__xludf.DUMMYFUNCTION("""COMPUTED_VALUE"""),"RTA")</f>
        <v>RTA</v>
      </c>
      <c r="D338" s="1">
        <f>IFERROR(__xludf.DUMMYFUNCTION("""COMPUTED_VALUE"""),8.0)</f>
        <v>8</v>
      </c>
    </row>
    <row r="339">
      <c r="A339" s="1" t="str">
        <f>IFERROR(__xludf.DUMMYFUNCTION("""COMPUTED_VALUE"""),"SDP-TRU")</f>
        <v>SDP-TRU</v>
      </c>
      <c r="B339" s="1" t="str">
        <f>IFERROR(__xludf.DUMMYFUNCTION("""COMPUTED_VALUE"""),"SDP")</f>
        <v>SDP</v>
      </c>
      <c r="C339" s="1" t="str">
        <f>IFERROR(__xludf.DUMMYFUNCTION("""COMPUTED_VALUE"""),"TRU")</f>
        <v>TRU</v>
      </c>
      <c r="D339" s="1">
        <f>IFERROR(__xludf.DUMMYFUNCTION("""COMPUTED_VALUE"""),8.0)</f>
        <v>8</v>
      </c>
    </row>
    <row r="340">
      <c r="A340" s="1" t="str">
        <f>IFERROR(__xludf.DUMMYFUNCTION("""COMPUTED_VALUE"""),"SE-RBH")</f>
        <v>SE-RBH</v>
      </c>
      <c r="B340" s="1" t="str">
        <f>IFERROR(__xludf.DUMMYFUNCTION("""COMPUTED_VALUE"""),"SE")</f>
        <v>SE</v>
      </c>
      <c r="C340" s="1" t="str">
        <f>IFERROR(__xludf.DUMMYFUNCTION("""COMPUTED_VALUE"""),"RBH")</f>
        <v>RBH</v>
      </c>
      <c r="D340" s="1">
        <f>IFERROR(__xludf.DUMMYFUNCTION("""COMPUTED_VALUE"""),4.0)</f>
        <v>4</v>
      </c>
    </row>
    <row r="341">
      <c r="A341" s="1" t="str">
        <f>IFERROR(__xludf.DUMMYFUNCTION("""COMPUTED_VALUE"""),"SE-RDE")</f>
        <v>SE-RDE</v>
      </c>
      <c r="B341" s="1" t="str">
        <f>IFERROR(__xludf.DUMMYFUNCTION("""COMPUTED_VALUE"""),"SE")</f>
        <v>SE</v>
      </c>
      <c r="C341" s="1" t="str">
        <f>IFERROR(__xludf.DUMMYFUNCTION("""COMPUTED_VALUE"""),"RDE")</f>
        <v>RDE</v>
      </c>
      <c r="D341" s="1">
        <f>IFERROR(__xludf.DUMMYFUNCTION("""COMPUTED_VALUE"""),6.0)</f>
        <v>6</v>
      </c>
    </row>
    <row r="342">
      <c r="A342" s="1" t="str">
        <f>IFERROR(__xludf.DUMMYFUNCTION("""COMPUTED_VALUE"""),"SE-RSE")</f>
        <v>SE-RSE</v>
      </c>
      <c r="B342" s="1" t="str">
        <f>IFERROR(__xludf.DUMMYFUNCTION("""COMPUTED_VALUE"""),"SE")</f>
        <v>SE</v>
      </c>
      <c r="C342" s="1" t="str">
        <f>IFERROR(__xludf.DUMMYFUNCTION("""COMPUTED_VALUE"""),"RSE")</f>
        <v>RSE</v>
      </c>
      <c r="D342" s="1">
        <f>IFERROR(__xludf.DUMMYFUNCTION("""COMPUTED_VALUE"""),6.0)</f>
        <v>6</v>
      </c>
    </row>
    <row r="343">
      <c r="A343" s="1" t="str">
        <f>IFERROR(__xludf.DUMMYFUNCTION("""COMPUTED_VALUE"""),"SE-RTA")</f>
        <v>SE-RTA</v>
      </c>
      <c r="B343" s="1" t="str">
        <f>IFERROR(__xludf.DUMMYFUNCTION("""COMPUTED_VALUE"""),"SE")</f>
        <v>SE</v>
      </c>
      <c r="C343" s="1" t="str">
        <f>IFERROR(__xludf.DUMMYFUNCTION("""COMPUTED_VALUE"""),"RTA")</f>
        <v>RTA</v>
      </c>
      <c r="D343" s="1">
        <f>IFERROR(__xludf.DUMMYFUNCTION("""COMPUTED_VALUE"""),2.0)</f>
        <v>2</v>
      </c>
    </row>
    <row r="344">
      <c r="A344" s="1" t="str">
        <f>IFERROR(__xludf.DUMMYFUNCTION("""COMPUTED_VALUE"""),"SE-TRU")</f>
        <v>SE-TRU</v>
      </c>
      <c r="B344" s="1" t="str">
        <f>IFERROR(__xludf.DUMMYFUNCTION("""COMPUTED_VALUE"""),"SE")</f>
        <v>SE</v>
      </c>
      <c r="C344" s="1" t="str">
        <f>IFERROR(__xludf.DUMMYFUNCTION("""COMPUTED_VALUE"""),"TRU")</f>
        <v>TRU</v>
      </c>
      <c r="D344" s="1">
        <f>IFERROR(__xludf.DUMMYFUNCTION("""COMPUTED_VALUE"""),4.0)</f>
        <v>4</v>
      </c>
    </row>
    <row r="345">
      <c r="A345" s="1" t="str">
        <f>IFERROR(__xludf.DUMMYFUNCTION("""COMPUTED_VALUE"""),"SKF-BBH")</f>
        <v>SKF-BBH</v>
      </c>
      <c r="B345" s="1" t="str">
        <f>IFERROR(__xludf.DUMMYFUNCTION("""COMPUTED_VALUE"""),"SKF")</f>
        <v>SKF</v>
      </c>
      <c r="C345" s="1" t="str">
        <f>IFERROR(__xludf.DUMMYFUNCTION("""COMPUTED_VALUE"""),"BBH")</f>
        <v>BBH</v>
      </c>
      <c r="D345" s="1">
        <f>IFERROR(__xludf.DUMMYFUNCTION("""COMPUTED_VALUE"""),4.0)</f>
        <v>4</v>
      </c>
    </row>
    <row r="346">
      <c r="A346" s="1" t="str">
        <f>IFERROR(__xludf.DUMMYFUNCTION("""COMPUTED_VALUE"""),"SKF-BDE")</f>
        <v>SKF-BDE</v>
      </c>
      <c r="B346" s="1" t="str">
        <f>IFERROR(__xludf.DUMMYFUNCTION("""COMPUTED_VALUE"""),"SKF")</f>
        <v>SKF</v>
      </c>
      <c r="C346" s="1" t="str">
        <f>IFERROR(__xludf.DUMMYFUNCTION("""COMPUTED_VALUE"""),"BDE")</f>
        <v>BDE</v>
      </c>
      <c r="D346" s="1">
        <f>IFERROR(__xludf.DUMMYFUNCTION("""COMPUTED_VALUE"""),6.0)</f>
        <v>6</v>
      </c>
    </row>
    <row r="347">
      <c r="A347" s="1" t="str">
        <f>IFERROR(__xludf.DUMMYFUNCTION("""COMPUTED_VALUE"""),"SKF-BSE")</f>
        <v>SKF-BSE</v>
      </c>
      <c r="B347" s="1" t="str">
        <f>IFERROR(__xludf.DUMMYFUNCTION("""COMPUTED_VALUE"""),"SKF")</f>
        <v>SKF</v>
      </c>
      <c r="C347" s="1" t="str">
        <f>IFERROR(__xludf.DUMMYFUNCTION("""COMPUTED_VALUE"""),"BSE")</f>
        <v>BSE</v>
      </c>
      <c r="D347" s="1">
        <f>IFERROR(__xludf.DUMMYFUNCTION("""COMPUTED_VALUE"""),4.0)</f>
        <v>4</v>
      </c>
    </row>
    <row r="348">
      <c r="A348" s="1" t="str">
        <f>IFERROR(__xludf.DUMMYFUNCTION("""COMPUTED_VALUE"""),"SKF-LTA")</f>
        <v>SKF-LTA</v>
      </c>
      <c r="B348" s="1" t="str">
        <f>IFERROR(__xludf.DUMMYFUNCTION("""COMPUTED_VALUE"""),"SKF")</f>
        <v>SKF</v>
      </c>
      <c r="C348" s="1" t="str">
        <f>IFERROR(__xludf.DUMMYFUNCTION("""COMPUTED_VALUE"""),"LTA")</f>
        <v>LTA</v>
      </c>
      <c r="D348" s="1">
        <f>IFERROR(__xludf.DUMMYFUNCTION("""COMPUTED_VALUE"""),2.0)</f>
        <v>2</v>
      </c>
    </row>
    <row r="349">
      <c r="A349" s="1" t="str">
        <f>IFERROR(__xludf.DUMMYFUNCTION("""COMPUTED_VALUE"""),"SKF-TRU")</f>
        <v>SKF-TRU</v>
      </c>
      <c r="B349" s="1" t="str">
        <f>IFERROR(__xludf.DUMMYFUNCTION("""COMPUTED_VALUE"""),"SKF")</f>
        <v>SKF</v>
      </c>
      <c r="C349" s="1" t="str">
        <f>IFERROR(__xludf.DUMMYFUNCTION("""COMPUTED_VALUE"""),"TRU")</f>
        <v>TRU</v>
      </c>
      <c r="D349" s="1">
        <f>IFERROR(__xludf.DUMMYFUNCTION("""COMPUTED_VALUE"""),6.0)</f>
        <v>6</v>
      </c>
    </row>
    <row r="350">
      <c r="A350" s="1" t="str">
        <f>IFERROR(__xludf.DUMMYFUNCTION("""COMPUTED_VALUE"""),"SL-LDE")</f>
        <v>SL-LDE</v>
      </c>
      <c r="B350" s="1" t="str">
        <f>IFERROR(__xludf.DUMMYFUNCTION("""COMPUTED_VALUE"""),"SL")</f>
        <v>SL</v>
      </c>
      <c r="C350" s="1" t="str">
        <f>IFERROR(__xludf.DUMMYFUNCTION("""COMPUTED_VALUE"""),"LDE")</f>
        <v>LDE</v>
      </c>
      <c r="D350" s="1">
        <f>IFERROR(__xludf.DUMMYFUNCTION("""COMPUTED_VALUE"""),8.0)</f>
        <v>8</v>
      </c>
    </row>
    <row r="351">
      <c r="A351" s="1" t="str">
        <f>IFERROR(__xludf.DUMMYFUNCTION("""COMPUTED_VALUE"""),"SL-LTA")</f>
        <v>SL-LTA</v>
      </c>
      <c r="B351" s="1" t="str">
        <f>IFERROR(__xludf.DUMMYFUNCTION("""COMPUTED_VALUE"""),"SL")</f>
        <v>SL</v>
      </c>
      <c r="C351" s="1" t="str">
        <f>IFERROR(__xludf.DUMMYFUNCTION("""COMPUTED_VALUE"""),"LTA")</f>
        <v>LTA</v>
      </c>
      <c r="D351" s="1">
        <f>IFERROR(__xludf.DUMMYFUNCTION("""COMPUTED_VALUE"""),6.0)</f>
        <v>6</v>
      </c>
    </row>
    <row r="352">
      <c r="A352" s="1" t="str">
        <f>IFERROR(__xludf.DUMMYFUNCTION("""COMPUTED_VALUE"""),"SL-RBH")</f>
        <v>SL-RBH</v>
      </c>
      <c r="B352" s="1" t="str">
        <f>IFERROR(__xludf.DUMMYFUNCTION("""COMPUTED_VALUE"""),"SL")</f>
        <v>SL</v>
      </c>
      <c r="C352" s="1" t="str">
        <f>IFERROR(__xludf.DUMMYFUNCTION("""COMPUTED_VALUE"""),"RBH")</f>
        <v>RBH</v>
      </c>
      <c r="D352" s="1">
        <f>IFERROR(__xludf.DUMMYFUNCTION("""COMPUTED_VALUE"""),12.0)</f>
        <v>12</v>
      </c>
    </row>
    <row r="353">
      <c r="A353" s="1" t="str">
        <f>IFERROR(__xludf.DUMMYFUNCTION("""COMPUTED_VALUE"""),"SL-RSE")</f>
        <v>SL-RSE</v>
      </c>
      <c r="B353" s="1" t="str">
        <f>IFERROR(__xludf.DUMMYFUNCTION("""COMPUTED_VALUE"""),"SL")</f>
        <v>SL</v>
      </c>
      <c r="C353" s="1" t="str">
        <f>IFERROR(__xludf.DUMMYFUNCTION("""COMPUTED_VALUE"""),"RSE")</f>
        <v>RSE</v>
      </c>
      <c r="D353" s="1">
        <f>IFERROR(__xludf.DUMMYFUNCTION("""COMPUTED_VALUE"""),12.0)</f>
        <v>12</v>
      </c>
    </row>
    <row r="354">
      <c r="A354" s="1" t="str">
        <f>IFERROR(__xludf.DUMMYFUNCTION("""COMPUTED_VALUE"""),"SL-TRU")</f>
        <v>SL-TRU</v>
      </c>
      <c r="B354" s="1" t="str">
        <f>IFERROR(__xludf.DUMMYFUNCTION("""COMPUTED_VALUE"""),"SL")</f>
        <v>SL</v>
      </c>
      <c r="C354" s="1" t="str">
        <f>IFERROR(__xludf.DUMMYFUNCTION("""COMPUTED_VALUE"""),"TRU")</f>
        <v>TRU</v>
      </c>
      <c r="D354" s="1">
        <f>IFERROR(__xludf.DUMMYFUNCTION("""COMPUTED_VALUE"""),8.0)</f>
        <v>8</v>
      </c>
    </row>
    <row r="355">
      <c r="A355" s="1" t="str">
        <f>IFERROR(__xludf.DUMMYFUNCTION("""COMPUTED_VALUE"""),"SME-BBH")</f>
        <v>SME-BBH</v>
      </c>
      <c r="B355" s="1" t="str">
        <f>IFERROR(__xludf.DUMMYFUNCTION("""COMPUTED_VALUE"""),"SME")</f>
        <v>SME</v>
      </c>
      <c r="C355" s="1" t="str">
        <f>IFERROR(__xludf.DUMMYFUNCTION("""COMPUTED_VALUE"""),"BBH")</f>
        <v>BBH</v>
      </c>
      <c r="D355" s="1">
        <f>IFERROR(__xludf.DUMMYFUNCTION("""COMPUTED_VALUE"""),4.0)</f>
        <v>4</v>
      </c>
    </row>
    <row r="356">
      <c r="A356" s="1" t="str">
        <f>IFERROR(__xludf.DUMMYFUNCTION("""COMPUTED_VALUE"""),"SME-BDE")</f>
        <v>SME-BDE</v>
      </c>
      <c r="B356" s="1" t="str">
        <f>IFERROR(__xludf.DUMMYFUNCTION("""COMPUTED_VALUE"""),"SME")</f>
        <v>SME</v>
      </c>
      <c r="C356" s="1" t="str">
        <f>IFERROR(__xludf.DUMMYFUNCTION("""COMPUTED_VALUE"""),"BDE")</f>
        <v>BDE</v>
      </c>
      <c r="D356" s="1">
        <f>IFERROR(__xludf.DUMMYFUNCTION("""COMPUTED_VALUE"""),4.0)</f>
        <v>4</v>
      </c>
    </row>
    <row r="357">
      <c r="A357" s="1" t="str">
        <f>IFERROR(__xludf.DUMMYFUNCTION("""COMPUTED_VALUE"""),"SME-BSE")</f>
        <v>SME-BSE</v>
      </c>
      <c r="B357" s="1" t="str">
        <f>IFERROR(__xludf.DUMMYFUNCTION("""COMPUTED_VALUE"""),"SME")</f>
        <v>SME</v>
      </c>
      <c r="C357" s="1" t="str">
        <f>IFERROR(__xludf.DUMMYFUNCTION("""COMPUTED_VALUE"""),"BSE")</f>
        <v>BSE</v>
      </c>
      <c r="D357" s="1">
        <f>IFERROR(__xludf.DUMMYFUNCTION("""COMPUTED_VALUE"""),6.0)</f>
        <v>6</v>
      </c>
    </row>
    <row r="358">
      <c r="A358" s="1" t="str">
        <f>IFERROR(__xludf.DUMMYFUNCTION("""COMPUTED_VALUE"""),"SPF-RBH")</f>
        <v>SPF-RBH</v>
      </c>
      <c r="B358" s="1" t="str">
        <f>IFERROR(__xludf.DUMMYFUNCTION("""COMPUTED_VALUE"""),"SPF")</f>
        <v>SPF</v>
      </c>
      <c r="C358" s="1" t="str">
        <f>IFERROR(__xludf.DUMMYFUNCTION("""COMPUTED_VALUE"""),"RBH")</f>
        <v>RBH</v>
      </c>
      <c r="D358" s="1">
        <f>IFERROR(__xludf.DUMMYFUNCTION("""COMPUTED_VALUE"""),8.0)</f>
        <v>8</v>
      </c>
    </row>
    <row r="359">
      <c r="A359" s="1" t="str">
        <f>IFERROR(__xludf.DUMMYFUNCTION("""COMPUTED_VALUE"""),"SPF-RDE")</f>
        <v>SPF-RDE</v>
      </c>
      <c r="B359" s="1" t="str">
        <f>IFERROR(__xludf.DUMMYFUNCTION("""COMPUTED_VALUE"""),"SPF")</f>
        <v>SPF</v>
      </c>
      <c r="C359" s="1" t="str">
        <f>IFERROR(__xludf.DUMMYFUNCTION("""COMPUTED_VALUE"""),"RDE")</f>
        <v>RDE</v>
      </c>
      <c r="D359" s="1">
        <f>IFERROR(__xludf.DUMMYFUNCTION("""COMPUTED_VALUE"""),6.0)</f>
        <v>6</v>
      </c>
    </row>
    <row r="360">
      <c r="A360" s="1" t="str">
        <f>IFERROR(__xludf.DUMMYFUNCTION("""COMPUTED_VALUE"""),"SPF-RSE")</f>
        <v>SPF-RSE</v>
      </c>
      <c r="B360" s="1" t="str">
        <f>IFERROR(__xludf.DUMMYFUNCTION("""COMPUTED_VALUE"""),"SPF")</f>
        <v>SPF</v>
      </c>
      <c r="C360" s="1" t="str">
        <f>IFERROR(__xludf.DUMMYFUNCTION("""COMPUTED_VALUE"""),"RSE")</f>
        <v>RSE</v>
      </c>
      <c r="D360" s="1">
        <f>IFERROR(__xludf.DUMMYFUNCTION("""COMPUTED_VALUE"""),6.0)</f>
        <v>6</v>
      </c>
    </row>
    <row r="361">
      <c r="A361" s="1" t="str">
        <f>IFERROR(__xludf.DUMMYFUNCTION("""COMPUTED_VALUE"""),"SPF-RTA")</f>
        <v>SPF-RTA</v>
      </c>
      <c r="B361" s="1" t="str">
        <f>IFERROR(__xludf.DUMMYFUNCTION("""COMPUTED_VALUE"""),"SPF")</f>
        <v>SPF</v>
      </c>
      <c r="C361" s="1" t="str">
        <f>IFERROR(__xludf.DUMMYFUNCTION("""COMPUTED_VALUE"""),"RTA")</f>
        <v>RTA</v>
      </c>
      <c r="D361" s="1">
        <f>IFERROR(__xludf.DUMMYFUNCTION("""COMPUTED_VALUE"""),2.0)</f>
        <v>2</v>
      </c>
    </row>
    <row r="362">
      <c r="A362" s="1" t="str">
        <f>IFERROR(__xludf.DUMMYFUNCTION("""COMPUTED_VALUE"""),"SPF-TRU")</f>
        <v>SPF-TRU</v>
      </c>
      <c r="B362" s="1" t="str">
        <f>IFERROR(__xludf.DUMMYFUNCTION("""COMPUTED_VALUE"""),"SPF")</f>
        <v>SPF</v>
      </c>
      <c r="C362" s="1" t="str">
        <f>IFERROR(__xludf.DUMMYFUNCTION("""COMPUTED_VALUE"""),"TRU")</f>
        <v>TRU</v>
      </c>
      <c r="D362" s="1">
        <f>IFERROR(__xludf.DUMMYFUNCTION("""COMPUTED_VALUE"""),6.0)</f>
        <v>6</v>
      </c>
    </row>
    <row r="363">
      <c r="A363" s="1" t="str">
        <f>IFERROR(__xludf.DUMMYFUNCTION("""COMPUTED_VALUE"""),"SPP-RBH")</f>
        <v>SPP-RBH</v>
      </c>
      <c r="B363" s="1" t="str">
        <f>IFERROR(__xludf.DUMMYFUNCTION("""COMPUTED_VALUE"""),"SPP")</f>
        <v>SPP</v>
      </c>
      <c r="C363" s="1" t="str">
        <f>IFERROR(__xludf.DUMMYFUNCTION("""COMPUTED_VALUE"""),"RBH")</f>
        <v>RBH</v>
      </c>
      <c r="D363" s="1">
        <f>IFERROR(__xludf.DUMMYFUNCTION("""COMPUTED_VALUE"""),12.0)</f>
        <v>12</v>
      </c>
    </row>
    <row r="364">
      <c r="A364" s="1" t="str">
        <f>IFERROR(__xludf.DUMMYFUNCTION("""COMPUTED_VALUE"""),"SPP-RDE")</f>
        <v>SPP-RDE</v>
      </c>
      <c r="B364" s="1" t="str">
        <f>IFERROR(__xludf.DUMMYFUNCTION("""COMPUTED_VALUE"""),"SPP")</f>
        <v>SPP</v>
      </c>
      <c r="C364" s="1" t="str">
        <f>IFERROR(__xludf.DUMMYFUNCTION("""COMPUTED_VALUE"""),"RDE")</f>
        <v>RDE</v>
      </c>
      <c r="D364" s="1">
        <f>IFERROR(__xludf.DUMMYFUNCTION("""COMPUTED_VALUE"""),6.0)</f>
        <v>6</v>
      </c>
    </row>
    <row r="365">
      <c r="A365" s="1" t="str">
        <f>IFERROR(__xludf.DUMMYFUNCTION("""COMPUTED_VALUE"""),"SPP-RSE")</f>
        <v>SPP-RSE</v>
      </c>
      <c r="B365" s="1" t="str">
        <f>IFERROR(__xludf.DUMMYFUNCTION("""COMPUTED_VALUE"""),"SPP")</f>
        <v>SPP</v>
      </c>
      <c r="C365" s="1" t="str">
        <f>IFERROR(__xludf.DUMMYFUNCTION("""COMPUTED_VALUE"""),"RSE")</f>
        <v>RSE</v>
      </c>
      <c r="D365" s="1">
        <f>IFERROR(__xludf.DUMMYFUNCTION("""COMPUTED_VALUE"""),6.0)</f>
        <v>6</v>
      </c>
    </row>
    <row r="366">
      <c r="A366" s="1" t="str">
        <f>IFERROR(__xludf.DUMMYFUNCTION("""COMPUTED_VALUE"""),"SPP-RTA")</f>
        <v>SPP-RTA</v>
      </c>
      <c r="B366" s="1" t="str">
        <f>IFERROR(__xludf.DUMMYFUNCTION("""COMPUTED_VALUE"""),"SPP")</f>
        <v>SPP</v>
      </c>
      <c r="C366" s="1" t="str">
        <f>IFERROR(__xludf.DUMMYFUNCTION("""COMPUTED_VALUE"""),"RTA")</f>
        <v>RTA</v>
      </c>
      <c r="D366" s="1">
        <f>IFERROR(__xludf.DUMMYFUNCTION("""COMPUTED_VALUE"""),2.0)</f>
        <v>2</v>
      </c>
    </row>
    <row r="367">
      <c r="A367" s="1" t="str">
        <f>IFERROR(__xludf.DUMMYFUNCTION("""COMPUTED_VALUE"""),"SPP-TRU")</f>
        <v>SPP-TRU</v>
      </c>
      <c r="B367" s="1" t="str">
        <f>IFERROR(__xludf.DUMMYFUNCTION("""COMPUTED_VALUE"""),"SPP")</f>
        <v>SPP</v>
      </c>
      <c r="C367" s="1" t="str">
        <f>IFERROR(__xludf.DUMMYFUNCTION("""COMPUTED_VALUE"""),"TRU")</f>
        <v>TRU</v>
      </c>
      <c r="D367" s="1">
        <f>IFERROR(__xludf.DUMMYFUNCTION("""COMPUTED_VALUE"""),8.0)</f>
        <v>8</v>
      </c>
    </row>
    <row r="368">
      <c r="A368" s="1" t="str">
        <f>IFERROR(__xludf.DUMMYFUNCTION("""COMPUTED_VALUE"""),"SST-BBH")</f>
        <v>SST-BBH</v>
      </c>
      <c r="B368" s="1" t="str">
        <f>IFERROR(__xludf.DUMMYFUNCTION("""COMPUTED_VALUE"""),"SST")</f>
        <v>SST</v>
      </c>
      <c r="C368" s="1" t="str">
        <f>IFERROR(__xludf.DUMMYFUNCTION("""COMPUTED_VALUE"""),"BBH")</f>
        <v>BBH</v>
      </c>
      <c r="D368" s="1">
        <f>IFERROR(__xludf.DUMMYFUNCTION("""COMPUTED_VALUE"""),24.0)</f>
        <v>24</v>
      </c>
    </row>
    <row r="369">
      <c r="A369" s="1" t="str">
        <f>IFERROR(__xludf.DUMMYFUNCTION("""COMPUTED_VALUE"""),"SST-BDE")</f>
        <v>SST-BDE</v>
      </c>
      <c r="B369" s="1" t="str">
        <f>IFERROR(__xludf.DUMMYFUNCTION("""COMPUTED_VALUE"""),"SST")</f>
        <v>SST</v>
      </c>
      <c r="C369" s="1" t="str">
        <f>IFERROR(__xludf.DUMMYFUNCTION("""COMPUTED_VALUE"""),"BDE")</f>
        <v>BDE</v>
      </c>
      <c r="D369" s="1">
        <f>IFERROR(__xludf.DUMMYFUNCTION("""COMPUTED_VALUE"""),24.0)</f>
        <v>24</v>
      </c>
    </row>
    <row r="370">
      <c r="A370" s="1" t="str">
        <f>IFERROR(__xludf.DUMMYFUNCTION("""COMPUTED_VALUE"""),"SST-BSE")</f>
        <v>SST-BSE</v>
      </c>
      <c r="B370" s="1" t="str">
        <f>IFERROR(__xludf.DUMMYFUNCTION("""COMPUTED_VALUE"""),"SST")</f>
        <v>SST</v>
      </c>
      <c r="C370" s="1" t="str">
        <f>IFERROR(__xludf.DUMMYFUNCTION("""COMPUTED_VALUE"""),"BSE")</f>
        <v>BSE</v>
      </c>
      <c r="D370" s="1">
        <f>IFERROR(__xludf.DUMMYFUNCTION("""COMPUTED_VALUE"""),12.0)</f>
        <v>12</v>
      </c>
    </row>
    <row r="371">
      <c r="A371" s="1" t="str">
        <f>IFERROR(__xludf.DUMMYFUNCTION("""COMPUTED_VALUE"""),"SST-BTA")</f>
        <v>SST-BTA</v>
      </c>
      <c r="B371" s="1" t="str">
        <f>IFERROR(__xludf.DUMMYFUNCTION("""COMPUTED_VALUE"""),"SST")</f>
        <v>SST</v>
      </c>
      <c r="C371" s="1" t="str">
        <f>IFERROR(__xludf.DUMMYFUNCTION("""COMPUTED_VALUE"""),"BTA")</f>
        <v>BTA</v>
      </c>
      <c r="D371" s="1">
        <f>IFERROR(__xludf.DUMMYFUNCTION("""COMPUTED_VALUE"""),6.0)</f>
        <v>6</v>
      </c>
    </row>
    <row r="372">
      <c r="A372" s="1" t="str">
        <f>IFERROR(__xludf.DUMMYFUNCTION("""COMPUTED_VALUE"""),"SST-MCG")</f>
        <v>SST-MCG</v>
      </c>
      <c r="B372" s="1" t="str">
        <f>IFERROR(__xludf.DUMMYFUNCTION("""COMPUTED_VALUE"""),"SST")</f>
        <v>SST</v>
      </c>
      <c r="C372" s="1" t="str">
        <f>IFERROR(__xludf.DUMMYFUNCTION("""COMPUTED_VALUE"""),"MCG")</f>
        <v>MCG</v>
      </c>
      <c r="D372" s="1">
        <f>IFERROR(__xludf.DUMMYFUNCTION("""COMPUTED_VALUE"""),300.0)</f>
        <v>300</v>
      </c>
    </row>
    <row r="373">
      <c r="A373" s="1" t="str">
        <f>IFERROR(__xludf.DUMMYFUNCTION("""COMPUTED_VALUE"""),"SST-TRU")</f>
        <v>SST-TRU</v>
      </c>
      <c r="B373" s="1" t="str">
        <f>IFERROR(__xludf.DUMMYFUNCTION("""COMPUTED_VALUE"""),"SST")</f>
        <v>SST</v>
      </c>
      <c r="C373" s="1" t="str">
        <f>IFERROR(__xludf.DUMMYFUNCTION("""COMPUTED_VALUE"""),"TRU")</f>
        <v>TRU</v>
      </c>
      <c r="D373" s="1">
        <f>IFERROR(__xludf.DUMMYFUNCTION("""COMPUTED_VALUE"""),10.0)</f>
        <v>10</v>
      </c>
    </row>
    <row r="374">
      <c r="A374" s="1" t="str">
        <f>IFERROR(__xludf.DUMMYFUNCTION("""COMPUTED_VALUE"""),"STO-BBH")</f>
        <v>STO-BBH</v>
      </c>
      <c r="B374" s="1" t="str">
        <f>IFERROR(__xludf.DUMMYFUNCTION("""COMPUTED_VALUE"""),"STO")</f>
        <v>STO</v>
      </c>
      <c r="C374" s="1" t="str">
        <f>IFERROR(__xludf.DUMMYFUNCTION("""COMPUTED_VALUE"""),"BBH")</f>
        <v>BBH</v>
      </c>
      <c r="D374" s="1">
        <f>IFERROR(__xludf.DUMMYFUNCTION("""COMPUTED_VALUE"""),6.0)</f>
        <v>6</v>
      </c>
    </row>
    <row r="375">
      <c r="A375" s="1" t="str">
        <f>IFERROR(__xludf.DUMMYFUNCTION("""COMPUTED_VALUE"""),"STO-BDE")</f>
        <v>STO-BDE</v>
      </c>
      <c r="B375" s="1" t="str">
        <f>IFERROR(__xludf.DUMMYFUNCTION("""COMPUTED_VALUE"""),"STO")</f>
        <v>STO</v>
      </c>
      <c r="C375" s="1" t="str">
        <f>IFERROR(__xludf.DUMMYFUNCTION("""COMPUTED_VALUE"""),"BDE")</f>
        <v>BDE</v>
      </c>
      <c r="D375" s="1">
        <f>IFERROR(__xludf.DUMMYFUNCTION("""COMPUTED_VALUE"""),6.0)</f>
        <v>6</v>
      </c>
    </row>
    <row r="376">
      <c r="A376" s="1" t="str">
        <f>IFERROR(__xludf.DUMMYFUNCTION("""COMPUTED_VALUE"""),"STO-BSE")</f>
        <v>STO-BSE</v>
      </c>
      <c r="B376" s="1" t="str">
        <f>IFERROR(__xludf.DUMMYFUNCTION("""COMPUTED_VALUE"""),"STO")</f>
        <v>STO</v>
      </c>
      <c r="C376" s="1" t="str">
        <f>IFERROR(__xludf.DUMMYFUNCTION("""COMPUTED_VALUE"""),"BSE")</f>
        <v>BSE</v>
      </c>
      <c r="D376" s="1">
        <f>IFERROR(__xludf.DUMMYFUNCTION("""COMPUTED_VALUE"""),2.0)</f>
        <v>2</v>
      </c>
    </row>
    <row r="377">
      <c r="A377" s="1" t="str">
        <f>IFERROR(__xludf.DUMMYFUNCTION("""COMPUTED_VALUE"""),"TNP-LBH")</f>
        <v>TNP-LBH</v>
      </c>
      <c r="B377" s="1" t="str">
        <f>IFERROR(__xludf.DUMMYFUNCTION("""COMPUTED_VALUE"""),"TNP")</f>
        <v>TNP</v>
      </c>
      <c r="C377" s="1" t="str">
        <f>IFERROR(__xludf.DUMMYFUNCTION("""COMPUTED_VALUE"""),"LBH")</f>
        <v>LBH</v>
      </c>
      <c r="D377" s="1">
        <f>IFERROR(__xludf.DUMMYFUNCTION("""COMPUTED_VALUE"""),6.0)</f>
        <v>6</v>
      </c>
    </row>
    <row r="378">
      <c r="A378" s="1" t="str">
        <f>IFERROR(__xludf.DUMMYFUNCTION("""COMPUTED_VALUE"""),"TNP-LDE")</f>
        <v>TNP-LDE</v>
      </c>
      <c r="B378" s="1" t="str">
        <f>IFERROR(__xludf.DUMMYFUNCTION("""COMPUTED_VALUE"""),"TNP")</f>
        <v>TNP</v>
      </c>
      <c r="C378" s="1" t="str">
        <f>IFERROR(__xludf.DUMMYFUNCTION("""COMPUTED_VALUE"""),"LDE")</f>
        <v>LDE</v>
      </c>
      <c r="D378" s="1">
        <f>IFERROR(__xludf.DUMMYFUNCTION("""COMPUTED_VALUE"""),8.0)</f>
        <v>8</v>
      </c>
    </row>
    <row r="379">
      <c r="A379" s="1" t="str">
        <f>IFERROR(__xludf.DUMMYFUNCTION("""COMPUTED_VALUE"""),"TNP-LSE")</f>
        <v>TNP-LSE</v>
      </c>
      <c r="B379" s="1" t="str">
        <f>IFERROR(__xludf.DUMMYFUNCTION("""COMPUTED_VALUE"""),"TNP")</f>
        <v>TNP</v>
      </c>
      <c r="C379" s="1" t="str">
        <f>IFERROR(__xludf.DUMMYFUNCTION("""COMPUTED_VALUE"""),"LSE")</f>
        <v>LSE</v>
      </c>
      <c r="D379" s="1">
        <f>IFERROR(__xludf.DUMMYFUNCTION("""COMPUTED_VALUE"""),12.0)</f>
        <v>12</v>
      </c>
    </row>
    <row r="380">
      <c r="A380" s="1" t="str">
        <f>IFERROR(__xludf.DUMMYFUNCTION("""COMPUTED_VALUE"""),"TNP-TRU")</f>
        <v>TNP-TRU</v>
      </c>
      <c r="B380" s="1" t="str">
        <f>IFERROR(__xludf.DUMMYFUNCTION("""COMPUTED_VALUE"""),"TNP")</f>
        <v>TNP</v>
      </c>
      <c r="C380" s="1" t="str">
        <f>IFERROR(__xludf.DUMMYFUNCTION("""COMPUTED_VALUE"""),"TRU")</f>
        <v>TRU</v>
      </c>
      <c r="D380" s="1">
        <f>IFERROR(__xludf.DUMMYFUNCTION("""COMPUTED_VALUE"""),8.0)</f>
        <v>8</v>
      </c>
    </row>
    <row r="381">
      <c r="A381" s="1" t="str">
        <f>IFERROR(__xludf.DUMMYFUNCTION("""COMPUTED_VALUE"""),"UNI-ABH")</f>
        <v>UNI-ABH</v>
      </c>
      <c r="B381" s="1" t="str">
        <f>IFERROR(__xludf.DUMMYFUNCTION("""COMPUTED_VALUE"""),"UNI")</f>
        <v>UNI</v>
      </c>
      <c r="C381" s="1" t="str">
        <f>IFERROR(__xludf.DUMMYFUNCTION("""COMPUTED_VALUE"""),"ABH")</f>
        <v>ABH</v>
      </c>
      <c r="D381" s="1">
        <f>IFERROR(__xludf.DUMMYFUNCTION("""COMPUTED_VALUE"""),12.0)</f>
        <v>12</v>
      </c>
    </row>
    <row r="382">
      <c r="A382" s="1" t="str">
        <f>IFERROR(__xludf.DUMMYFUNCTION("""COMPUTED_VALUE"""),"UNI-ADE")</f>
        <v>UNI-ADE</v>
      </c>
      <c r="B382" s="1" t="str">
        <f>IFERROR(__xludf.DUMMYFUNCTION("""COMPUTED_VALUE"""),"UNI")</f>
        <v>UNI</v>
      </c>
      <c r="C382" s="1" t="str">
        <f>IFERROR(__xludf.DUMMYFUNCTION("""COMPUTED_VALUE"""),"ADE")</f>
        <v>ADE</v>
      </c>
      <c r="D382" s="1">
        <f>IFERROR(__xludf.DUMMYFUNCTION("""COMPUTED_VALUE"""),16.0)</f>
        <v>16</v>
      </c>
    </row>
    <row r="383">
      <c r="A383" s="1" t="str">
        <f>IFERROR(__xludf.DUMMYFUNCTION("""COMPUTED_VALUE"""),"UNI-ASE")</f>
        <v>UNI-ASE</v>
      </c>
      <c r="B383" s="1" t="str">
        <f>IFERROR(__xludf.DUMMYFUNCTION("""COMPUTED_VALUE"""),"UNI")</f>
        <v>UNI</v>
      </c>
      <c r="C383" s="1" t="str">
        <f>IFERROR(__xludf.DUMMYFUNCTION("""COMPUTED_VALUE"""),"ASE")</f>
        <v>ASE</v>
      </c>
      <c r="D383" s="1">
        <f>IFERROR(__xludf.DUMMYFUNCTION("""COMPUTED_VALUE"""),16.0)</f>
        <v>16</v>
      </c>
    </row>
    <row r="384">
      <c r="A384" s="1" t="str">
        <f>IFERROR(__xludf.DUMMYFUNCTION("""COMPUTED_VALUE"""),"UNI-ATA")</f>
        <v>UNI-ATA</v>
      </c>
      <c r="B384" s="1" t="str">
        <f>IFERROR(__xludf.DUMMYFUNCTION("""COMPUTED_VALUE"""),"UNI")</f>
        <v>UNI</v>
      </c>
      <c r="C384" s="1" t="str">
        <f>IFERROR(__xludf.DUMMYFUNCTION("""COMPUTED_VALUE"""),"ATA")</f>
        <v>ATA</v>
      </c>
      <c r="D384" s="1">
        <f>IFERROR(__xludf.DUMMYFUNCTION("""COMPUTED_VALUE"""),12.0)</f>
        <v>12</v>
      </c>
    </row>
    <row r="385">
      <c r="A385" s="1" t="str">
        <f>IFERROR(__xludf.DUMMYFUNCTION("""COMPUTED_VALUE"""),"UNI-BMF")</f>
        <v>UNI-BMF</v>
      </c>
      <c r="B385" s="1" t="str">
        <f>IFERROR(__xludf.DUMMYFUNCTION("""COMPUTED_VALUE"""),"UNI")</f>
        <v>UNI</v>
      </c>
      <c r="C385" s="1" t="str">
        <f>IFERROR(__xludf.DUMMYFUNCTION("""COMPUTED_VALUE"""),"BMF")</f>
        <v>BMF</v>
      </c>
      <c r="D385" s="1">
        <f>IFERROR(__xludf.DUMMYFUNCTION("""COMPUTED_VALUE"""),2.0)</f>
        <v>2</v>
      </c>
    </row>
    <row r="386">
      <c r="A386" s="1" t="str">
        <f>IFERROR(__xludf.DUMMYFUNCTION("""COMPUTED_VALUE"""),"UNI-LOG")</f>
        <v>UNI-LOG</v>
      </c>
      <c r="B386" s="1" t="str">
        <f>IFERROR(__xludf.DUMMYFUNCTION("""COMPUTED_VALUE"""),"UNI")</f>
        <v>UNI</v>
      </c>
      <c r="C386" s="1" t="str">
        <f>IFERROR(__xludf.DUMMYFUNCTION("""COMPUTED_VALUE"""),"LOG")</f>
        <v>LOG</v>
      </c>
      <c r="D386" s="1">
        <f>IFERROR(__xludf.DUMMYFUNCTION("""COMPUTED_VALUE"""),1.0)</f>
        <v>1</v>
      </c>
    </row>
    <row r="387">
      <c r="A387" s="1" t="str">
        <f>IFERROR(__xludf.DUMMYFUNCTION("""COMPUTED_VALUE"""),"UNI-LU")</f>
        <v>UNI-LU</v>
      </c>
      <c r="B387" s="1" t="str">
        <f>IFERROR(__xludf.DUMMYFUNCTION("""COMPUTED_VALUE"""),"UNI")</f>
        <v>UNI</v>
      </c>
      <c r="C387" s="1" t="str">
        <f>IFERROR(__xludf.DUMMYFUNCTION("""COMPUTED_VALUE"""),"LU")</f>
        <v>LU</v>
      </c>
      <c r="D387" s="1">
        <f>IFERROR(__xludf.DUMMYFUNCTION("""COMPUTED_VALUE"""),4.0)</f>
        <v>4</v>
      </c>
    </row>
    <row r="388">
      <c r="A388" s="1" t="str">
        <f>IFERROR(__xludf.DUMMYFUNCTION("""COMPUTED_VALUE"""),"UNI-MCG")</f>
        <v>UNI-MCG</v>
      </c>
      <c r="B388" s="1" t="str">
        <f>IFERROR(__xludf.DUMMYFUNCTION("""COMPUTED_VALUE"""),"UNI")</f>
        <v>UNI</v>
      </c>
      <c r="C388" s="1" t="str">
        <f>IFERROR(__xludf.DUMMYFUNCTION("""COMPUTED_VALUE"""),"MCG")</f>
        <v>MCG</v>
      </c>
      <c r="D388" s="1">
        <f>IFERROR(__xludf.DUMMYFUNCTION("""COMPUTED_VALUE"""),400.0)</f>
        <v>400</v>
      </c>
    </row>
    <row r="389">
      <c r="A389" s="1" t="str">
        <f>IFERROR(__xludf.DUMMYFUNCTION("""COMPUTED_VALUE"""),"UNI-TRU")</f>
        <v>UNI-TRU</v>
      </c>
      <c r="B389" s="1" t="str">
        <f>IFERROR(__xludf.DUMMYFUNCTION("""COMPUTED_VALUE"""),"UNI")</f>
        <v>UNI</v>
      </c>
      <c r="C389" s="1" t="str">
        <f>IFERROR(__xludf.DUMMYFUNCTION("""COMPUTED_VALUE"""),"TRU")</f>
        <v>TRU</v>
      </c>
      <c r="D389" s="1">
        <f>IFERROR(__xludf.DUMMYFUNCTION("""COMPUTED_VALUE"""),30.0)</f>
        <v>30</v>
      </c>
    </row>
    <row r="390">
      <c r="A390" s="1" t="str">
        <f>IFERROR(__xludf.DUMMYFUNCTION("""COMPUTED_VALUE"""),"UPF-BBH")</f>
        <v>UPF-BBH</v>
      </c>
      <c r="B390" s="1" t="str">
        <f>IFERROR(__xludf.DUMMYFUNCTION("""COMPUTED_VALUE"""),"UPF")</f>
        <v>UPF</v>
      </c>
      <c r="C390" s="1" t="str">
        <f>IFERROR(__xludf.DUMMYFUNCTION("""COMPUTED_VALUE"""),"BBH")</f>
        <v>BBH</v>
      </c>
      <c r="D390" s="1">
        <f>IFERROR(__xludf.DUMMYFUNCTION("""COMPUTED_VALUE"""),8.0)</f>
        <v>8</v>
      </c>
    </row>
    <row r="391">
      <c r="A391" s="1" t="str">
        <f>IFERROR(__xludf.DUMMYFUNCTION("""COMPUTED_VALUE"""),"UPF-BDE")</f>
        <v>UPF-BDE</v>
      </c>
      <c r="B391" s="1" t="str">
        <f>IFERROR(__xludf.DUMMYFUNCTION("""COMPUTED_VALUE"""),"UPF")</f>
        <v>UPF</v>
      </c>
      <c r="C391" s="1" t="str">
        <f>IFERROR(__xludf.DUMMYFUNCTION("""COMPUTED_VALUE"""),"BDE")</f>
        <v>BDE</v>
      </c>
      <c r="D391" s="1">
        <f>IFERROR(__xludf.DUMMYFUNCTION("""COMPUTED_VALUE"""),10.0)</f>
        <v>10</v>
      </c>
    </row>
    <row r="392">
      <c r="A392" s="1" t="str">
        <f>IFERROR(__xludf.DUMMYFUNCTION("""COMPUTED_VALUE"""),"UPF-BSE")</f>
        <v>UPF-BSE</v>
      </c>
      <c r="B392" s="1" t="str">
        <f>IFERROR(__xludf.DUMMYFUNCTION("""COMPUTED_VALUE"""),"UPF")</f>
        <v>UPF</v>
      </c>
      <c r="C392" s="1" t="str">
        <f>IFERROR(__xludf.DUMMYFUNCTION("""COMPUTED_VALUE"""),"BSE")</f>
        <v>BSE</v>
      </c>
      <c r="D392" s="1">
        <f>IFERROR(__xludf.DUMMYFUNCTION("""COMPUTED_VALUE"""),10.0)</f>
        <v>10</v>
      </c>
    </row>
    <row r="393">
      <c r="A393" s="1" t="str">
        <f>IFERROR(__xludf.DUMMYFUNCTION("""COMPUTED_VALUE"""),"UPF-BTA")</f>
        <v>UPF-BTA</v>
      </c>
      <c r="B393" s="1" t="str">
        <f>IFERROR(__xludf.DUMMYFUNCTION("""COMPUTED_VALUE"""),"UPF")</f>
        <v>UPF</v>
      </c>
      <c r="C393" s="1" t="str">
        <f>IFERROR(__xludf.DUMMYFUNCTION("""COMPUTED_VALUE"""),"BTA")</f>
        <v>BTA</v>
      </c>
      <c r="D393" s="1">
        <f>IFERROR(__xludf.DUMMYFUNCTION("""COMPUTED_VALUE"""),3.0)</f>
        <v>3</v>
      </c>
    </row>
    <row r="394">
      <c r="A394" s="1" t="str">
        <f>IFERROR(__xludf.DUMMYFUNCTION("""COMPUTED_VALUE"""),"UPF-TRU")</f>
        <v>UPF-TRU</v>
      </c>
      <c r="B394" s="1" t="str">
        <f>IFERROR(__xludf.DUMMYFUNCTION("""COMPUTED_VALUE"""),"UPF")</f>
        <v>UPF</v>
      </c>
      <c r="C394" s="1" t="str">
        <f>IFERROR(__xludf.DUMMYFUNCTION("""COMPUTED_VALUE"""),"TRU")</f>
        <v>TRU</v>
      </c>
      <c r="D394" s="1">
        <f>IFERROR(__xludf.DUMMYFUNCTION("""COMPUTED_VALUE"""),8.0)</f>
        <v>8</v>
      </c>
    </row>
    <row r="395">
      <c r="A395" s="1" t="str">
        <f>IFERROR(__xludf.DUMMYFUNCTION("""COMPUTED_VALUE"""),"VRT-ADS")</f>
        <v>VRT-ADS</v>
      </c>
      <c r="B395" s="1" t="str">
        <f>IFERROR(__xludf.DUMMYFUNCTION("""COMPUTED_VALUE"""),"VRT")</f>
        <v>VRT</v>
      </c>
      <c r="C395" s="1" t="str">
        <f>IFERROR(__xludf.DUMMYFUNCTION("""COMPUTED_VALUE"""),"ADS")</f>
        <v>ADS</v>
      </c>
      <c r="D395" s="1">
        <f>IFERROR(__xludf.DUMMYFUNCTION("""COMPUTED_VALUE"""),1.0)</f>
        <v>1</v>
      </c>
    </row>
    <row r="396">
      <c r="A396" s="1" t="str">
        <f>IFERROR(__xludf.DUMMYFUNCTION("""COMPUTED_VALUE"""),"VRT-DEC")</f>
        <v>VRT-DEC</v>
      </c>
      <c r="B396" s="1" t="str">
        <f>IFERROR(__xludf.DUMMYFUNCTION("""COMPUTED_VALUE"""),"VRT")</f>
        <v>VRT</v>
      </c>
      <c r="C396" s="1" t="str">
        <f>IFERROR(__xludf.DUMMYFUNCTION("""COMPUTED_VALUE"""),"DEC")</f>
        <v>DEC</v>
      </c>
      <c r="D396" s="1">
        <f>IFERROR(__xludf.DUMMYFUNCTION("""COMPUTED_VALUE"""),20.0)</f>
        <v>20</v>
      </c>
    </row>
    <row r="397">
      <c r="A397" s="1" t="str">
        <f>IFERROR(__xludf.DUMMYFUNCTION("""COMPUTED_VALUE"""),"VRT-MCG")</f>
        <v>VRT-MCG</v>
      </c>
      <c r="B397" s="1" t="str">
        <f>IFERROR(__xludf.DUMMYFUNCTION("""COMPUTED_VALUE"""),"VRT")</f>
        <v>VRT</v>
      </c>
      <c r="C397" s="1" t="str">
        <f>IFERROR(__xludf.DUMMYFUNCTION("""COMPUTED_VALUE"""),"MCG")</f>
        <v>MCG</v>
      </c>
      <c r="D397" s="1">
        <f>IFERROR(__xludf.DUMMYFUNCTION("""COMPUTED_VALUE"""),500.0)</f>
        <v>500</v>
      </c>
    </row>
    <row r="398">
      <c r="A398" s="1" t="str">
        <f>IFERROR(__xludf.DUMMYFUNCTION("""COMPUTED_VALUE"""),"VRT-RBH")</f>
        <v>VRT-RBH</v>
      </c>
      <c r="B398" s="1" t="str">
        <f>IFERROR(__xludf.DUMMYFUNCTION("""COMPUTED_VALUE"""),"VRT")</f>
        <v>VRT</v>
      </c>
      <c r="C398" s="1" t="str">
        <f>IFERROR(__xludf.DUMMYFUNCTION("""COMPUTED_VALUE"""),"RBH")</f>
        <v>RBH</v>
      </c>
      <c r="D398" s="1">
        <f>IFERROR(__xludf.DUMMYFUNCTION("""COMPUTED_VALUE"""),24.0)</f>
        <v>24</v>
      </c>
    </row>
    <row r="399">
      <c r="A399" s="1" t="str">
        <f>IFERROR(__xludf.DUMMYFUNCTION("""COMPUTED_VALUE"""),"VRT-RDE")</f>
        <v>VRT-RDE</v>
      </c>
      <c r="B399" s="1" t="str">
        <f>IFERROR(__xludf.DUMMYFUNCTION("""COMPUTED_VALUE"""),"VRT")</f>
        <v>VRT</v>
      </c>
      <c r="C399" s="1" t="str">
        <f>IFERROR(__xludf.DUMMYFUNCTION("""COMPUTED_VALUE"""),"RDE")</f>
        <v>RDE</v>
      </c>
      <c r="D399" s="1">
        <f>IFERROR(__xludf.DUMMYFUNCTION("""COMPUTED_VALUE"""),32.0)</f>
        <v>32</v>
      </c>
    </row>
    <row r="400">
      <c r="A400" s="1" t="str">
        <f>IFERROR(__xludf.DUMMYFUNCTION("""COMPUTED_VALUE"""),"VRT-RSE")</f>
        <v>VRT-RSE</v>
      </c>
      <c r="B400" s="1" t="str">
        <f>IFERROR(__xludf.DUMMYFUNCTION("""COMPUTED_VALUE"""),"VRT")</f>
        <v>VRT</v>
      </c>
      <c r="C400" s="1" t="str">
        <f>IFERROR(__xludf.DUMMYFUNCTION("""COMPUTED_VALUE"""),"RSE")</f>
        <v>RSE</v>
      </c>
      <c r="D400" s="1">
        <f>IFERROR(__xludf.DUMMYFUNCTION("""COMPUTED_VALUE"""),32.0)</f>
        <v>32</v>
      </c>
    </row>
    <row r="401">
      <c r="A401" s="1" t="str">
        <f>IFERROR(__xludf.DUMMYFUNCTION("""COMPUTED_VALUE"""),"VRT-RTA")</f>
        <v>VRT-RTA</v>
      </c>
      <c r="B401" s="1" t="str">
        <f>IFERROR(__xludf.DUMMYFUNCTION("""COMPUTED_VALUE"""),"VRT")</f>
        <v>VRT</v>
      </c>
      <c r="C401" s="1" t="str">
        <f>IFERROR(__xludf.DUMMYFUNCTION("""COMPUTED_VALUE"""),"RTA")</f>
        <v>RTA</v>
      </c>
      <c r="D401" s="1">
        <f>IFERROR(__xludf.DUMMYFUNCTION("""COMPUTED_VALUE"""),12.0)</f>
        <v>12</v>
      </c>
    </row>
    <row r="402">
      <c r="A402" s="1" t="str">
        <f>IFERROR(__xludf.DUMMYFUNCTION("""COMPUTED_VALUE"""),"VRT-TRU")</f>
        <v>VRT-TRU</v>
      </c>
      <c r="B402" s="1" t="str">
        <f>IFERROR(__xludf.DUMMYFUNCTION("""COMPUTED_VALUE"""),"VRT")</f>
        <v>VRT</v>
      </c>
      <c r="C402" s="1" t="str">
        <f>IFERROR(__xludf.DUMMYFUNCTION("""COMPUTED_VALUE"""),"TRU")</f>
        <v>TRU</v>
      </c>
      <c r="D402" s="1">
        <f>IFERROR(__xludf.DUMMYFUNCTION("""COMPUTED_VALUE"""),30.0)</f>
        <v>30</v>
      </c>
    </row>
    <row r="403">
      <c r="A403" s="1" t="str">
        <f>IFERROR(__xludf.DUMMYFUNCTION("""COMPUTED_VALUE"""),"WCE-DEC")</f>
        <v>WCE-DEC</v>
      </c>
      <c r="B403" s="1" t="str">
        <f>IFERROR(__xludf.DUMMYFUNCTION("""COMPUTED_VALUE"""),"WCE")</f>
        <v>WCE</v>
      </c>
      <c r="C403" s="1" t="str">
        <f>IFERROR(__xludf.DUMMYFUNCTION("""COMPUTED_VALUE"""),"DEC")</f>
        <v>DEC</v>
      </c>
      <c r="D403" s="1">
        <f>IFERROR(__xludf.DUMMYFUNCTION("""COMPUTED_VALUE"""),40.0)</f>
        <v>40</v>
      </c>
    </row>
    <row r="404">
      <c r="A404" s="1" t="str">
        <f>IFERROR(__xludf.DUMMYFUNCTION("""COMPUTED_VALUE"""),"WCE-FLO")</f>
        <v>WCE-FLO</v>
      </c>
      <c r="B404" s="1" t="str">
        <f>IFERROR(__xludf.DUMMYFUNCTION("""COMPUTED_VALUE"""),"WCE")</f>
        <v>WCE</v>
      </c>
      <c r="C404" s="1" t="str">
        <f>IFERROR(__xludf.DUMMYFUNCTION("""COMPUTED_VALUE"""),"FLO")</f>
        <v>FLO</v>
      </c>
      <c r="D404" s="1">
        <f>IFERROR(__xludf.DUMMYFUNCTION("""COMPUTED_VALUE"""),12.0)</f>
        <v>12</v>
      </c>
    </row>
    <row r="405">
      <c r="A405" s="1" t="str">
        <f>IFERROR(__xludf.DUMMYFUNCTION("""COMPUTED_VALUE"""),"WCE-LBH")</f>
        <v>WCE-LBH</v>
      </c>
      <c r="B405" s="1" t="str">
        <f>IFERROR(__xludf.DUMMYFUNCTION("""COMPUTED_VALUE"""),"WCE")</f>
        <v>WCE</v>
      </c>
      <c r="C405" s="1" t="str">
        <f>IFERROR(__xludf.DUMMYFUNCTION("""COMPUTED_VALUE"""),"LBH")</f>
        <v>LBH</v>
      </c>
      <c r="D405" s="1">
        <f>IFERROR(__xludf.DUMMYFUNCTION("""COMPUTED_VALUE"""),36.0)</f>
        <v>36</v>
      </c>
    </row>
    <row r="406">
      <c r="A406" s="1" t="str">
        <f>IFERROR(__xludf.DUMMYFUNCTION("""COMPUTED_VALUE"""),"WCE-LDE")</f>
        <v>WCE-LDE</v>
      </c>
      <c r="B406" s="1" t="str">
        <f>IFERROR(__xludf.DUMMYFUNCTION("""COMPUTED_VALUE"""),"WCE")</f>
        <v>WCE</v>
      </c>
      <c r="C406" s="1" t="str">
        <f>IFERROR(__xludf.DUMMYFUNCTION("""COMPUTED_VALUE"""),"LDE")</f>
        <v>LDE</v>
      </c>
      <c r="D406" s="1">
        <f>IFERROR(__xludf.DUMMYFUNCTION("""COMPUTED_VALUE"""),36.0)</f>
        <v>36</v>
      </c>
    </row>
    <row r="407">
      <c r="A407" s="1" t="str">
        <f>IFERROR(__xludf.DUMMYFUNCTION("""COMPUTED_VALUE"""),"WCE-LSE")</f>
        <v>WCE-LSE</v>
      </c>
      <c r="B407" s="1" t="str">
        <f>IFERROR(__xludf.DUMMYFUNCTION("""COMPUTED_VALUE"""),"WCE")</f>
        <v>WCE</v>
      </c>
      <c r="C407" s="1" t="str">
        <f>IFERROR(__xludf.DUMMYFUNCTION("""COMPUTED_VALUE"""),"LSE")</f>
        <v>LSE</v>
      </c>
      <c r="D407" s="1">
        <f>IFERROR(__xludf.DUMMYFUNCTION("""COMPUTED_VALUE"""),32.0)</f>
        <v>32</v>
      </c>
    </row>
    <row r="408">
      <c r="A408" s="1" t="str">
        <f>IFERROR(__xludf.DUMMYFUNCTION("""COMPUTED_VALUE"""),"WCE-LTA")</f>
        <v>WCE-LTA</v>
      </c>
      <c r="B408" s="1" t="str">
        <f>IFERROR(__xludf.DUMMYFUNCTION("""COMPUTED_VALUE"""),"WCE")</f>
        <v>WCE</v>
      </c>
      <c r="C408" s="1" t="str">
        <f>IFERROR(__xludf.DUMMYFUNCTION("""COMPUTED_VALUE"""),"LTA")</f>
        <v>LTA</v>
      </c>
      <c r="D408" s="1">
        <f>IFERROR(__xludf.DUMMYFUNCTION("""COMPUTED_VALUE"""),24.0)</f>
        <v>24</v>
      </c>
    </row>
    <row r="409">
      <c r="A409" s="1" t="str">
        <f>IFERROR(__xludf.DUMMYFUNCTION("""COMPUTED_VALUE"""),"WCE-MCG")</f>
        <v>WCE-MCG</v>
      </c>
      <c r="B409" s="1" t="str">
        <f>IFERROR(__xludf.DUMMYFUNCTION("""COMPUTED_VALUE"""),"WCE")</f>
        <v>WCE</v>
      </c>
      <c r="C409" s="1" t="str">
        <f>IFERROR(__xludf.DUMMYFUNCTION("""COMPUTED_VALUE"""),"MCG")</f>
        <v>MCG</v>
      </c>
      <c r="D409" s="1">
        <f>IFERROR(__xludf.DUMMYFUNCTION("""COMPUTED_VALUE"""),500.0)</f>
        <v>500</v>
      </c>
    </row>
    <row r="410">
      <c r="A410" s="1" t="str">
        <f>IFERROR(__xludf.DUMMYFUNCTION("""COMPUTED_VALUE"""),"WCE-TRU")</f>
        <v>WCE-TRU</v>
      </c>
      <c r="B410" s="1" t="str">
        <f>IFERROR(__xludf.DUMMYFUNCTION("""COMPUTED_VALUE"""),"WCE")</f>
        <v>WCE</v>
      </c>
      <c r="C410" s="1" t="str">
        <f>IFERROR(__xludf.DUMMYFUNCTION("""COMPUTED_VALUE"""),"TRU")</f>
        <v>TRU</v>
      </c>
      <c r="D410" s="1">
        <f>IFERROR(__xludf.DUMMYFUNCTION("""COMPUTED_VALUE"""),16.0)</f>
        <v>16</v>
      </c>
    </row>
    <row r="411">
      <c r="A411" s="1" t="str">
        <f>IFERROR(__xludf.DUMMYFUNCTION("""COMPUTED_VALUE"""),"WEL-BBH")</f>
        <v>WEL-BBH</v>
      </c>
      <c r="B411" s="1" t="str">
        <f>IFERROR(__xludf.DUMMYFUNCTION("""COMPUTED_VALUE"""),"WEL")</f>
        <v>WEL</v>
      </c>
      <c r="C411" s="1" t="str">
        <f>IFERROR(__xludf.DUMMYFUNCTION("""COMPUTED_VALUE"""),"BBH")</f>
        <v>BBH</v>
      </c>
      <c r="D411" s="1">
        <f>IFERROR(__xludf.DUMMYFUNCTION("""COMPUTED_VALUE"""),8.0)</f>
        <v>8</v>
      </c>
    </row>
    <row r="412">
      <c r="A412" s="1" t="str">
        <f>IFERROR(__xludf.DUMMYFUNCTION("""COMPUTED_VALUE"""),"WEL-BSE")</f>
        <v>WEL-BSE</v>
      </c>
      <c r="B412" s="1" t="str">
        <f>IFERROR(__xludf.DUMMYFUNCTION("""COMPUTED_VALUE"""),"WEL")</f>
        <v>WEL</v>
      </c>
      <c r="C412" s="1" t="str">
        <f>IFERROR(__xludf.DUMMYFUNCTION("""COMPUTED_VALUE"""),"BSE")</f>
        <v>BSE</v>
      </c>
      <c r="D412" s="1">
        <f>IFERROR(__xludf.DUMMYFUNCTION("""COMPUTED_VALUE"""),6.0)</f>
        <v>6</v>
      </c>
    </row>
    <row r="413">
      <c r="A413" s="1" t="str">
        <f>IFERROR(__xludf.DUMMYFUNCTION("""COMPUTED_VALUE"""),"WPL-BDE")</f>
        <v>WPL-BDE</v>
      </c>
      <c r="B413" s="1" t="str">
        <f>IFERROR(__xludf.DUMMYFUNCTION("""COMPUTED_VALUE"""),"WPL")</f>
        <v>WPL</v>
      </c>
      <c r="C413" s="1" t="str">
        <f>IFERROR(__xludf.DUMMYFUNCTION("""COMPUTED_VALUE"""),"BDE")</f>
        <v>BDE</v>
      </c>
      <c r="D413" s="1">
        <f>IFERROR(__xludf.DUMMYFUNCTION("""COMPUTED_VALUE"""),2.0)</f>
        <v>2</v>
      </c>
    </row>
    <row r="414">
      <c r="A414" s="1" t="str">
        <f>IFERROR(__xludf.DUMMYFUNCTION("""COMPUTED_VALUE"""),"WPL-LBH")</f>
        <v>WPL-LBH</v>
      </c>
      <c r="B414" s="1" t="str">
        <f>IFERROR(__xludf.DUMMYFUNCTION("""COMPUTED_VALUE"""),"WPL")</f>
        <v>WPL</v>
      </c>
      <c r="C414" s="1" t="str">
        <f>IFERROR(__xludf.DUMMYFUNCTION("""COMPUTED_VALUE"""),"LBH")</f>
        <v>LBH</v>
      </c>
      <c r="D414" s="1">
        <f>IFERROR(__xludf.DUMMYFUNCTION("""COMPUTED_VALUE"""),6.0)</f>
        <v>6</v>
      </c>
    </row>
    <row r="415">
      <c r="A415" s="1" t="str">
        <f>IFERROR(__xludf.DUMMYFUNCTION("""COMPUTED_VALUE"""),"WPL-LSE")</f>
        <v>WPL-LSE</v>
      </c>
      <c r="B415" s="1" t="str">
        <f>IFERROR(__xludf.DUMMYFUNCTION("""COMPUTED_VALUE"""),"WPL")</f>
        <v>WPL</v>
      </c>
      <c r="C415" s="1" t="str">
        <f>IFERROR(__xludf.DUMMYFUNCTION("""COMPUTED_VALUE"""),"LSE")</f>
        <v>LSE</v>
      </c>
      <c r="D415" s="1">
        <f>IFERROR(__xludf.DUMMYFUNCTION("""COMPUTED_VALUE"""),3.0)</f>
        <v>3</v>
      </c>
    </row>
    <row r="416">
      <c r="A416" s="1" t="str">
        <f>IFERROR(__xludf.DUMMYFUNCTION("""COMPUTED_VALUE"""),"WPL-TRU")</f>
        <v>WPL-TRU</v>
      </c>
      <c r="B416" s="1" t="str">
        <f>IFERROR(__xludf.DUMMYFUNCTION("""COMPUTED_VALUE"""),"WPL")</f>
        <v>WPL</v>
      </c>
      <c r="C416" s="1" t="str">
        <f>IFERROR(__xludf.DUMMYFUNCTION("""COMPUTED_VALUE"""),"TRU")</f>
        <v>TRU</v>
      </c>
      <c r="D416" s="1">
        <f>IFERROR(__xludf.DUMMYFUNCTION("""COMPUTED_VALUE"""),6.0)</f>
        <v>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IFERROR(__xludf.DUMMYFUNCTION("IMPORTDATA(""https://rest.fnar.net/csv/prices"")"),"Ticker")</f>
        <v>Ticker</v>
      </c>
      <c r="B1" s="1" t="str">
        <f>IFERROR(__xludf.DUMMYFUNCTION("""COMPUTED_VALUE"""),"MMBuy")</f>
        <v>MMBuy</v>
      </c>
      <c r="C1" s="1" t="str">
        <f>IFERROR(__xludf.DUMMYFUNCTION("""COMPUTED_VALUE"""),"MMSell")</f>
        <v>MMSell</v>
      </c>
      <c r="D1" s="1" t="str">
        <f>IFERROR(__xludf.DUMMYFUNCTION("""COMPUTED_VALUE"""),"AI1-Average")</f>
        <v>AI1-Average</v>
      </c>
      <c r="E1" s="1" t="str">
        <f>IFERROR(__xludf.DUMMYFUNCTION("""COMPUTED_VALUE"""),"AI1-AskAmt")</f>
        <v>AI1-AskAmt</v>
      </c>
      <c r="F1" s="1" t="str">
        <f>IFERROR(__xludf.DUMMYFUNCTION("""COMPUTED_VALUE"""),"AI1-AskPrice")</f>
        <v>AI1-AskPrice</v>
      </c>
      <c r="G1" s="1" t="str">
        <f>IFERROR(__xludf.DUMMYFUNCTION("""COMPUTED_VALUE"""),"AI1-AskAvail")</f>
        <v>AI1-AskAvail</v>
      </c>
      <c r="H1" s="1" t="str">
        <f>IFERROR(__xludf.DUMMYFUNCTION("""COMPUTED_VALUE"""),"AI1-BidAmt")</f>
        <v>AI1-BidAmt</v>
      </c>
      <c r="I1" s="1" t="str">
        <f>IFERROR(__xludf.DUMMYFUNCTION("""COMPUTED_VALUE"""),"AI1-BidPrice")</f>
        <v>AI1-BidPrice</v>
      </c>
      <c r="J1" s="1" t="str">
        <f>IFERROR(__xludf.DUMMYFUNCTION("""COMPUTED_VALUE"""),"AI1-BidAvail")</f>
        <v>AI1-BidAvail</v>
      </c>
      <c r="K1" s="1" t="str">
        <f>IFERROR(__xludf.DUMMYFUNCTION("""COMPUTED_VALUE"""),"CI1-Average")</f>
        <v>CI1-Average</v>
      </c>
      <c r="L1" s="1" t="str">
        <f>IFERROR(__xludf.DUMMYFUNCTION("""COMPUTED_VALUE"""),"CI1-AskAmt")</f>
        <v>CI1-AskAmt</v>
      </c>
      <c r="M1" s="1" t="str">
        <f>IFERROR(__xludf.DUMMYFUNCTION("""COMPUTED_VALUE"""),"CI1-AskPrice")</f>
        <v>CI1-AskPrice</v>
      </c>
      <c r="N1" s="1" t="str">
        <f>IFERROR(__xludf.DUMMYFUNCTION("""COMPUTED_VALUE"""),"CI1-AskAvail")</f>
        <v>CI1-AskAvail</v>
      </c>
      <c r="O1" s="1" t="str">
        <f>IFERROR(__xludf.DUMMYFUNCTION("""COMPUTED_VALUE"""),"CI1-BidAmt")</f>
        <v>CI1-BidAmt</v>
      </c>
      <c r="P1" s="1" t="str">
        <f>IFERROR(__xludf.DUMMYFUNCTION("""COMPUTED_VALUE"""),"CI1-BidPrice")</f>
        <v>CI1-BidPrice</v>
      </c>
      <c r="Q1" s="1" t="str">
        <f>IFERROR(__xludf.DUMMYFUNCTION("""COMPUTED_VALUE"""),"CI1-BidAvail")</f>
        <v>CI1-BidAvail</v>
      </c>
      <c r="R1" s="1" t="str">
        <f>IFERROR(__xludf.DUMMYFUNCTION("""COMPUTED_VALUE"""),"CI2-Average")</f>
        <v>CI2-Average</v>
      </c>
      <c r="S1" s="1" t="str">
        <f>IFERROR(__xludf.DUMMYFUNCTION("""COMPUTED_VALUE"""),"CI2-AskAmt")</f>
        <v>CI2-AskAmt</v>
      </c>
      <c r="T1" s="1" t="str">
        <f>IFERROR(__xludf.DUMMYFUNCTION("""COMPUTED_VALUE"""),"CI2-AskPrice")</f>
        <v>CI2-AskPrice</v>
      </c>
      <c r="U1" s="1" t="str">
        <f>IFERROR(__xludf.DUMMYFUNCTION("""COMPUTED_VALUE"""),"CI2-AskAvail")</f>
        <v>CI2-AskAvail</v>
      </c>
      <c r="V1" s="1" t="str">
        <f>IFERROR(__xludf.DUMMYFUNCTION("""COMPUTED_VALUE"""),"CI2-BidAmt")</f>
        <v>CI2-BidAmt</v>
      </c>
      <c r="W1" s="1" t="str">
        <f>IFERROR(__xludf.DUMMYFUNCTION("""COMPUTED_VALUE"""),"CI2-BidPrice")</f>
        <v>CI2-BidPrice</v>
      </c>
      <c r="X1" s="1" t="str">
        <f>IFERROR(__xludf.DUMMYFUNCTION("""COMPUTED_VALUE"""),"CI2-BidAvail")</f>
        <v>CI2-BidAvail</v>
      </c>
      <c r="Y1" s="1" t="str">
        <f>IFERROR(__xludf.DUMMYFUNCTION("""COMPUTED_VALUE"""),"NC1-Average")</f>
        <v>NC1-Average</v>
      </c>
      <c r="Z1" s="1" t="str">
        <f>IFERROR(__xludf.DUMMYFUNCTION("""COMPUTED_VALUE"""),"NC1-AskAmt")</f>
        <v>NC1-AskAmt</v>
      </c>
      <c r="AA1" s="1" t="str">
        <f>IFERROR(__xludf.DUMMYFUNCTION("""COMPUTED_VALUE"""),"NC1-AskPrice")</f>
        <v>NC1-AskPrice</v>
      </c>
      <c r="AB1" s="1" t="str">
        <f>IFERROR(__xludf.DUMMYFUNCTION("""COMPUTED_VALUE"""),"NC1-AskAvail")</f>
        <v>NC1-AskAvail</v>
      </c>
      <c r="AC1" s="1" t="str">
        <f>IFERROR(__xludf.DUMMYFUNCTION("""COMPUTED_VALUE"""),"NC1-BidAmt")</f>
        <v>NC1-BidAmt</v>
      </c>
      <c r="AD1" s="1" t="str">
        <f>IFERROR(__xludf.DUMMYFUNCTION("""COMPUTED_VALUE"""),"NC1-BidPrice")</f>
        <v>NC1-BidPrice</v>
      </c>
      <c r="AE1" s="1" t="str">
        <f>IFERROR(__xludf.DUMMYFUNCTION("""COMPUTED_VALUE"""),"NC1-BidAvail")</f>
        <v>NC1-BidAvail</v>
      </c>
      <c r="AF1" s="1" t="str">
        <f>IFERROR(__xludf.DUMMYFUNCTION("""COMPUTED_VALUE"""),"NC2-Average")</f>
        <v>NC2-Average</v>
      </c>
      <c r="AG1" s="1" t="str">
        <f>IFERROR(__xludf.DUMMYFUNCTION("""COMPUTED_VALUE"""),"NC2-AskAmt")</f>
        <v>NC2-AskAmt</v>
      </c>
      <c r="AH1" s="1" t="str">
        <f>IFERROR(__xludf.DUMMYFUNCTION("""COMPUTED_VALUE"""),"NC2-AskPrice")</f>
        <v>NC2-AskPrice</v>
      </c>
      <c r="AI1" s="1" t="str">
        <f>IFERROR(__xludf.DUMMYFUNCTION("""COMPUTED_VALUE"""),"NC2-AskAvail")</f>
        <v>NC2-AskAvail</v>
      </c>
      <c r="AJ1" s="1" t="str">
        <f>IFERROR(__xludf.DUMMYFUNCTION("""COMPUTED_VALUE"""),"NC2-BidAmt")</f>
        <v>NC2-BidAmt</v>
      </c>
      <c r="AK1" s="1" t="str">
        <f>IFERROR(__xludf.DUMMYFUNCTION("""COMPUTED_VALUE"""),"NC2-BidPrice")</f>
        <v>NC2-BidPrice</v>
      </c>
      <c r="AL1" s="1" t="str">
        <f>IFERROR(__xludf.DUMMYFUNCTION("""COMPUTED_VALUE"""),"NC2-BidAvail")</f>
        <v>NC2-BidAvail</v>
      </c>
      <c r="AM1" s="1" t="str">
        <f>IFERROR(__xludf.DUMMYFUNCTION("""COMPUTED_VALUE"""),"IC1-Average")</f>
        <v>IC1-Average</v>
      </c>
      <c r="AN1" s="1" t="str">
        <f>IFERROR(__xludf.DUMMYFUNCTION("""COMPUTED_VALUE"""),"IC1-AskAmt")</f>
        <v>IC1-AskAmt</v>
      </c>
      <c r="AO1" s="1" t="str">
        <f>IFERROR(__xludf.DUMMYFUNCTION("""COMPUTED_VALUE"""),"IC1-AskPrice")</f>
        <v>IC1-AskPrice</v>
      </c>
      <c r="AP1" s="1" t="str">
        <f>IFERROR(__xludf.DUMMYFUNCTION("""COMPUTED_VALUE"""),"IC1-AskAvail")</f>
        <v>IC1-AskAvail</v>
      </c>
      <c r="AQ1" s="1" t="str">
        <f>IFERROR(__xludf.DUMMYFUNCTION("""COMPUTED_VALUE"""),"IC1-BidAmt")</f>
        <v>IC1-BidAmt</v>
      </c>
      <c r="AR1" s="1" t="str">
        <f>IFERROR(__xludf.DUMMYFUNCTION("""COMPUTED_VALUE"""),"IC1-BidPrice")</f>
        <v>IC1-BidPrice</v>
      </c>
      <c r="AS1" s="1" t="str">
        <f>IFERROR(__xludf.DUMMYFUNCTION("""COMPUTED_VALUE"""),"IC1-BidAvail")</f>
        <v>IC1-BidAvail</v>
      </c>
    </row>
    <row r="2">
      <c r="A2" s="1" t="str">
        <f>IFERROR(__xludf.DUMMYFUNCTION("""COMPUTED_VALUE"""),"AAR")</f>
        <v>AAR</v>
      </c>
      <c r="B2" s="1"/>
      <c r="C2" s="1"/>
      <c r="D2" s="1">
        <f>IFERROR(__xludf.DUMMYFUNCTION("""COMPUTED_VALUE"""),16000.0)</f>
        <v>16000</v>
      </c>
      <c r="E2" s="1">
        <f>IFERROR(__xludf.DUMMYFUNCTION("""COMPUTED_VALUE"""),119.0)</f>
        <v>119</v>
      </c>
      <c r="F2" s="1">
        <f>IFERROR(__xludf.DUMMYFUNCTION("""COMPUTED_VALUE"""),16000.0)</f>
        <v>16000</v>
      </c>
      <c r="G2" s="1">
        <f>IFERROR(__xludf.DUMMYFUNCTION("""COMPUTED_VALUE"""),1082.0)</f>
        <v>1082</v>
      </c>
      <c r="H2" s="1">
        <f>IFERROR(__xludf.DUMMYFUNCTION("""COMPUTED_VALUE"""),7.0)</f>
        <v>7</v>
      </c>
      <c r="I2" s="1">
        <f>IFERROR(__xludf.DUMMYFUNCTION("""COMPUTED_VALUE"""),15100.0)</f>
        <v>15100</v>
      </c>
      <c r="J2" s="1">
        <f>IFERROR(__xludf.DUMMYFUNCTION("""COMPUTED_VALUE"""),159.0)</f>
        <v>159</v>
      </c>
      <c r="K2" s="1">
        <f>IFERROR(__xludf.DUMMYFUNCTION("""COMPUTED_VALUE"""),15000.0)</f>
        <v>15000</v>
      </c>
      <c r="L2" s="1">
        <f>IFERROR(__xludf.DUMMYFUNCTION("""COMPUTED_VALUE"""),279.0)</f>
        <v>279</v>
      </c>
      <c r="M2" s="1">
        <f>IFERROR(__xludf.DUMMYFUNCTION("""COMPUTED_VALUE"""),15000.0)</f>
        <v>15000</v>
      </c>
      <c r="N2" s="1">
        <f>IFERROR(__xludf.DUMMYFUNCTION("""COMPUTED_VALUE"""),292.0)</f>
        <v>292</v>
      </c>
      <c r="O2" s="1">
        <f>IFERROR(__xludf.DUMMYFUNCTION("""COMPUTED_VALUE"""),200.0)</f>
        <v>200</v>
      </c>
      <c r="P2" s="1">
        <f>IFERROR(__xludf.DUMMYFUNCTION("""COMPUTED_VALUE"""),14100.0)</f>
        <v>14100</v>
      </c>
      <c r="Q2" s="1">
        <f>IFERROR(__xludf.DUMMYFUNCTION("""COMPUTED_VALUE"""),300.0)</f>
        <v>300</v>
      </c>
      <c r="R2" s="1">
        <f>IFERROR(__xludf.DUMMYFUNCTION("""COMPUTED_VALUE"""),20000.0)</f>
        <v>20000</v>
      </c>
      <c r="S2" s="1"/>
      <c r="T2" s="1"/>
      <c r="U2" s="1">
        <f>IFERROR(__xludf.DUMMYFUNCTION("""COMPUTED_VALUE"""),0.0)</f>
        <v>0</v>
      </c>
      <c r="V2" s="1"/>
      <c r="W2" s="1"/>
      <c r="X2" s="1">
        <f>IFERROR(__xludf.DUMMYFUNCTION("""COMPUTED_VALUE"""),0.0)</f>
        <v>0</v>
      </c>
      <c r="Y2" s="1">
        <f>IFERROR(__xludf.DUMMYFUNCTION("""COMPUTED_VALUE"""),15900.0)</f>
        <v>15900</v>
      </c>
      <c r="Z2" s="1">
        <f>IFERROR(__xludf.DUMMYFUNCTION("""COMPUTED_VALUE"""),19.0)</f>
        <v>19</v>
      </c>
      <c r="AA2" s="1">
        <f>IFERROR(__xludf.DUMMYFUNCTION("""COMPUTED_VALUE"""),15900.0)</f>
        <v>15900</v>
      </c>
      <c r="AB2" s="1">
        <f>IFERROR(__xludf.DUMMYFUNCTION("""COMPUTED_VALUE"""),1460.0)</f>
        <v>1460</v>
      </c>
      <c r="AC2" s="1">
        <f>IFERROR(__xludf.DUMMYFUNCTION("""COMPUTED_VALUE"""),21.0)</f>
        <v>21</v>
      </c>
      <c r="AD2" s="1">
        <f>IFERROR(__xludf.DUMMYFUNCTION("""COMPUTED_VALUE"""),14300.0)</f>
        <v>14300</v>
      </c>
      <c r="AE2" s="1">
        <f>IFERROR(__xludf.DUMMYFUNCTION("""COMPUTED_VALUE"""),148.0)</f>
        <v>148</v>
      </c>
      <c r="AF2" s="1">
        <f>IFERROR(__xludf.DUMMYFUNCTION("""COMPUTED_VALUE"""),6765.330078125)</f>
        <v>6765.330078</v>
      </c>
      <c r="AG2" s="1">
        <f>IFERROR(__xludf.DUMMYFUNCTION("""COMPUTED_VALUE"""),3.0)</f>
        <v>3</v>
      </c>
      <c r="AH2" s="1">
        <f>IFERROR(__xludf.DUMMYFUNCTION("""COMPUTED_VALUE"""),16200.0)</f>
        <v>16200</v>
      </c>
      <c r="AI2" s="1">
        <f>IFERROR(__xludf.DUMMYFUNCTION("""COMPUTED_VALUE"""),3.0)</f>
        <v>3</v>
      </c>
      <c r="AJ2" s="1"/>
      <c r="AK2" s="1"/>
      <c r="AL2" s="1">
        <f>IFERROR(__xludf.DUMMYFUNCTION("""COMPUTED_VALUE"""),0.0)</f>
        <v>0</v>
      </c>
      <c r="AM2" s="1">
        <f>IFERROR(__xludf.DUMMYFUNCTION("""COMPUTED_VALUE"""),14800.0)</f>
        <v>14800</v>
      </c>
      <c r="AN2" s="1">
        <f>IFERROR(__xludf.DUMMYFUNCTION("""COMPUTED_VALUE"""),19.0)</f>
        <v>19</v>
      </c>
      <c r="AO2" s="1">
        <f>IFERROR(__xludf.DUMMYFUNCTION("""COMPUTED_VALUE"""),14800.0)</f>
        <v>14800</v>
      </c>
      <c r="AP2" s="1">
        <f>IFERROR(__xludf.DUMMYFUNCTION("""COMPUTED_VALUE"""),19.0)</f>
        <v>19</v>
      </c>
      <c r="AQ2" s="1">
        <f>IFERROR(__xludf.DUMMYFUNCTION("""COMPUTED_VALUE"""),200.0)</f>
        <v>200</v>
      </c>
      <c r="AR2" s="1">
        <f>IFERROR(__xludf.DUMMYFUNCTION("""COMPUTED_VALUE"""),14100.0)</f>
        <v>14100</v>
      </c>
      <c r="AS2" s="1">
        <f>IFERROR(__xludf.DUMMYFUNCTION("""COMPUTED_VALUE"""),300.0)</f>
        <v>300</v>
      </c>
    </row>
    <row r="3">
      <c r="A3" s="1" t="str">
        <f>IFERROR(__xludf.DUMMYFUNCTION("""COMPUTED_VALUE"""),"ABH")</f>
        <v>ABH</v>
      </c>
      <c r="B3" s="1"/>
      <c r="C3" s="1"/>
      <c r="D3" s="1">
        <f>IFERROR(__xludf.DUMMYFUNCTION("""COMPUTED_VALUE"""),47200.0)</f>
        <v>47200</v>
      </c>
      <c r="E3" s="1">
        <f>IFERROR(__xludf.DUMMYFUNCTION("""COMPUTED_VALUE"""),10.0)</f>
        <v>10</v>
      </c>
      <c r="F3" s="1">
        <f>IFERROR(__xludf.DUMMYFUNCTION("""COMPUTED_VALUE"""),58000.0)</f>
        <v>58000</v>
      </c>
      <c r="G3" s="1">
        <f>IFERROR(__xludf.DUMMYFUNCTION("""COMPUTED_VALUE"""),526.0)</f>
        <v>526</v>
      </c>
      <c r="H3" s="1">
        <f>IFERROR(__xludf.DUMMYFUNCTION("""COMPUTED_VALUE"""),20.0)</f>
        <v>20</v>
      </c>
      <c r="I3" s="1">
        <f>IFERROR(__xludf.DUMMYFUNCTION("""COMPUTED_VALUE"""),47200.0)</f>
        <v>47200</v>
      </c>
      <c r="J3" s="1">
        <f>IFERROR(__xludf.DUMMYFUNCTION("""COMPUTED_VALUE"""),1155.0)</f>
        <v>1155</v>
      </c>
      <c r="K3" s="1">
        <f>IFERROR(__xludf.DUMMYFUNCTION("""COMPUTED_VALUE"""),47800.0)</f>
        <v>47800</v>
      </c>
      <c r="L3" s="1">
        <f>IFERROR(__xludf.DUMMYFUNCTION("""COMPUTED_VALUE"""),72.0)</f>
        <v>72</v>
      </c>
      <c r="M3" s="1">
        <f>IFERROR(__xludf.DUMMYFUNCTION("""COMPUTED_VALUE"""),48700.0)</f>
        <v>48700</v>
      </c>
      <c r="N3" s="1">
        <f>IFERROR(__xludf.DUMMYFUNCTION("""COMPUTED_VALUE"""),336.0)</f>
        <v>336</v>
      </c>
      <c r="O3" s="1">
        <f>IFERROR(__xludf.DUMMYFUNCTION("""COMPUTED_VALUE"""),174.0)</f>
        <v>174</v>
      </c>
      <c r="P3" s="1">
        <f>IFERROR(__xludf.DUMMYFUNCTION("""COMPUTED_VALUE"""),47800.0)</f>
        <v>47800</v>
      </c>
      <c r="Q3" s="1">
        <f>IFERROR(__xludf.DUMMYFUNCTION("""COMPUTED_VALUE"""),719.0)</f>
        <v>719</v>
      </c>
      <c r="R3" s="1">
        <f>IFERROR(__xludf.DUMMYFUNCTION("""COMPUTED_VALUE"""),46000.0)</f>
        <v>46000</v>
      </c>
      <c r="S3" s="1"/>
      <c r="T3" s="1"/>
      <c r="U3" s="1">
        <f>IFERROR(__xludf.DUMMYFUNCTION("""COMPUTED_VALUE"""),0.0)</f>
        <v>0</v>
      </c>
      <c r="V3" s="1"/>
      <c r="W3" s="1"/>
      <c r="X3" s="1">
        <f>IFERROR(__xludf.DUMMYFUNCTION("""COMPUTED_VALUE"""),0.0)</f>
        <v>0</v>
      </c>
      <c r="Y3" s="1">
        <f>IFERROR(__xludf.DUMMYFUNCTION("""COMPUTED_VALUE"""),46100.0)</f>
        <v>46100</v>
      </c>
      <c r="Z3" s="1">
        <f>IFERROR(__xludf.DUMMYFUNCTION("""COMPUTED_VALUE"""),28.0)</f>
        <v>28</v>
      </c>
      <c r="AA3" s="1">
        <f>IFERROR(__xludf.DUMMYFUNCTION("""COMPUTED_VALUE"""),51000.0)</f>
        <v>51000</v>
      </c>
      <c r="AB3" s="1">
        <f>IFERROR(__xludf.DUMMYFUNCTION("""COMPUTED_VALUE"""),896.0)</f>
        <v>896</v>
      </c>
      <c r="AC3" s="1">
        <f>IFERROR(__xludf.DUMMYFUNCTION("""COMPUTED_VALUE"""),8.0)</f>
        <v>8</v>
      </c>
      <c r="AD3" s="1">
        <f>IFERROR(__xludf.DUMMYFUNCTION("""COMPUTED_VALUE"""),46100.0)</f>
        <v>46100</v>
      </c>
      <c r="AE3" s="1">
        <f>IFERROR(__xludf.DUMMYFUNCTION("""COMPUTED_VALUE"""),1148.0)</f>
        <v>1148</v>
      </c>
      <c r="AF3" s="1">
        <f>IFERROR(__xludf.DUMMYFUNCTION("""COMPUTED_VALUE"""),24074.48046875)</f>
        <v>24074.48047</v>
      </c>
      <c r="AG3" s="1">
        <f>IFERROR(__xludf.DUMMYFUNCTION("""COMPUTED_VALUE"""),5.0)</f>
        <v>5</v>
      </c>
      <c r="AH3" s="1">
        <f>IFERROR(__xludf.DUMMYFUNCTION("""COMPUTED_VALUE"""),60000.0)</f>
        <v>60000</v>
      </c>
      <c r="AI3" s="1">
        <f>IFERROR(__xludf.DUMMYFUNCTION("""COMPUTED_VALUE"""),5.0)</f>
        <v>5</v>
      </c>
      <c r="AJ3" s="1"/>
      <c r="AK3" s="1"/>
      <c r="AL3" s="1">
        <f>IFERROR(__xludf.DUMMYFUNCTION("""COMPUTED_VALUE"""),0.0)</f>
        <v>0</v>
      </c>
      <c r="AM3" s="1">
        <f>IFERROR(__xludf.DUMMYFUNCTION("""COMPUTED_VALUE"""),59797.73828125)</f>
        <v>59797.73828</v>
      </c>
      <c r="AN3" s="1"/>
      <c r="AO3" s="1"/>
      <c r="AP3" s="1">
        <f>IFERROR(__xludf.DUMMYFUNCTION("""COMPUTED_VALUE"""),0.0)</f>
        <v>0</v>
      </c>
      <c r="AQ3" s="1">
        <f>IFERROR(__xludf.DUMMYFUNCTION("""COMPUTED_VALUE"""),86.0)</f>
        <v>86</v>
      </c>
      <c r="AR3" s="1">
        <f>IFERROR(__xludf.DUMMYFUNCTION("""COMPUTED_VALUE"""),42300.0)</f>
        <v>42300</v>
      </c>
      <c r="AS3" s="1">
        <f>IFERROR(__xludf.DUMMYFUNCTION("""COMPUTED_VALUE"""),423.0)</f>
        <v>423</v>
      </c>
    </row>
    <row r="4">
      <c r="A4" s="1" t="str">
        <f>IFERROR(__xludf.DUMMYFUNCTION("""COMPUTED_VALUE"""),"ACS")</f>
        <v>ACS</v>
      </c>
      <c r="B4" s="1"/>
      <c r="C4" s="1"/>
      <c r="D4" s="1">
        <f>IFERROR(__xludf.DUMMYFUNCTION("""COMPUTED_VALUE"""),175000.0)</f>
        <v>175000</v>
      </c>
      <c r="E4" s="1">
        <f>IFERROR(__xludf.DUMMYFUNCTION("""COMPUTED_VALUE"""),7.0)</f>
        <v>7</v>
      </c>
      <c r="F4" s="1">
        <f>IFERROR(__xludf.DUMMYFUNCTION("""COMPUTED_VALUE"""),170000.0)</f>
        <v>170000</v>
      </c>
      <c r="G4" s="1">
        <f>IFERROR(__xludf.DUMMYFUNCTION("""COMPUTED_VALUE"""),37.0)</f>
        <v>37</v>
      </c>
      <c r="H4" s="1">
        <f>IFERROR(__xludf.DUMMYFUNCTION("""COMPUTED_VALUE"""),5.0)</f>
        <v>5</v>
      </c>
      <c r="I4" s="1">
        <f>IFERROR(__xludf.DUMMYFUNCTION("""COMPUTED_VALUE"""),141000.0)</f>
        <v>141000</v>
      </c>
      <c r="J4" s="1">
        <f>IFERROR(__xludf.DUMMYFUNCTION("""COMPUTED_VALUE"""),53.0)</f>
        <v>53</v>
      </c>
      <c r="K4" s="1">
        <f>IFERROR(__xludf.DUMMYFUNCTION("""COMPUTED_VALUE"""),160000.0)</f>
        <v>160000</v>
      </c>
      <c r="L4" s="1">
        <f>IFERROR(__xludf.DUMMYFUNCTION("""COMPUTED_VALUE"""),1.0)</f>
        <v>1</v>
      </c>
      <c r="M4" s="1">
        <f>IFERROR(__xludf.DUMMYFUNCTION("""COMPUTED_VALUE"""),180000.0)</f>
        <v>180000</v>
      </c>
      <c r="N4" s="1">
        <f>IFERROR(__xludf.DUMMYFUNCTION("""COMPUTED_VALUE"""),1.0)</f>
        <v>1</v>
      </c>
      <c r="O4" s="1">
        <f>IFERROR(__xludf.DUMMYFUNCTION("""COMPUTED_VALUE"""),1.0)</f>
        <v>1</v>
      </c>
      <c r="P4" s="1">
        <f>IFERROR(__xludf.DUMMYFUNCTION("""COMPUTED_VALUE"""),150000.0)</f>
        <v>150000</v>
      </c>
      <c r="Q4" s="1">
        <f>IFERROR(__xludf.DUMMYFUNCTION("""COMPUTED_VALUE"""),4.0)</f>
        <v>4</v>
      </c>
      <c r="R4" s="1">
        <f>IFERROR(__xludf.DUMMYFUNCTION("""COMPUTED_VALUE"""),74556.703125)</f>
        <v>74556.70313</v>
      </c>
      <c r="S4" s="1"/>
      <c r="T4" s="1"/>
      <c r="U4" s="1">
        <f>IFERROR(__xludf.DUMMYFUNCTION("""COMPUTED_VALUE"""),0.0)</f>
        <v>0</v>
      </c>
      <c r="V4" s="1"/>
      <c r="W4" s="1"/>
      <c r="X4" s="1">
        <f>IFERROR(__xludf.DUMMYFUNCTION("""COMPUTED_VALUE"""),0.0)</f>
        <v>0</v>
      </c>
      <c r="Y4" s="1">
        <f>IFERROR(__xludf.DUMMYFUNCTION("""COMPUTED_VALUE"""),150000.0)</f>
        <v>150000</v>
      </c>
      <c r="Z4" s="1">
        <f>IFERROR(__xludf.DUMMYFUNCTION("""COMPUTED_VALUE"""),1.0)</f>
        <v>1</v>
      </c>
      <c r="AA4" s="1">
        <f>IFERROR(__xludf.DUMMYFUNCTION("""COMPUTED_VALUE"""),170000.0)</f>
        <v>170000</v>
      </c>
      <c r="AB4" s="1">
        <f>IFERROR(__xludf.DUMMYFUNCTION("""COMPUTED_VALUE"""),1.0)</f>
        <v>1</v>
      </c>
      <c r="AC4" s="1">
        <f>IFERROR(__xludf.DUMMYFUNCTION("""COMPUTED_VALUE"""),1.0)</f>
        <v>1</v>
      </c>
      <c r="AD4" s="1">
        <f>IFERROR(__xludf.DUMMYFUNCTION("""COMPUTED_VALUE"""),160000.0)</f>
        <v>160000</v>
      </c>
      <c r="AE4" s="1">
        <f>IFERROR(__xludf.DUMMYFUNCTION("""COMPUTED_VALUE"""),24.0)</f>
        <v>24</v>
      </c>
      <c r="AF4" s="1">
        <f>IFERROR(__xludf.DUMMYFUNCTION("""COMPUTED_VALUE"""),74556.703125)</f>
        <v>74556.70313</v>
      </c>
      <c r="AG4" s="1">
        <f>IFERROR(__xludf.DUMMYFUNCTION("""COMPUTED_VALUE"""),1.0)</f>
        <v>1</v>
      </c>
      <c r="AH4" s="1">
        <f>IFERROR(__xludf.DUMMYFUNCTION("""COMPUTED_VALUE"""),124000.0)</f>
        <v>124000</v>
      </c>
      <c r="AI4" s="1">
        <f>IFERROR(__xludf.DUMMYFUNCTION("""COMPUTED_VALUE"""),1.0)</f>
        <v>1</v>
      </c>
      <c r="AJ4" s="1"/>
      <c r="AK4" s="1"/>
      <c r="AL4" s="1">
        <f>IFERROR(__xludf.DUMMYFUNCTION("""COMPUTED_VALUE"""),0.0)</f>
        <v>0</v>
      </c>
      <c r="AM4" s="1">
        <f>IFERROR(__xludf.DUMMYFUNCTION("""COMPUTED_VALUE"""),140000.0)</f>
        <v>140000</v>
      </c>
      <c r="AN4" s="1"/>
      <c r="AO4" s="1"/>
      <c r="AP4" s="1">
        <f>IFERROR(__xludf.DUMMYFUNCTION("""COMPUTED_VALUE"""),0.0)</f>
        <v>0</v>
      </c>
      <c r="AQ4" s="1"/>
      <c r="AR4" s="1"/>
      <c r="AS4" s="1">
        <f>IFERROR(__xludf.DUMMYFUNCTION("""COMPUTED_VALUE"""),0.0)</f>
        <v>0</v>
      </c>
    </row>
    <row r="5">
      <c r="A5" s="1" t="str">
        <f>IFERROR(__xludf.DUMMYFUNCTION("""COMPUTED_VALUE"""),"ADE")</f>
        <v>ADE</v>
      </c>
      <c r="B5" s="1"/>
      <c r="C5" s="1"/>
      <c r="D5" s="1">
        <f>IFERROR(__xludf.DUMMYFUNCTION("""COMPUTED_VALUE"""),40561.25)</f>
        <v>40561.25</v>
      </c>
      <c r="E5" s="1">
        <f>IFERROR(__xludf.DUMMYFUNCTION("""COMPUTED_VALUE"""),30.0)</f>
        <v>30</v>
      </c>
      <c r="F5" s="1">
        <f>IFERROR(__xludf.DUMMYFUNCTION("""COMPUTED_VALUE"""),53800.0)</f>
        <v>53800</v>
      </c>
      <c r="G5" s="1">
        <f>IFERROR(__xludf.DUMMYFUNCTION("""COMPUTED_VALUE"""),573.0)</f>
        <v>573</v>
      </c>
      <c r="H5" s="1">
        <f>IFERROR(__xludf.DUMMYFUNCTION("""COMPUTED_VALUE"""),189.0)</f>
        <v>189</v>
      </c>
      <c r="I5" s="1">
        <f>IFERROR(__xludf.DUMMYFUNCTION("""COMPUTED_VALUE"""),40500.0)</f>
        <v>40500</v>
      </c>
      <c r="J5" s="1">
        <f>IFERROR(__xludf.DUMMYFUNCTION("""COMPUTED_VALUE"""),289.0)</f>
        <v>289</v>
      </c>
      <c r="K5" s="1">
        <f>IFERROR(__xludf.DUMMYFUNCTION("""COMPUTED_VALUE"""),42200.0)</f>
        <v>42200</v>
      </c>
      <c r="L5" s="1">
        <f>IFERROR(__xludf.DUMMYFUNCTION("""COMPUTED_VALUE"""),40.0)</f>
        <v>40</v>
      </c>
      <c r="M5" s="1">
        <f>IFERROR(__xludf.DUMMYFUNCTION("""COMPUTED_VALUE"""),44900.0)</f>
        <v>44900</v>
      </c>
      <c r="N5" s="1">
        <f>IFERROR(__xludf.DUMMYFUNCTION("""COMPUTED_VALUE"""),241.0)</f>
        <v>241</v>
      </c>
      <c r="O5" s="1">
        <f>IFERROR(__xludf.DUMMYFUNCTION("""COMPUTED_VALUE"""),112.0)</f>
        <v>112</v>
      </c>
      <c r="P5" s="1">
        <f>IFERROR(__xludf.DUMMYFUNCTION("""COMPUTED_VALUE"""),42200.0)</f>
        <v>42200</v>
      </c>
      <c r="Q5" s="1">
        <f>IFERROR(__xludf.DUMMYFUNCTION("""COMPUTED_VALUE"""),508.0)</f>
        <v>508</v>
      </c>
      <c r="R5" s="1">
        <f>IFERROR(__xludf.DUMMYFUNCTION("""COMPUTED_VALUE"""),43000.0)</f>
        <v>43000</v>
      </c>
      <c r="S5" s="1"/>
      <c r="T5" s="1"/>
      <c r="U5" s="1">
        <f>IFERROR(__xludf.DUMMYFUNCTION("""COMPUTED_VALUE"""),0.0)</f>
        <v>0</v>
      </c>
      <c r="V5" s="1"/>
      <c r="W5" s="1"/>
      <c r="X5" s="1">
        <f>IFERROR(__xludf.DUMMYFUNCTION("""COMPUTED_VALUE"""),0.0)</f>
        <v>0</v>
      </c>
      <c r="Y5" s="1">
        <f>IFERROR(__xludf.DUMMYFUNCTION("""COMPUTED_VALUE"""),46900.0)</f>
        <v>46900</v>
      </c>
      <c r="Z5" s="1">
        <f>IFERROR(__xludf.DUMMYFUNCTION("""COMPUTED_VALUE"""),4.0)</f>
        <v>4</v>
      </c>
      <c r="AA5" s="1">
        <f>IFERROR(__xludf.DUMMYFUNCTION("""COMPUTED_VALUE"""),48100.0)</f>
        <v>48100</v>
      </c>
      <c r="AB5" s="1">
        <f>IFERROR(__xludf.DUMMYFUNCTION("""COMPUTED_VALUE"""),699.0)</f>
        <v>699</v>
      </c>
      <c r="AC5" s="1">
        <f>IFERROR(__xludf.DUMMYFUNCTION("""COMPUTED_VALUE"""),50.0)</f>
        <v>50</v>
      </c>
      <c r="AD5" s="1">
        <f>IFERROR(__xludf.DUMMYFUNCTION("""COMPUTED_VALUE"""),41900.0)</f>
        <v>41900</v>
      </c>
      <c r="AE5" s="1">
        <f>IFERROR(__xludf.DUMMYFUNCTION("""COMPUTED_VALUE"""),611.0)</f>
        <v>611</v>
      </c>
      <c r="AF5" s="1">
        <f>IFERROR(__xludf.DUMMYFUNCTION("""COMPUTED_VALUE"""),21210.509765625)</f>
        <v>21210.50977</v>
      </c>
      <c r="AG5" s="1">
        <f>IFERROR(__xludf.DUMMYFUNCTION("""COMPUTED_VALUE"""),7.0)</f>
        <v>7</v>
      </c>
      <c r="AH5" s="1">
        <f>IFERROR(__xludf.DUMMYFUNCTION("""COMPUTED_VALUE"""),60000.0)</f>
        <v>60000</v>
      </c>
      <c r="AI5" s="1">
        <f>IFERROR(__xludf.DUMMYFUNCTION("""COMPUTED_VALUE"""),7.0)</f>
        <v>7</v>
      </c>
      <c r="AJ5" s="1"/>
      <c r="AK5" s="1"/>
      <c r="AL5" s="1">
        <f>IFERROR(__xludf.DUMMYFUNCTION("""COMPUTED_VALUE"""),0.0)</f>
        <v>0</v>
      </c>
      <c r="AM5" s="1">
        <f>IFERROR(__xludf.DUMMYFUNCTION("""COMPUTED_VALUE"""),48471.2109375)</f>
        <v>48471.21094</v>
      </c>
      <c r="AN5" s="1">
        <f>IFERROR(__xludf.DUMMYFUNCTION("""COMPUTED_VALUE"""),28.0)</f>
        <v>28</v>
      </c>
      <c r="AO5" s="1">
        <f>IFERROR(__xludf.DUMMYFUNCTION("""COMPUTED_VALUE"""),48500.0)</f>
        <v>48500</v>
      </c>
      <c r="AP5" s="1">
        <f>IFERROR(__xludf.DUMMYFUNCTION("""COMPUTED_VALUE"""),530.0)</f>
        <v>530</v>
      </c>
      <c r="AQ5" s="1">
        <f>IFERROR(__xludf.DUMMYFUNCTION("""COMPUTED_VALUE"""),30.0)</f>
        <v>30</v>
      </c>
      <c r="AR5" s="1">
        <f>IFERROR(__xludf.DUMMYFUNCTION("""COMPUTED_VALUE"""),37000.0)</f>
        <v>37000</v>
      </c>
      <c r="AS5" s="1">
        <f>IFERROR(__xludf.DUMMYFUNCTION("""COMPUTED_VALUE"""),209.0)</f>
        <v>209</v>
      </c>
    </row>
    <row r="6">
      <c r="A6" s="1" t="str">
        <f>IFERROR(__xludf.DUMMYFUNCTION("""COMPUTED_VALUE"""),"ADR")</f>
        <v>ADR</v>
      </c>
      <c r="B6" s="1">
        <f>IFERROR(__xludf.DUMMYFUNCTION("""COMPUTED_VALUE"""),70000.0)</f>
        <v>70000</v>
      </c>
      <c r="C6" s="1"/>
      <c r="D6" s="1">
        <f>IFERROR(__xludf.DUMMYFUNCTION("""COMPUTED_VALUE"""),100000.0)</f>
        <v>100000</v>
      </c>
      <c r="E6" s="1">
        <f>IFERROR(__xludf.DUMMYFUNCTION("""COMPUTED_VALUE"""),10.0)</f>
        <v>10</v>
      </c>
      <c r="F6" s="1">
        <f>IFERROR(__xludf.DUMMYFUNCTION("""COMPUTED_VALUE"""),100000.0)</f>
        <v>100000</v>
      </c>
      <c r="G6" s="1">
        <f>IFERROR(__xludf.DUMMYFUNCTION("""COMPUTED_VALUE"""),30.0)</f>
        <v>30</v>
      </c>
      <c r="H6" s="1">
        <f>IFERROR(__xludf.DUMMYFUNCTION("""COMPUTED_VALUE"""),100.0)</f>
        <v>100</v>
      </c>
      <c r="I6" s="1">
        <f>IFERROR(__xludf.DUMMYFUNCTION("""COMPUTED_VALUE"""),70000.0)</f>
        <v>70000</v>
      </c>
      <c r="J6" s="1">
        <f>IFERROR(__xludf.DUMMYFUNCTION("""COMPUTED_VALUE"""),100.0)</f>
        <v>100</v>
      </c>
      <c r="K6" s="1">
        <f>IFERROR(__xludf.DUMMYFUNCTION("""COMPUTED_VALUE"""),150000.0)</f>
        <v>150000</v>
      </c>
      <c r="L6" s="1"/>
      <c r="M6" s="1"/>
      <c r="N6" s="1">
        <f>IFERROR(__xludf.DUMMYFUNCTION("""COMPUTED_VALUE"""),0.0)</f>
        <v>0</v>
      </c>
      <c r="O6" s="1">
        <f>IFERROR(__xludf.DUMMYFUNCTION("""COMPUTED_VALUE"""),20.0)</f>
        <v>20</v>
      </c>
      <c r="P6" s="1">
        <f>IFERROR(__xludf.DUMMYFUNCTION("""COMPUTED_VALUE"""),70100.0)</f>
        <v>70100</v>
      </c>
      <c r="Q6" s="1">
        <f>IFERROR(__xludf.DUMMYFUNCTION("""COMPUTED_VALUE"""),120.0)</f>
        <v>120</v>
      </c>
      <c r="R6" s="1">
        <f>IFERROR(__xludf.DUMMYFUNCTION("""COMPUTED_VALUE"""),60000.0)</f>
        <v>60000</v>
      </c>
      <c r="S6" s="1"/>
      <c r="T6" s="1"/>
      <c r="U6" s="1">
        <f>IFERROR(__xludf.DUMMYFUNCTION("""COMPUTED_VALUE"""),0.0)</f>
        <v>0</v>
      </c>
      <c r="V6" s="1"/>
      <c r="W6" s="1"/>
      <c r="X6" s="1">
        <f>IFERROR(__xludf.DUMMYFUNCTION("""COMPUTED_VALUE"""),0.0)</f>
        <v>0</v>
      </c>
      <c r="Y6" s="1">
        <f>IFERROR(__xludf.DUMMYFUNCTION("""COMPUTED_VALUE"""),70000.0)</f>
        <v>70000</v>
      </c>
      <c r="Z6" s="1">
        <f>IFERROR(__xludf.DUMMYFUNCTION("""COMPUTED_VALUE"""),5.0)</f>
        <v>5</v>
      </c>
      <c r="AA6" s="1">
        <f>IFERROR(__xludf.DUMMYFUNCTION("""COMPUTED_VALUE"""),95000.0)</f>
        <v>95000</v>
      </c>
      <c r="AB6" s="1">
        <f>IFERROR(__xludf.DUMMYFUNCTION("""COMPUTED_VALUE"""),100.0)</f>
        <v>100</v>
      </c>
      <c r="AC6" s="1">
        <f>IFERROR(__xludf.DUMMYFUNCTION("""COMPUTED_VALUE"""),100.0)</f>
        <v>100</v>
      </c>
      <c r="AD6" s="1">
        <f>IFERROR(__xludf.DUMMYFUNCTION("""COMPUTED_VALUE"""),70000.0)</f>
        <v>70000</v>
      </c>
      <c r="AE6" s="1">
        <f>IFERROR(__xludf.DUMMYFUNCTION("""COMPUTED_VALUE"""),110.0)</f>
        <v>110</v>
      </c>
      <c r="AF6" s="1">
        <f>IFERROR(__xludf.DUMMYFUNCTION("""COMPUTED_VALUE"""),29108.779296875)</f>
        <v>29108.7793</v>
      </c>
      <c r="AG6" s="1"/>
      <c r="AH6" s="1"/>
      <c r="AI6" s="1">
        <f>IFERROR(__xludf.DUMMYFUNCTION("""COMPUTED_VALUE"""),0.0)</f>
        <v>0</v>
      </c>
      <c r="AJ6" s="1"/>
      <c r="AK6" s="1"/>
      <c r="AL6" s="1">
        <f>IFERROR(__xludf.DUMMYFUNCTION("""COMPUTED_VALUE"""),0.0)</f>
        <v>0</v>
      </c>
      <c r="AM6" s="1">
        <f>IFERROR(__xludf.DUMMYFUNCTION("""COMPUTED_VALUE"""),100000.0)</f>
        <v>100000</v>
      </c>
      <c r="AN6" s="1">
        <f>IFERROR(__xludf.DUMMYFUNCTION("""COMPUTED_VALUE"""),23.0)</f>
        <v>23</v>
      </c>
      <c r="AO6" s="1">
        <f>IFERROR(__xludf.DUMMYFUNCTION("""COMPUTED_VALUE"""),100000.0)</f>
        <v>100000</v>
      </c>
      <c r="AP6" s="1">
        <f>IFERROR(__xludf.DUMMYFUNCTION("""COMPUTED_VALUE"""),48.0)</f>
        <v>48</v>
      </c>
      <c r="AQ6" s="1">
        <f>IFERROR(__xludf.DUMMYFUNCTION("""COMPUTED_VALUE"""),10.0)</f>
        <v>10</v>
      </c>
      <c r="AR6" s="1">
        <f>IFERROR(__xludf.DUMMYFUNCTION("""COMPUTED_VALUE"""),70100.0)</f>
        <v>70100</v>
      </c>
      <c r="AS6" s="1">
        <f>IFERROR(__xludf.DUMMYFUNCTION("""COMPUTED_VALUE"""),110.0)</f>
        <v>110</v>
      </c>
    </row>
    <row r="7">
      <c r="A7" s="1" t="str">
        <f>IFERROR(__xludf.DUMMYFUNCTION("""COMPUTED_VALUE"""),"ADS")</f>
        <v>ADS</v>
      </c>
      <c r="B7" s="1"/>
      <c r="C7" s="1"/>
      <c r="D7" s="1">
        <f>IFERROR(__xludf.DUMMYFUNCTION("""COMPUTED_VALUE"""),117000.0)</f>
        <v>117000</v>
      </c>
      <c r="E7" s="1">
        <f>IFERROR(__xludf.DUMMYFUNCTION("""COMPUTED_VALUE"""),4.0)</f>
        <v>4</v>
      </c>
      <c r="F7" s="1">
        <f>IFERROR(__xludf.DUMMYFUNCTION("""COMPUTED_VALUE"""),117000.0)</f>
        <v>117000</v>
      </c>
      <c r="G7" s="1">
        <f>IFERROR(__xludf.DUMMYFUNCTION("""COMPUTED_VALUE"""),351.0)</f>
        <v>351</v>
      </c>
      <c r="H7" s="1">
        <f>IFERROR(__xludf.DUMMYFUNCTION("""COMPUTED_VALUE"""),10.0)</f>
        <v>10</v>
      </c>
      <c r="I7" s="1">
        <f>IFERROR(__xludf.DUMMYFUNCTION("""COMPUTED_VALUE"""),100000.0)</f>
        <v>100000</v>
      </c>
      <c r="J7" s="1">
        <f>IFERROR(__xludf.DUMMYFUNCTION("""COMPUTED_VALUE"""),33.0)</f>
        <v>33</v>
      </c>
      <c r="K7" s="1">
        <f>IFERROR(__xludf.DUMMYFUNCTION("""COMPUTED_VALUE"""),125000.0)</f>
        <v>125000</v>
      </c>
      <c r="L7" s="1">
        <f>IFERROR(__xludf.DUMMYFUNCTION("""COMPUTED_VALUE"""),1.0)</f>
        <v>1</v>
      </c>
      <c r="M7" s="1">
        <f>IFERROR(__xludf.DUMMYFUNCTION("""COMPUTED_VALUE"""),120000.0)</f>
        <v>120000</v>
      </c>
      <c r="N7" s="1">
        <f>IFERROR(__xludf.DUMMYFUNCTION("""COMPUTED_VALUE"""),95.0)</f>
        <v>95</v>
      </c>
      <c r="O7" s="1">
        <f>IFERROR(__xludf.DUMMYFUNCTION("""COMPUTED_VALUE"""),10.0)</f>
        <v>10</v>
      </c>
      <c r="P7" s="1">
        <f>IFERROR(__xludf.DUMMYFUNCTION("""COMPUTED_VALUE"""),100000.0)</f>
        <v>100000</v>
      </c>
      <c r="Q7" s="1">
        <f>IFERROR(__xludf.DUMMYFUNCTION("""COMPUTED_VALUE"""),20.0)</f>
        <v>20</v>
      </c>
      <c r="R7" s="1">
        <f>IFERROR(__xludf.DUMMYFUNCTION("""COMPUTED_VALUE"""),250000.0)</f>
        <v>250000</v>
      </c>
      <c r="S7" s="1"/>
      <c r="T7" s="1"/>
      <c r="U7" s="1">
        <f>IFERROR(__xludf.DUMMYFUNCTION("""COMPUTED_VALUE"""),0.0)</f>
        <v>0</v>
      </c>
      <c r="V7" s="1"/>
      <c r="W7" s="1"/>
      <c r="X7" s="1">
        <f>IFERROR(__xludf.DUMMYFUNCTION("""COMPUTED_VALUE"""),0.0)</f>
        <v>0</v>
      </c>
      <c r="Y7" s="1">
        <f>IFERROR(__xludf.DUMMYFUNCTION("""COMPUTED_VALUE"""),120000.0)</f>
        <v>120000</v>
      </c>
      <c r="Z7" s="1">
        <f>IFERROR(__xludf.DUMMYFUNCTION("""COMPUTED_VALUE"""),6.0)</f>
        <v>6</v>
      </c>
      <c r="AA7" s="1">
        <f>IFERROR(__xludf.DUMMYFUNCTION("""COMPUTED_VALUE"""),120000.0)</f>
        <v>120000</v>
      </c>
      <c r="AB7" s="1">
        <f>IFERROR(__xludf.DUMMYFUNCTION("""COMPUTED_VALUE"""),385.0)</f>
        <v>385</v>
      </c>
      <c r="AC7" s="1">
        <f>IFERROR(__xludf.DUMMYFUNCTION("""COMPUTED_VALUE"""),4.0)</f>
        <v>4</v>
      </c>
      <c r="AD7" s="1">
        <f>IFERROR(__xludf.DUMMYFUNCTION("""COMPUTED_VALUE"""),114000.0)</f>
        <v>114000</v>
      </c>
      <c r="AE7" s="1">
        <f>IFERROR(__xludf.DUMMYFUNCTION("""COMPUTED_VALUE"""),18.0)</f>
        <v>18</v>
      </c>
      <c r="AF7" s="1">
        <f>IFERROR(__xludf.DUMMYFUNCTION("""COMPUTED_VALUE"""),55055.921875)</f>
        <v>55055.92188</v>
      </c>
      <c r="AG7" s="1">
        <f>IFERROR(__xludf.DUMMYFUNCTION("""COMPUTED_VALUE"""),1.0)</f>
        <v>1</v>
      </c>
      <c r="AH7" s="1">
        <f>IFERROR(__xludf.DUMMYFUNCTION("""COMPUTED_VALUE"""),128000.0)</f>
        <v>128000</v>
      </c>
      <c r="AI7" s="1">
        <f>IFERROR(__xludf.DUMMYFUNCTION("""COMPUTED_VALUE"""),1.0)</f>
        <v>1</v>
      </c>
      <c r="AJ7" s="1"/>
      <c r="AK7" s="1"/>
      <c r="AL7" s="1">
        <f>IFERROR(__xludf.DUMMYFUNCTION("""COMPUTED_VALUE"""),0.0)</f>
        <v>0</v>
      </c>
      <c r="AM7" s="1">
        <f>IFERROR(__xludf.DUMMYFUNCTION("""COMPUTED_VALUE"""),125000.0)</f>
        <v>125000</v>
      </c>
      <c r="AN7" s="1">
        <f>IFERROR(__xludf.DUMMYFUNCTION("""COMPUTED_VALUE"""),91.0)</f>
        <v>91</v>
      </c>
      <c r="AO7" s="1">
        <f>IFERROR(__xludf.DUMMYFUNCTION("""COMPUTED_VALUE"""),125000.0)</f>
        <v>125000</v>
      </c>
      <c r="AP7" s="1">
        <f>IFERROR(__xludf.DUMMYFUNCTION("""COMPUTED_VALUE"""),256.0)</f>
        <v>256</v>
      </c>
      <c r="AQ7" s="1">
        <f>IFERROR(__xludf.DUMMYFUNCTION("""COMPUTED_VALUE"""),10.0)</f>
        <v>10</v>
      </c>
      <c r="AR7" s="1">
        <f>IFERROR(__xludf.DUMMYFUNCTION("""COMPUTED_VALUE"""),100000.0)</f>
        <v>100000</v>
      </c>
      <c r="AS7" s="1">
        <f>IFERROR(__xludf.DUMMYFUNCTION("""COMPUTED_VALUE"""),27.0)</f>
        <v>27</v>
      </c>
    </row>
    <row r="8">
      <c r="A8" s="1" t="str">
        <f>IFERROR(__xludf.DUMMYFUNCTION("""COMPUTED_VALUE"""),"AEF")</f>
        <v>AEF</v>
      </c>
      <c r="B8" s="1"/>
      <c r="C8" s="1"/>
      <c r="D8" s="1">
        <f>IFERROR(__xludf.DUMMYFUNCTION("""COMPUTED_VALUE"""),4800.0)</f>
        <v>4800</v>
      </c>
      <c r="E8" s="1">
        <f>IFERROR(__xludf.DUMMYFUNCTION("""COMPUTED_VALUE"""),57.0)</f>
        <v>57</v>
      </c>
      <c r="F8" s="1">
        <f>IFERROR(__xludf.DUMMYFUNCTION("""COMPUTED_VALUE"""),5970.0)</f>
        <v>5970</v>
      </c>
      <c r="G8" s="1">
        <f>IFERROR(__xludf.DUMMYFUNCTION("""COMPUTED_VALUE"""),1443.0)</f>
        <v>1443</v>
      </c>
      <c r="H8" s="1">
        <f>IFERROR(__xludf.DUMMYFUNCTION("""COMPUTED_VALUE"""),146.0)</f>
        <v>146</v>
      </c>
      <c r="I8" s="1">
        <f>IFERROR(__xludf.DUMMYFUNCTION("""COMPUTED_VALUE"""),4800.0)</f>
        <v>4800</v>
      </c>
      <c r="J8" s="1">
        <f>IFERROR(__xludf.DUMMYFUNCTION("""COMPUTED_VALUE"""),916.0)</f>
        <v>916</v>
      </c>
      <c r="K8" s="1">
        <f>IFERROR(__xludf.DUMMYFUNCTION("""COMPUTED_VALUE"""),9500.0)</f>
        <v>9500</v>
      </c>
      <c r="L8" s="1">
        <f>IFERROR(__xludf.DUMMYFUNCTION("""COMPUTED_VALUE"""),928.0)</f>
        <v>928</v>
      </c>
      <c r="M8" s="1">
        <f>IFERROR(__xludf.DUMMYFUNCTION("""COMPUTED_VALUE"""),9500.0)</f>
        <v>9500</v>
      </c>
      <c r="N8" s="1">
        <f>IFERROR(__xludf.DUMMYFUNCTION("""COMPUTED_VALUE"""),1928.0)</f>
        <v>1928</v>
      </c>
      <c r="O8" s="1">
        <f>IFERROR(__xludf.DUMMYFUNCTION("""COMPUTED_VALUE"""),491.0)</f>
        <v>491</v>
      </c>
      <c r="P8" s="1">
        <f>IFERROR(__xludf.DUMMYFUNCTION("""COMPUTED_VALUE"""),3740.0)</f>
        <v>3740</v>
      </c>
      <c r="Q8" s="1">
        <f>IFERROR(__xludf.DUMMYFUNCTION("""COMPUTED_VALUE"""),1338.0)</f>
        <v>1338</v>
      </c>
      <c r="R8" s="1">
        <f>IFERROR(__xludf.DUMMYFUNCTION("""COMPUTED_VALUE"""),4000.0)</f>
        <v>4000</v>
      </c>
      <c r="S8" s="1"/>
      <c r="T8" s="1"/>
      <c r="U8" s="1">
        <f>IFERROR(__xludf.DUMMYFUNCTION("""COMPUTED_VALUE"""),0.0)</f>
        <v>0</v>
      </c>
      <c r="V8" s="1"/>
      <c r="W8" s="1"/>
      <c r="X8" s="1">
        <f>IFERROR(__xludf.DUMMYFUNCTION("""COMPUTED_VALUE"""),0.0)</f>
        <v>0</v>
      </c>
      <c r="Y8" s="1">
        <f>IFERROR(__xludf.DUMMYFUNCTION("""COMPUTED_VALUE"""),4230.0)</f>
        <v>4230</v>
      </c>
      <c r="Z8" s="1">
        <f>IFERROR(__xludf.DUMMYFUNCTION("""COMPUTED_VALUE"""),7.0)</f>
        <v>7</v>
      </c>
      <c r="AA8" s="1">
        <f>IFERROR(__xludf.DUMMYFUNCTION("""COMPUTED_VALUE"""),4990.0)</f>
        <v>4990</v>
      </c>
      <c r="AB8" s="1">
        <f>IFERROR(__xludf.DUMMYFUNCTION("""COMPUTED_VALUE"""),3125.0)</f>
        <v>3125</v>
      </c>
      <c r="AC8" s="1">
        <f>IFERROR(__xludf.DUMMYFUNCTION("""COMPUTED_VALUE"""),218.0)</f>
        <v>218</v>
      </c>
      <c r="AD8" s="1">
        <f>IFERROR(__xludf.DUMMYFUNCTION("""COMPUTED_VALUE"""),4230.0)</f>
        <v>4230</v>
      </c>
      <c r="AE8" s="1">
        <f>IFERROR(__xludf.DUMMYFUNCTION("""COMPUTED_VALUE"""),980.0)</f>
        <v>980</v>
      </c>
      <c r="AF8" s="1">
        <f>IFERROR(__xludf.DUMMYFUNCTION("""COMPUTED_VALUE"""),4500.0)</f>
        <v>4500</v>
      </c>
      <c r="AG8" s="1">
        <f>IFERROR(__xludf.DUMMYFUNCTION("""COMPUTED_VALUE"""),197.0)</f>
        <v>197</v>
      </c>
      <c r="AH8" s="1">
        <f>IFERROR(__xludf.DUMMYFUNCTION("""COMPUTED_VALUE"""),4500.0)</f>
        <v>4500</v>
      </c>
      <c r="AI8" s="1">
        <f>IFERROR(__xludf.DUMMYFUNCTION("""COMPUTED_VALUE"""),197.0)</f>
        <v>197</v>
      </c>
      <c r="AJ8" s="1"/>
      <c r="AK8" s="1"/>
      <c r="AL8" s="1">
        <f>IFERROR(__xludf.DUMMYFUNCTION("""COMPUTED_VALUE"""),0.0)</f>
        <v>0</v>
      </c>
      <c r="AM8" s="1">
        <f>IFERROR(__xludf.DUMMYFUNCTION("""COMPUTED_VALUE"""),5793.7099609375)</f>
        <v>5793.709961</v>
      </c>
      <c r="AN8" s="1">
        <f>IFERROR(__xludf.DUMMYFUNCTION("""COMPUTED_VALUE"""),151.0)</f>
        <v>151</v>
      </c>
      <c r="AO8" s="1">
        <f>IFERROR(__xludf.DUMMYFUNCTION("""COMPUTED_VALUE"""),5800.0)</f>
        <v>5800</v>
      </c>
      <c r="AP8" s="1">
        <f>IFERROR(__xludf.DUMMYFUNCTION("""COMPUTED_VALUE"""),725.0)</f>
        <v>725</v>
      </c>
      <c r="AQ8" s="1">
        <f>IFERROR(__xludf.DUMMYFUNCTION("""COMPUTED_VALUE"""),500.0)</f>
        <v>500</v>
      </c>
      <c r="AR8" s="1">
        <f>IFERROR(__xludf.DUMMYFUNCTION("""COMPUTED_VALUE"""),3220.0)</f>
        <v>3220</v>
      </c>
      <c r="AS8" s="1">
        <f>IFERROR(__xludf.DUMMYFUNCTION("""COMPUTED_VALUE"""),1560.0)</f>
        <v>1560</v>
      </c>
    </row>
    <row r="9">
      <c r="A9" s="1" t="str">
        <f>IFERROR(__xludf.DUMMYFUNCTION("""COMPUTED_VALUE"""),"AEN")</f>
        <v>AEN</v>
      </c>
      <c r="B9" s="1"/>
      <c r="C9" s="1"/>
      <c r="D9" s="1">
        <f>IFERROR(__xludf.DUMMYFUNCTION("""COMPUTED_VALUE"""),2500000.0)</f>
        <v>2500000</v>
      </c>
      <c r="E9" s="1">
        <f>IFERROR(__xludf.DUMMYFUNCTION("""COMPUTED_VALUE"""),1.0)</f>
        <v>1</v>
      </c>
      <c r="F9" s="1">
        <f>IFERROR(__xludf.DUMMYFUNCTION("""COMPUTED_VALUE"""),2490000.0)</f>
        <v>2490000</v>
      </c>
      <c r="G9" s="1">
        <f>IFERROR(__xludf.DUMMYFUNCTION("""COMPUTED_VALUE"""),2.0)</f>
        <v>2</v>
      </c>
      <c r="H9" s="1"/>
      <c r="I9" s="1"/>
      <c r="J9" s="1">
        <f>IFERROR(__xludf.DUMMYFUNCTION("""COMPUTED_VALUE"""),0.0)</f>
        <v>0</v>
      </c>
      <c r="K9" s="1">
        <f>IFERROR(__xludf.DUMMYFUNCTION("""COMPUTED_VALUE"""),1700000.0)</f>
        <v>1700000</v>
      </c>
      <c r="L9" s="1">
        <f>IFERROR(__xludf.DUMMYFUNCTION("""COMPUTED_VALUE"""),1.0)</f>
        <v>1</v>
      </c>
      <c r="M9" s="1">
        <f>IFERROR(__xludf.DUMMYFUNCTION("""COMPUTED_VALUE"""),2600000.0)</f>
        <v>2600000</v>
      </c>
      <c r="N9" s="1">
        <f>IFERROR(__xludf.DUMMYFUNCTION("""COMPUTED_VALUE"""),1.0)</f>
        <v>1</v>
      </c>
      <c r="O9" s="1">
        <f>IFERROR(__xludf.DUMMYFUNCTION("""COMPUTED_VALUE"""),1.0)</f>
        <v>1</v>
      </c>
      <c r="P9" s="1">
        <f>IFERROR(__xludf.DUMMYFUNCTION("""COMPUTED_VALUE"""),1000000.0)</f>
        <v>1000000</v>
      </c>
      <c r="Q9" s="1">
        <f>IFERROR(__xludf.DUMMYFUNCTION("""COMPUTED_VALUE"""),1.0)</f>
        <v>1</v>
      </c>
      <c r="R9" s="1">
        <f>IFERROR(__xludf.DUMMYFUNCTION("""COMPUTED_VALUE"""),974291.3125)</f>
        <v>974291.3125</v>
      </c>
      <c r="S9" s="1"/>
      <c r="T9" s="1"/>
      <c r="U9" s="1">
        <f>IFERROR(__xludf.DUMMYFUNCTION("""COMPUTED_VALUE"""),0.0)</f>
        <v>0</v>
      </c>
      <c r="V9" s="1">
        <f>IFERROR(__xludf.DUMMYFUNCTION("""COMPUTED_VALUE"""),1.0)</f>
        <v>1</v>
      </c>
      <c r="W9" s="1">
        <f>IFERROR(__xludf.DUMMYFUNCTION("""COMPUTED_VALUE"""),1000000.0)</f>
        <v>1000000</v>
      </c>
      <c r="X9" s="1">
        <f>IFERROR(__xludf.DUMMYFUNCTION("""COMPUTED_VALUE"""),1.0)</f>
        <v>1</v>
      </c>
      <c r="Y9" s="1">
        <f>IFERROR(__xludf.DUMMYFUNCTION("""COMPUTED_VALUE"""),2500000.0)</f>
        <v>2500000</v>
      </c>
      <c r="Z9" s="1">
        <f>IFERROR(__xludf.DUMMYFUNCTION("""COMPUTED_VALUE"""),1.0)</f>
        <v>1</v>
      </c>
      <c r="AA9" s="1">
        <f>IFERROR(__xludf.DUMMYFUNCTION("""COMPUTED_VALUE"""),2600000.0)</f>
        <v>2600000</v>
      </c>
      <c r="AB9" s="1">
        <f>IFERROR(__xludf.DUMMYFUNCTION("""COMPUTED_VALUE"""),2.0)</f>
        <v>2</v>
      </c>
      <c r="AC9" s="1">
        <f>IFERROR(__xludf.DUMMYFUNCTION("""COMPUTED_VALUE"""),1.0)</f>
        <v>1</v>
      </c>
      <c r="AD9" s="1">
        <f>IFERROR(__xludf.DUMMYFUNCTION("""COMPUTED_VALUE"""),2500000.0)</f>
        <v>2500000</v>
      </c>
      <c r="AE9" s="1">
        <f>IFERROR(__xludf.DUMMYFUNCTION("""COMPUTED_VALUE"""),6.0)</f>
        <v>6</v>
      </c>
      <c r="AF9" s="1">
        <f>IFERROR(__xludf.DUMMYFUNCTION("""COMPUTED_VALUE"""),974291.3125)</f>
        <v>974291.3125</v>
      </c>
      <c r="AG9" s="1"/>
      <c r="AH9" s="1"/>
      <c r="AI9" s="1">
        <f>IFERROR(__xludf.DUMMYFUNCTION("""COMPUTED_VALUE"""),0.0)</f>
        <v>0</v>
      </c>
      <c r="AJ9" s="1"/>
      <c r="AK9" s="1"/>
      <c r="AL9" s="1">
        <f>IFERROR(__xludf.DUMMYFUNCTION("""COMPUTED_VALUE"""),0.0)</f>
        <v>0</v>
      </c>
      <c r="AM9" s="1">
        <f>IFERROR(__xludf.DUMMYFUNCTION("""COMPUTED_VALUE"""),974291.3125)</f>
        <v>974291.3125</v>
      </c>
      <c r="AN9" s="1">
        <f>IFERROR(__xludf.DUMMYFUNCTION("""COMPUTED_VALUE"""),1.0)</f>
        <v>1</v>
      </c>
      <c r="AO9" s="1">
        <f>IFERROR(__xludf.DUMMYFUNCTION("""COMPUTED_VALUE"""),2600000.0)</f>
        <v>2600000</v>
      </c>
      <c r="AP9" s="1">
        <f>IFERROR(__xludf.DUMMYFUNCTION("""COMPUTED_VALUE"""),1.0)</f>
        <v>1</v>
      </c>
      <c r="AQ9" s="1"/>
      <c r="AR9" s="1"/>
      <c r="AS9" s="1">
        <f>IFERROR(__xludf.DUMMYFUNCTION("""COMPUTED_VALUE"""),0.0)</f>
        <v>0</v>
      </c>
    </row>
    <row r="10">
      <c r="A10" s="1" t="str">
        <f>IFERROR(__xludf.DUMMYFUNCTION("""COMPUTED_VALUE"""),"AFP")</f>
        <v>AFP</v>
      </c>
      <c r="B10" s="1"/>
      <c r="C10" s="1"/>
      <c r="D10" s="1">
        <f>IFERROR(__xludf.DUMMYFUNCTION("""COMPUTED_VALUE"""),134241.84375)</f>
        <v>134241.8438</v>
      </c>
      <c r="E10" s="1"/>
      <c r="F10" s="1"/>
      <c r="G10" s="1">
        <f>IFERROR(__xludf.DUMMYFUNCTION("""COMPUTED_VALUE"""),0.0)</f>
        <v>0</v>
      </c>
      <c r="H10" s="1"/>
      <c r="I10" s="1"/>
      <c r="J10" s="1">
        <f>IFERROR(__xludf.DUMMYFUNCTION("""COMPUTED_VALUE"""),0.0)</f>
        <v>0</v>
      </c>
      <c r="K10" s="1">
        <f>IFERROR(__xludf.DUMMYFUNCTION("""COMPUTED_VALUE"""),134241.84375)</f>
        <v>134241.8438</v>
      </c>
      <c r="L10" s="1"/>
      <c r="M10" s="1"/>
      <c r="N10" s="1">
        <f>IFERROR(__xludf.DUMMYFUNCTION("""COMPUTED_VALUE"""),0.0)</f>
        <v>0</v>
      </c>
      <c r="O10" s="1">
        <f>IFERROR(__xludf.DUMMYFUNCTION("""COMPUTED_VALUE"""),4.0)</f>
        <v>4</v>
      </c>
      <c r="P10" s="1">
        <f>IFERROR(__xludf.DUMMYFUNCTION("""COMPUTED_VALUE"""),195000.0)</f>
        <v>195000</v>
      </c>
      <c r="Q10" s="1">
        <f>IFERROR(__xludf.DUMMYFUNCTION("""COMPUTED_VALUE"""),4.0)</f>
        <v>4</v>
      </c>
      <c r="R10" s="1">
        <f>IFERROR(__xludf.DUMMYFUNCTION("""COMPUTED_VALUE"""),134241.84375)</f>
        <v>134241.8438</v>
      </c>
      <c r="S10" s="1"/>
      <c r="T10" s="1"/>
      <c r="U10" s="1">
        <f>IFERROR(__xludf.DUMMYFUNCTION("""COMPUTED_VALUE"""),0.0)</f>
        <v>0</v>
      </c>
      <c r="V10" s="1"/>
      <c r="W10" s="1"/>
      <c r="X10" s="1">
        <f>IFERROR(__xludf.DUMMYFUNCTION("""COMPUTED_VALUE"""),0.0)</f>
        <v>0</v>
      </c>
      <c r="Y10" s="1">
        <f>IFERROR(__xludf.DUMMYFUNCTION("""COMPUTED_VALUE"""),30000.0)</f>
        <v>30000</v>
      </c>
      <c r="Z10" s="1"/>
      <c r="AA10" s="1"/>
      <c r="AB10" s="1">
        <f>IFERROR(__xludf.DUMMYFUNCTION("""COMPUTED_VALUE"""),0.0)</f>
        <v>0</v>
      </c>
      <c r="AC10" s="1"/>
      <c r="AD10" s="1"/>
      <c r="AE10" s="1">
        <f>IFERROR(__xludf.DUMMYFUNCTION("""COMPUTED_VALUE"""),0.0)</f>
        <v>0</v>
      </c>
      <c r="AF10" s="1">
        <f>IFERROR(__xludf.DUMMYFUNCTION("""COMPUTED_VALUE"""),134241.84375)</f>
        <v>134241.8438</v>
      </c>
      <c r="AG10" s="1"/>
      <c r="AH10" s="1"/>
      <c r="AI10" s="1">
        <f>IFERROR(__xludf.DUMMYFUNCTION("""COMPUTED_VALUE"""),0.0)</f>
        <v>0</v>
      </c>
      <c r="AJ10" s="1"/>
      <c r="AK10" s="1"/>
      <c r="AL10" s="1">
        <f>IFERROR(__xludf.DUMMYFUNCTION("""COMPUTED_VALUE"""),0.0)</f>
        <v>0</v>
      </c>
      <c r="AM10" s="1">
        <f>IFERROR(__xludf.DUMMYFUNCTION("""COMPUTED_VALUE"""),134241.84375)</f>
        <v>134241.8438</v>
      </c>
      <c r="AN10" s="1"/>
      <c r="AO10" s="1"/>
      <c r="AP10" s="1">
        <f>IFERROR(__xludf.DUMMYFUNCTION("""COMPUTED_VALUE"""),0.0)</f>
        <v>0</v>
      </c>
      <c r="AQ10" s="1"/>
      <c r="AR10" s="1"/>
      <c r="AS10" s="1">
        <f>IFERROR(__xludf.DUMMYFUNCTION("""COMPUTED_VALUE"""),0.0)</f>
        <v>0</v>
      </c>
    </row>
    <row r="11">
      <c r="A11" s="1" t="str">
        <f>IFERROR(__xludf.DUMMYFUNCTION("""COMPUTED_VALUE"""),"AFR")</f>
        <v>AFR</v>
      </c>
      <c r="B11" s="1"/>
      <c r="C11" s="1"/>
      <c r="D11" s="1">
        <f>IFERROR(__xludf.DUMMYFUNCTION("""COMPUTED_VALUE"""),17000.0)</f>
        <v>17000</v>
      </c>
      <c r="E11" s="1">
        <f>IFERROR(__xludf.DUMMYFUNCTION("""COMPUTED_VALUE"""),10.0)</f>
        <v>10</v>
      </c>
      <c r="F11" s="1">
        <f>IFERROR(__xludf.DUMMYFUNCTION("""COMPUTED_VALUE"""),23500.0)</f>
        <v>23500</v>
      </c>
      <c r="G11" s="1">
        <f>IFERROR(__xludf.DUMMYFUNCTION("""COMPUTED_VALUE"""),129.0)</f>
        <v>129</v>
      </c>
      <c r="H11" s="1">
        <f>IFERROR(__xludf.DUMMYFUNCTION("""COMPUTED_VALUE"""),36.0)</f>
        <v>36</v>
      </c>
      <c r="I11" s="1">
        <f>IFERROR(__xludf.DUMMYFUNCTION("""COMPUTED_VALUE"""),17000.0)</f>
        <v>17000</v>
      </c>
      <c r="J11" s="1">
        <f>IFERROR(__xludf.DUMMYFUNCTION("""COMPUTED_VALUE"""),45.0)</f>
        <v>45</v>
      </c>
      <c r="K11" s="1">
        <f>IFERROR(__xludf.DUMMYFUNCTION("""COMPUTED_VALUE"""),20000.0)</f>
        <v>20000</v>
      </c>
      <c r="L11" s="1"/>
      <c r="M11" s="1"/>
      <c r="N11" s="1">
        <f>IFERROR(__xludf.DUMMYFUNCTION("""COMPUTED_VALUE"""),0.0)</f>
        <v>0</v>
      </c>
      <c r="O11" s="1">
        <f>IFERROR(__xludf.DUMMYFUNCTION("""COMPUTED_VALUE"""),18.0)</f>
        <v>18</v>
      </c>
      <c r="P11" s="1">
        <f>IFERROR(__xludf.DUMMYFUNCTION("""COMPUTED_VALUE"""),20000.0)</f>
        <v>20000</v>
      </c>
      <c r="Q11" s="1">
        <f>IFERROR(__xludf.DUMMYFUNCTION("""COMPUTED_VALUE"""),38.0)</f>
        <v>38</v>
      </c>
      <c r="R11" s="1">
        <f>IFERROR(__xludf.DUMMYFUNCTION("""COMPUTED_VALUE"""),7797.1201171875)</f>
        <v>7797.120117</v>
      </c>
      <c r="S11" s="1"/>
      <c r="T11" s="1"/>
      <c r="U11" s="1">
        <f>IFERROR(__xludf.DUMMYFUNCTION("""COMPUTED_VALUE"""),0.0)</f>
        <v>0</v>
      </c>
      <c r="V11" s="1"/>
      <c r="W11" s="1"/>
      <c r="X11" s="1">
        <f>IFERROR(__xludf.DUMMYFUNCTION("""COMPUTED_VALUE"""),0.0)</f>
        <v>0</v>
      </c>
      <c r="Y11" s="1">
        <f>IFERROR(__xludf.DUMMYFUNCTION("""COMPUTED_VALUE"""),18000.0)</f>
        <v>18000</v>
      </c>
      <c r="Z11" s="1">
        <f>IFERROR(__xludf.DUMMYFUNCTION("""COMPUTED_VALUE"""),73.0)</f>
        <v>73</v>
      </c>
      <c r="AA11" s="1">
        <f>IFERROR(__xludf.DUMMYFUNCTION("""COMPUTED_VALUE"""),18000.0)</f>
        <v>18000</v>
      </c>
      <c r="AB11" s="1">
        <f>IFERROR(__xludf.DUMMYFUNCTION("""COMPUTED_VALUE"""),73.0)</f>
        <v>73</v>
      </c>
      <c r="AC11" s="1"/>
      <c r="AD11" s="1"/>
      <c r="AE11" s="1">
        <f>IFERROR(__xludf.DUMMYFUNCTION("""COMPUTED_VALUE"""),0.0)</f>
        <v>0</v>
      </c>
      <c r="AF11" s="1">
        <f>IFERROR(__xludf.DUMMYFUNCTION("""COMPUTED_VALUE"""),7797.1201171875)</f>
        <v>7797.120117</v>
      </c>
      <c r="AG11" s="1"/>
      <c r="AH11" s="1"/>
      <c r="AI11" s="1">
        <f>IFERROR(__xludf.DUMMYFUNCTION("""COMPUTED_VALUE"""),0.0)</f>
        <v>0</v>
      </c>
      <c r="AJ11" s="1"/>
      <c r="AK11" s="1"/>
      <c r="AL11" s="1">
        <f>IFERROR(__xludf.DUMMYFUNCTION("""COMPUTED_VALUE"""),0.0)</f>
        <v>0</v>
      </c>
      <c r="AM11" s="1">
        <f>IFERROR(__xludf.DUMMYFUNCTION("""COMPUTED_VALUE"""),20000.0)</f>
        <v>20000</v>
      </c>
      <c r="AN11" s="1">
        <f>IFERROR(__xludf.DUMMYFUNCTION("""COMPUTED_VALUE"""),20.0)</f>
        <v>20</v>
      </c>
      <c r="AO11" s="1">
        <f>IFERROR(__xludf.DUMMYFUNCTION("""COMPUTED_VALUE"""),24000.0)</f>
        <v>24000</v>
      </c>
      <c r="AP11" s="1">
        <f>IFERROR(__xludf.DUMMYFUNCTION("""COMPUTED_VALUE"""),20.0)</f>
        <v>20</v>
      </c>
      <c r="AQ11" s="1"/>
      <c r="AR11" s="1"/>
      <c r="AS11" s="1">
        <f>IFERROR(__xludf.DUMMYFUNCTION("""COMPUTED_VALUE"""),0.0)</f>
        <v>0</v>
      </c>
    </row>
    <row r="12">
      <c r="A12" s="1" t="str">
        <f>IFERROR(__xludf.DUMMYFUNCTION("""COMPUTED_VALUE"""),"AGS")</f>
        <v>AGS</v>
      </c>
      <c r="B12" s="1"/>
      <c r="C12" s="1"/>
      <c r="D12" s="1">
        <f>IFERROR(__xludf.DUMMYFUNCTION("""COMPUTED_VALUE"""),250000.0)</f>
        <v>250000</v>
      </c>
      <c r="E12" s="1">
        <f>IFERROR(__xludf.DUMMYFUNCTION("""COMPUTED_VALUE"""),1.0)</f>
        <v>1</v>
      </c>
      <c r="F12" s="1">
        <f>IFERROR(__xludf.DUMMYFUNCTION("""COMPUTED_VALUE"""),489000.0)</f>
        <v>489000</v>
      </c>
      <c r="G12" s="1">
        <f>IFERROR(__xludf.DUMMYFUNCTION("""COMPUTED_VALUE"""),7.0)</f>
        <v>7</v>
      </c>
      <c r="H12" s="1"/>
      <c r="I12" s="1"/>
      <c r="J12" s="1">
        <f>IFERROR(__xludf.DUMMYFUNCTION("""COMPUTED_VALUE"""),0.0)</f>
        <v>0</v>
      </c>
      <c r="K12" s="1">
        <f>IFERROR(__xludf.DUMMYFUNCTION("""COMPUTED_VALUE"""),598000.0)</f>
        <v>598000</v>
      </c>
      <c r="L12" s="1">
        <f>IFERROR(__xludf.DUMMYFUNCTION("""COMPUTED_VALUE"""),1.0)</f>
        <v>1</v>
      </c>
      <c r="M12" s="1">
        <f>IFERROR(__xludf.DUMMYFUNCTION("""COMPUTED_VALUE"""),598000.0)</f>
        <v>598000</v>
      </c>
      <c r="N12" s="1">
        <f>IFERROR(__xludf.DUMMYFUNCTION("""COMPUTED_VALUE"""),2.0)</f>
        <v>2</v>
      </c>
      <c r="O12" s="1">
        <f>IFERROR(__xludf.DUMMYFUNCTION("""COMPUTED_VALUE"""),1.0)</f>
        <v>1</v>
      </c>
      <c r="P12" s="1">
        <f>IFERROR(__xludf.DUMMYFUNCTION("""COMPUTED_VALUE"""),399000.0)</f>
        <v>399000</v>
      </c>
      <c r="Q12" s="1">
        <f>IFERROR(__xludf.DUMMYFUNCTION("""COMPUTED_VALUE"""),1.0)</f>
        <v>1</v>
      </c>
      <c r="R12" s="1">
        <f>IFERROR(__xludf.DUMMYFUNCTION("""COMPUTED_VALUE"""),500000.0)</f>
        <v>500000</v>
      </c>
      <c r="S12" s="1"/>
      <c r="T12" s="1"/>
      <c r="U12" s="1">
        <f>IFERROR(__xludf.DUMMYFUNCTION("""COMPUTED_VALUE"""),0.0)</f>
        <v>0</v>
      </c>
      <c r="V12" s="1"/>
      <c r="W12" s="1"/>
      <c r="X12" s="1">
        <f>IFERROR(__xludf.DUMMYFUNCTION("""COMPUTED_VALUE"""),0.0)</f>
        <v>0</v>
      </c>
      <c r="Y12" s="1">
        <f>IFERROR(__xludf.DUMMYFUNCTION("""COMPUTED_VALUE"""),599000.0)</f>
        <v>599000</v>
      </c>
      <c r="Z12" s="1">
        <f>IFERROR(__xludf.DUMMYFUNCTION("""COMPUTED_VALUE"""),1.0)</f>
        <v>1</v>
      </c>
      <c r="AA12" s="1">
        <f>IFERROR(__xludf.DUMMYFUNCTION("""COMPUTED_VALUE"""),598000.0)</f>
        <v>598000</v>
      </c>
      <c r="AB12" s="1">
        <f>IFERROR(__xludf.DUMMYFUNCTION("""COMPUTED_VALUE"""),9.0)</f>
        <v>9</v>
      </c>
      <c r="AC12" s="1">
        <f>IFERROR(__xludf.DUMMYFUNCTION("""COMPUTED_VALUE"""),1.0)</f>
        <v>1</v>
      </c>
      <c r="AD12" s="1">
        <f>IFERROR(__xludf.DUMMYFUNCTION("""COMPUTED_VALUE"""),500000.0)</f>
        <v>500000</v>
      </c>
      <c r="AE12" s="1">
        <f>IFERROR(__xludf.DUMMYFUNCTION("""COMPUTED_VALUE"""),1.0)</f>
        <v>1</v>
      </c>
      <c r="AF12" s="1">
        <f>IFERROR(__xludf.DUMMYFUNCTION("""COMPUTED_VALUE"""),219398.5)</f>
        <v>219398.5</v>
      </c>
      <c r="AG12" s="1"/>
      <c r="AH12" s="1"/>
      <c r="AI12" s="1">
        <f>IFERROR(__xludf.DUMMYFUNCTION("""COMPUTED_VALUE"""),0.0)</f>
        <v>0</v>
      </c>
      <c r="AJ12" s="1"/>
      <c r="AK12" s="1"/>
      <c r="AL12" s="1">
        <f>IFERROR(__xludf.DUMMYFUNCTION("""COMPUTED_VALUE"""),0.0)</f>
        <v>0</v>
      </c>
      <c r="AM12" s="1">
        <f>IFERROR(__xludf.DUMMYFUNCTION("""COMPUTED_VALUE"""),798000.0)</f>
        <v>798000</v>
      </c>
      <c r="AN12" s="1">
        <f>IFERROR(__xludf.DUMMYFUNCTION("""COMPUTED_VALUE"""),1.0)</f>
        <v>1</v>
      </c>
      <c r="AO12" s="1">
        <f>IFERROR(__xludf.DUMMYFUNCTION("""COMPUTED_VALUE"""),798000.0)</f>
        <v>798000</v>
      </c>
      <c r="AP12" s="1">
        <f>IFERROR(__xludf.DUMMYFUNCTION("""COMPUTED_VALUE"""),3.0)</f>
        <v>3</v>
      </c>
      <c r="AQ12" s="1"/>
      <c r="AR12" s="1"/>
      <c r="AS12" s="1">
        <f>IFERROR(__xludf.DUMMYFUNCTION("""COMPUTED_VALUE"""),0.0)</f>
        <v>0</v>
      </c>
    </row>
    <row r="13">
      <c r="A13" s="1" t="str">
        <f>IFERROR(__xludf.DUMMYFUNCTION("""COMPUTED_VALUE"""),"AHP")</f>
        <v>AHP</v>
      </c>
      <c r="B13" s="1"/>
      <c r="C13" s="1"/>
      <c r="D13" s="1">
        <f>IFERROR(__xludf.DUMMYFUNCTION("""COMPUTED_VALUE"""),11278.8701171875)</f>
        <v>11278.87012</v>
      </c>
      <c r="E13" s="1">
        <f>IFERROR(__xludf.DUMMYFUNCTION("""COMPUTED_VALUE"""),565.0)</f>
        <v>565</v>
      </c>
      <c r="F13" s="1">
        <f>IFERROR(__xludf.DUMMYFUNCTION("""COMPUTED_VALUE"""),12000.0)</f>
        <v>12000</v>
      </c>
      <c r="G13" s="1">
        <f>IFERROR(__xludf.DUMMYFUNCTION("""COMPUTED_VALUE"""),1653.0)</f>
        <v>1653</v>
      </c>
      <c r="H13" s="1">
        <f>IFERROR(__xludf.DUMMYFUNCTION("""COMPUTED_VALUE"""),50.0)</f>
        <v>50</v>
      </c>
      <c r="I13" s="1">
        <f>IFERROR(__xludf.DUMMYFUNCTION("""COMPUTED_VALUE"""),8670.0)</f>
        <v>8670</v>
      </c>
      <c r="J13" s="1">
        <f>IFERROR(__xludf.DUMMYFUNCTION("""COMPUTED_VALUE"""),52.0)</f>
        <v>52</v>
      </c>
      <c r="K13" s="1">
        <f>IFERROR(__xludf.DUMMYFUNCTION("""COMPUTED_VALUE"""),13000.0)</f>
        <v>13000</v>
      </c>
      <c r="L13" s="1">
        <f>IFERROR(__xludf.DUMMYFUNCTION("""COMPUTED_VALUE"""),362.0)</f>
        <v>362</v>
      </c>
      <c r="M13" s="1">
        <f>IFERROR(__xludf.DUMMYFUNCTION("""COMPUTED_VALUE"""),13000.0)</f>
        <v>13000</v>
      </c>
      <c r="N13" s="1">
        <f>IFERROR(__xludf.DUMMYFUNCTION("""COMPUTED_VALUE"""),362.0)</f>
        <v>362</v>
      </c>
      <c r="O13" s="1"/>
      <c r="P13" s="1"/>
      <c r="Q13" s="1">
        <f>IFERROR(__xludf.DUMMYFUNCTION("""COMPUTED_VALUE"""),0.0)</f>
        <v>0</v>
      </c>
      <c r="R13" s="1">
        <f>IFERROR(__xludf.DUMMYFUNCTION("""COMPUTED_VALUE"""),5547.2099609375)</f>
        <v>5547.209961</v>
      </c>
      <c r="S13" s="1"/>
      <c r="T13" s="1"/>
      <c r="U13" s="1">
        <f>IFERROR(__xludf.DUMMYFUNCTION("""COMPUTED_VALUE"""),0.0)</f>
        <v>0</v>
      </c>
      <c r="V13" s="1"/>
      <c r="W13" s="1"/>
      <c r="X13" s="1">
        <f>IFERROR(__xludf.DUMMYFUNCTION("""COMPUTED_VALUE"""),0.0)</f>
        <v>0</v>
      </c>
      <c r="Y13" s="1">
        <f>IFERROR(__xludf.DUMMYFUNCTION("""COMPUTED_VALUE"""),9500.0)</f>
        <v>9500</v>
      </c>
      <c r="Z13" s="1">
        <f>IFERROR(__xludf.DUMMYFUNCTION("""COMPUTED_VALUE"""),400.0)</f>
        <v>400</v>
      </c>
      <c r="AA13" s="1">
        <f>IFERROR(__xludf.DUMMYFUNCTION("""COMPUTED_VALUE"""),13000.0)</f>
        <v>13000</v>
      </c>
      <c r="AB13" s="1">
        <f>IFERROR(__xludf.DUMMYFUNCTION("""COMPUTED_VALUE"""),1972.0)</f>
        <v>1972</v>
      </c>
      <c r="AC13" s="1">
        <f>IFERROR(__xludf.DUMMYFUNCTION("""COMPUTED_VALUE"""),99.0)</f>
        <v>99</v>
      </c>
      <c r="AD13" s="1">
        <f>IFERROR(__xludf.DUMMYFUNCTION("""COMPUTED_VALUE"""),9500.0)</f>
        <v>9500</v>
      </c>
      <c r="AE13" s="1">
        <f>IFERROR(__xludf.DUMMYFUNCTION("""COMPUTED_VALUE"""),245.0)</f>
        <v>245</v>
      </c>
      <c r="AF13" s="1">
        <f>IFERROR(__xludf.DUMMYFUNCTION("""COMPUTED_VALUE"""),5547.2099609375)</f>
        <v>5547.209961</v>
      </c>
      <c r="AG13" s="1"/>
      <c r="AH13" s="1"/>
      <c r="AI13" s="1">
        <f>IFERROR(__xludf.DUMMYFUNCTION("""COMPUTED_VALUE"""),0.0)</f>
        <v>0</v>
      </c>
      <c r="AJ13" s="1"/>
      <c r="AK13" s="1"/>
      <c r="AL13" s="1">
        <f>IFERROR(__xludf.DUMMYFUNCTION("""COMPUTED_VALUE"""),0.0)</f>
        <v>0</v>
      </c>
      <c r="AM13" s="1">
        <f>IFERROR(__xludf.DUMMYFUNCTION("""COMPUTED_VALUE"""),12000.0)</f>
        <v>12000</v>
      </c>
      <c r="AN13" s="1">
        <f>IFERROR(__xludf.DUMMYFUNCTION("""COMPUTED_VALUE"""),124.0)</f>
        <v>124</v>
      </c>
      <c r="AO13" s="1">
        <f>IFERROR(__xludf.DUMMYFUNCTION("""COMPUTED_VALUE"""),12000.0)</f>
        <v>12000</v>
      </c>
      <c r="AP13" s="1">
        <f>IFERROR(__xludf.DUMMYFUNCTION("""COMPUTED_VALUE"""),361.0)</f>
        <v>361</v>
      </c>
      <c r="AQ13" s="1"/>
      <c r="AR13" s="1"/>
      <c r="AS13" s="1">
        <f>IFERROR(__xludf.DUMMYFUNCTION("""COMPUTED_VALUE"""),0.0)</f>
        <v>0</v>
      </c>
    </row>
    <row r="14">
      <c r="A14" s="1" t="str">
        <f>IFERROR(__xludf.DUMMYFUNCTION("""COMPUTED_VALUE"""),"AIR")</f>
        <v>AIR</v>
      </c>
      <c r="B14" s="1">
        <f>IFERROR(__xludf.DUMMYFUNCTION("""COMPUTED_VALUE"""),200000.0)</f>
        <v>200000</v>
      </c>
      <c r="C14" s="1"/>
      <c r="D14" s="1">
        <f>IFERROR(__xludf.DUMMYFUNCTION("""COMPUTED_VALUE"""),200000.0)</f>
        <v>200000</v>
      </c>
      <c r="E14" s="1">
        <f>IFERROR(__xludf.DUMMYFUNCTION("""COMPUTED_VALUE"""),17.0)</f>
        <v>17</v>
      </c>
      <c r="F14" s="1">
        <f>IFERROR(__xludf.DUMMYFUNCTION("""COMPUTED_VALUE"""),201000.0)</f>
        <v>201000</v>
      </c>
      <c r="G14" s="1">
        <f>IFERROR(__xludf.DUMMYFUNCTION("""COMPUTED_VALUE"""),228.0)</f>
        <v>228</v>
      </c>
      <c r="H14" s="1">
        <f>IFERROR(__xludf.DUMMYFUNCTION("""COMPUTED_VALUE"""),100.0)</f>
        <v>100</v>
      </c>
      <c r="I14" s="1">
        <f>IFERROR(__xludf.DUMMYFUNCTION("""COMPUTED_VALUE"""),200000.0)</f>
        <v>200000</v>
      </c>
      <c r="J14" s="1">
        <f>IFERROR(__xludf.DUMMYFUNCTION("""COMPUTED_VALUE"""),155.0)</f>
        <v>155</v>
      </c>
      <c r="K14" s="1">
        <f>IFERROR(__xludf.DUMMYFUNCTION("""COMPUTED_VALUE"""),200000.0)</f>
        <v>200000</v>
      </c>
      <c r="L14" s="1">
        <f>IFERROR(__xludf.DUMMYFUNCTION("""COMPUTED_VALUE"""),1.0)</f>
        <v>1</v>
      </c>
      <c r="M14" s="1">
        <f>IFERROR(__xludf.DUMMYFUNCTION("""COMPUTED_VALUE"""),221000.0)</f>
        <v>221000</v>
      </c>
      <c r="N14" s="1">
        <f>IFERROR(__xludf.DUMMYFUNCTION("""COMPUTED_VALUE"""),1.0)</f>
        <v>1</v>
      </c>
      <c r="O14" s="1">
        <f>IFERROR(__xludf.DUMMYFUNCTION("""COMPUTED_VALUE"""),100.0)</f>
        <v>100</v>
      </c>
      <c r="P14" s="1">
        <f>IFERROR(__xludf.DUMMYFUNCTION("""COMPUTED_VALUE"""),200000.0)</f>
        <v>200000</v>
      </c>
      <c r="Q14" s="1">
        <f>IFERROR(__xludf.DUMMYFUNCTION("""COMPUTED_VALUE"""),100.0)</f>
        <v>100</v>
      </c>
      <c r="R14" s="1">
        <f>IFERROR(__xludf.DUMMYFUNCTION("""COMPUTED_VALUE"""),90993.921875)</f>
        <v>90993.92188</v>
      </c>
      <c r="S14" s="1"/>
      <c r="T14" s="1"/>
      <c r="U14" s="1">
        <f>IFERROR(__xludf.DUMMYFUNCTION("""COMPUTED_VALUE"""),0.0)</f>
        <v>0</v>
      </c>
      <c r="V14" s="1"/>
      <c r="W14" s="1"/>
      <c r="X14" s="1">
        <f>IFERROR(__xludf.DUMMYFUNCTION("""COMPUTED_VALUE"""),0.0)</f>
        <v>0</v>
      </c>
      <c r="Y14" s="1">
        <f>IFERROR(__xludf.DUMMYFUNCTION("""COMPUTED_VALUE"""),201000.0)</f>
        <v>201000</v>
      </c>
      <c r="Z14" s="1">
        <f>IFERROR(__xludf.DUMMYFUNCTION("""COMPUTED_VALUE"""),10.0)</f>
        <v>10</v>
      </c>
      <c r="AA14" s="1">
        <f>IFERROR(__xludf.DUMMYFUNCTION("""COMPUTED_VALUE"""),240000.0)</f>
        <v>240000</v>
      </c>
      <c r="AB14" s="1">
        <f>IFERROR(__xludf.DUMMYFUNCTION("""COMPUTED_VALUE"""),10.0)</f>
        <v>10</v>
      </c>
      <c r="AC14" s="1">
        <f>IFERROR(__xludf.DUMMYFUNCTION("""COMPUTED_VALUE"""),2.0)</f>
        <v>2</v>
      </c>
      <c r="AD14" s="1">
        <f>IFERROR(__xludf.DUMMYFUNCTION("""COMPUTED_VALUE"""),201000.0)</f>
        <v>201000</v>
      </c>
      <c r="AE14" s="1">
        <f>IFERROR(__xludf.DUMMYFUNCTION("""COMPUTED_VALUE"""),102.0)</f>
        <v>102</v>
      </c>
      <c r="AF14" s="1">
        <f>IFERROR(__xludf.DUMMYFUNCTION("""COMPUTED_VALUE"""),90993.921875)</f>
        <v>90993.92188</v>
      </c>
      <c r="AG14" s="1"/>
      <c r="AH14" s="1"/>
      <c r="AI14" s="1">
        <f>IFERROR(__xludf.DUMMYFUNCTION("""COMPUTED_VALUE"""),0.0)</f>
        <v>0</v>
      </c>
      <c r="AJ14" s="1"/>
      <c r="AK14" s="1"/>
      <c r="AL14" s="1">
        <f>IFERROR(__xludf.DUMMYFUNCTION("""COMPUTED_VALUE"""),0.0)</f>
        <v>0</v>
      </c>
      <c r="AM14" s="1">
        <f>IFERROR(__xludf.DUMMYFUNCTION("""COMPUTED_VALUE"""),200000.0)</f>
        <v>200000</v>
      </c>
      <c r="AN14" s="1">
        <f>IFERROR(__xludf.DUMMYFUNCTION("""COMPUTED_VALUE"""),10.0)</f>
        <v>10</v>
      </c>
      <c r="AO14" s="1">
        <f>IFERROR(__xludf.DUMMYFUNCTION("""COMPUTED_VALUE"""),201000.0)</f>
        <v>201000</v>
      </c>
      <c r="AP14" s="1">
        <f>IFERROR(__xludf.DUMMYFUNCTION("""COMPUTED_VALUE"""),14.0)</f>
        <v>14</v>
      </c>
      <c r="AQ14" s="1">
        <f>IFERROR(__xludf.DUMMYFUNCTION("""COMPUTED_VALUE"""),100.0)</f>
        <v>100</v>
      </c>
      <c r="AR14" s="1">
        <f>IFERROR(__xludf.DUMMYFUNCTION("""COMPUTED_VALUE"""),200000.0)</f>
        <v>200000</v>
      </c>
      <c r="AS14" s="1">
        <f>IFERROR(__xludf.DUMMYFUNCTION("""COMPUTED_VALUE"""),100.0)</f>
        <v>100</v>
      </c>
    </row>
    <row r="15">
      <c r="A15" s="1" t="str">
        <f>IFERROR(__xludf.DUMMYFUNCTION("""COMPUTED_VALUE"""),"AL")</f>
        <v>AL</v>
      </c>
      <c r="B15" s="1"/>
      <c r="C15" s="1"/>
      <c r="D15" s="1">
        <f>IFERROR(__xludf.DUMMYFUNCTION("""COMPUTED_VALUE"""),910.0)</f>
        <v>910</v>
      </c>
      <c r="E15" s="1">
        <f>IFERROR(__xludf.DUMMYFUNCTION("""COMPUTED_VALUE"""),211.0)</f>
        <v>211</v>
      </c>
      <c r="F15" s="1">
        <f>IFERROR(__xludf.DUMMYFUNCTION("""COMPUTED_VALUE"""),950.0)</f>
        <v>950</v>
      </c>
      <c r="G15" s="1">
        <f>IFERROR(__xludf.DUMMYFUNCTION("""COMPUTED_VALUE"""),122054.0)</f>
        <v>122054</v>
      </c>
      <c r="H15" s="1">
        <f>IFERROR(__xludf.DUMMYFUNCTION("""COMPUTED_VALUE"""),982.0)</f>
        <v>982</v>
      </c>
      <c r="I15" s="1">
        <f>IFERROR(__xludf.DUMMYFUNCTION("""COMPUTED_VALUE"""),910.0)</f>
        <v>910</v>
      </c>
      <c r="J15" s="1">
        <f>IFERROR(__xludf.DUMMYFUNCTION("""COMPUTED_VALUE"""),56590.0)</f>
        <v>56590</v>
      </c>
      <c r="K15" s="1">
        <f>IFERROR(__xludf.DUMMYFUNCTION("""COMPUTED_VALUE"""),990.0)</f>
        <v>990</v>
      </c>
      <c r="L15" s="1">
        <f>IFERROR(__xludf.DUMMYFUNCTION("""COMPUTED_VALUE"""),949.0)</f>
        <v>949</v>
      </c>
      <c r="M15" s="1">
        <f>IFERROR(__xludf.DUMMYFUNCTION("""COMPUTED_VALUE"""),990.0)</f>
        <v>990</v>
      </c>
      <c r="N15" s="1">
        <f>IFERROR(__xludf.DUMMYFUNCTION("""COMPUTED_VALUE"""),48978.0)</f>
        <v>48978</v>
      </c>
      <c r="O15" s="1">
        <f>IFERROR(__xludf.DUMMYFUNCTION("""COMPUTED_VALUE"""),200.0)</f>
        <v>200</v>
      </c>
      <c r="P15" s="1">
        <f>IFERROR(__xludf.DUMMYFUNCTION("""COMPUTED_VALUE"""),930.0)</f>
        <v>930</v>
      </c>
      <c r="Q15" s="1">
        <f>IFERROR(__xludf.DUMMYFUNCTION("""COMPUTED_VALUE"""),12190.0)</f>
        <v>12190</v>
      </c>
      <c r="R15" s="1">
        <f>IFERROR(__xludf.DUMMYFUNCTION("""COMPUTED_VALUE"""),125.0)</f>
        <v>125</v>
      </c>
      <c r="S15" s="1">
        <f>IFERROR(__xludf.DUMMYFUNCTION("""COMPUTED_VALUE"""),71.0)</f>
        <v>71</v>
      </c>
      <c r="T15" s="1">
        <f>IFERROR(__xludf.DUMMYFUNCTION("""COMPUTED_VALUE"""),950.0)</f>
        <v>950</v>
      </c>
      <c r="U15" s="1">
        <f>IFERROR(__xludf.DUMMYFUNCTION("""COMPUTED_VALUE"""),1171.0)</f>
        <v>1171</v>
      </c>
      <c r="V15" s="1">
        <f>IFERROR(__xludf.DUMMYFUNCTION("""COMPUTED_VALUE"""),1000.0)</f>
        <v>1000</v>
      </c>
      <c r="W15" s="1">
        <f>IFERROR(__xludf.DUMMYFUNCTION("""COMPUTED_VALUE"""),850.0)</f>
        <v>850</v>
      </c>
      <c r="X15" s="1">
        <f>IFERROR(__xludf.DUMMYFUNCTION("""COMPUTED_VALUE"""),1000.0)</f>
        <v>1000</v>
      </c>
      <c r="Y15" s="1">
        <f>IFERROR(__xludf.DUMMYFUNCTION("""COMPUTED_VALUE"""),955.0)</f>
        <v>955</v>
      </c>
      <c r="Z15" s="1">
        <f>IFERROR(__xludf.DUMMYFUNCTION("""COMPUTED_VALUE"""),2634.0)</f>
        <v>2634</v>
      </c>
      <c r="AA15" s="1">
        <f>IFERROR(__xludf.DUMMYFUNCTION("""COMPUTED_VALUE"""),987.0)</f>
        <v>987</v>
      </c>
      <c r="AB15" s="1">
        <f>IFERROR(__xludf.DUMMYFUNCTION("""COMPUTED_VALUE"""),99400.0)</f>
        <v>99400</v>
      </c>
      <c r="AC15" s="1">
        <f>IFERROR(__xludf.DUMMYFUNCTION("""COMPUTED_VALUE"""),152.0)</f>
        <v>152</v>
      </c>
      <c r="AD15" s="1">
        <f>IFERROR(__xludf.DUMMYFUNCTION("""COMPUTED_VALUE"""),955.0)</f>
        <v>955</v>
      </c>
      <c r="AE15" s="1">
        <f>IFERROR(__xludf.DUMMYFUNCTION("""COMPUTED_VALUE"""),38970.0)</f>
        <v>38970</v>
      </c>
      <c r="AF15" s="1">
        <f>IFERROR(__xludf.DUMMYFUNCTION("""COMPUTED_VALUE"""),1300.0)</f>
        <v>1300</v>
      </c>
      <c r="AG15" s="1">
        <f>IFERROR(__xludf.DUMMYFUNCTION("""COMPUTED_VALUE"""),30.0)</f>
        <v>30</v>
      </c>
      <c r="AH15" s="1">
        <f>IFERROR(__xludf.DUMMYFUNCTION("""COMPUTED_VALUE"""),1200.0)</f>
        <v>1200</v>
      </c>
      <c r="AI15" s="1">
        <f>IFERROR(__xludf.DUMMYFUNCTION("""COMPUTED_VALUE"""),150.0)</f>
        <v>150</v>
      </c>
      <c r="AJ15" s="1">
        <f>IFERROR(__xludf.DUMMYFUNCTION("""COMPUTED_VALUE"""),300.0)</f>
        <v>300</v>
      </c>
      <c r="AK15" s="1">
        <f>IFERROR(__xludf.DUMMYFUNCTION("""COMPUTED_VALUE"""),800.0)</f>
        <v>800</v>
      </c>
      <c r="AL15" s="1">
        <f>IFERROR(__xludf.DUMMYFUNCTION("""COMPUTED_VALUE"""),300.0)</f>
        <v>300</v>
      </c>
      <c r="AM15" s="1">
        <f>IFERROR(__xludf.DUMMYFUNCTION("""COMPUTED_VALUE"""),980.0)</f>
        <v>980</v>
      </c>
      <c r="AN15" s="1">
        <f>IFERROR(__xludf.DUMMYFUNCTION("""COMPUTED_VALUE"""),1438.0)</f>
        <v>1438</v>
      </c>
      <c r="AO15" s="1">
        <f>IFERROR(__xludf.DUMMYFUNCTION("""COMPUTED_VALUE"""),980.0)</f>
        <v>980</v>
      </c>
      <c r="AP15" s="1">
        <f>IFERROR(__xludf.DUMMYFUNCTION("""COMPUTED_VALUE"""),34694.0)</f>
        <v>34694</v>
      </c>
      <c r="AQ15" s="1">
        <f>IFERROR(__xludf.DUMMYFUNCTION("""COMPUTED_VALUE"""),1000.0)</f>
        <v>1000</v>
      </c>
      <c r="AR15" s="1">
        <f>IFERROR(__xludf.DUMMYFUNCTION("""COMPUTED_VALUE"""),900.0)</f>
        <v>900</v>
      </c>
      <c r="AS15" s="1">
        <f>IFERROR(__xludf.DUMMYFUNCTION("""COMPUTED_VALUE"""),10060.0)</f>
        <v>10060</v>
      </c>
    </row>
    <row r="16">
      <c r="A16" s="1" t="str">
        <f>IFERROR(__xludf.DUMMYFUNCTION("""COMPUTED_VALUE"""),"ALE")</f>
        <v>ALE</v>
      </c>
      <c r="B16" s="1"/>
      <c r="C16" s="1"/>
      <c r="D16" s="1">
        <f>IFERROR(__xludf.DUMMYFUNCTION("""COMPUTED_VALUE"""),1500.0)</f>
        <v>1500</v>
      </c>
      <c r="E16" s="1">
        <f>IFERROR(__xludf.DUMMYFUNCTION("""COMPUTED_VALUE"""),1238.0)</f>
        <v>1238</v>
      </c>
      <c r="F16" s="1">
        <f>IFERROR(__xludf.DUMMYFUNCTION("""COMPUTED_VALUE"""),1500.0)</f>
        <v>1500</v>
      </c>
      <c r="G16" s="1">
        <f>IFERROR(__xludf.DUMMYFUNCTION("""COMPUTED_VALUE"""),14141.0)</f>
        <v>14141</v>
      </c>
      <c r="H16" s="1">
        <f>IFERROR(__xludf.DUMMYFUNCTION("""COMPUTED_VALUE"""),376.0)</f>
        <v>376</v>
      </c>
      <c r="I16" s="1">
        <f>IFERROR(__xludf.DUMMYFUNCTION("""COMPUTED_VALUE"""),1250.0)</f>
        <v>1250</v>
      </c>
      <c r="J16" s="1">
        <f>IFERROR(__xludf.DUMMYFUNCTION("""COMPUTED_VALUE"""),11079.0)</f>
        <v>11079</v>
      </c>
      <c r="K16" s="1">
        <f>IFERROR(__xludf.DUMMYFUNCTION("""COMPUTED_VALUE"""),1433.57995605468)</f>
        <v>1433.579956</v>
      </c>
      <c r="L16" s="1">
        <f>IFERROR(__xludf.DUMMYFUNCTION("""COMPUTED_VALUE"""),100.0)</f>
        <v>100</v>
      </c>
      <c r="M16" s="1">
        <f>IFERROR(__xludf.DUMMYFUNCTION("""COMPUTED_VALUE"""),1400.0)</f>
        <v>1400</v>
      </c>
      <c r="N16" s="1">
        <f>IFERROR(__xludf.DUMMYFUNCTION("""COMPUTED_VALUE"""),16745.0)</f>
        <v>16745</v>
      </c>
      <c r="O16" s="1">
        <f>IFERROR(__xludf.DUMMYFUNCTION("""COMPUTED_VALUE"""),500.0)</f>
        <v>500</v>
      </c>
      <c r="P16" s="1">
        <f>IFERROR(__xludf.DUMMYFUNCTION("""COMPUTED_VALUE"""),1220.0)</f>
        <v>1220</v>
      </c>
      <c r="Q16" s="1">
        <f>IFERROR(__xludf.DUMMYFUNCTION("""COMPUTED_VALUE"""),4765.0)</f>
        <v>4765</v>
      </c>
      <c r="R16" s="1">
        <f>IFERROR(__xludf.DUMMYFUNCTION("""COMPUTED_VALUE"""),1480.0)</f>
        <v>1480</v>
      </c>
      <c r="S16" s="1">
        <f>IFERROR(__xludf.DUMMYFUNCTION("""COMPUTED_VALUE"""),476.0)</f>
        <v>476</v>
      </c>
      <c r="T16" s="1">
        <f>IFERROR(__xludf.DUMMYFUNCTION("""COMPUTED_VALUE"""),1480.0)</f>
        <v>1480</v>
      </c>
      <c r="U16" s="1">
        <f>IFERROR(__xludf.DUMMYFUNCTION("""COMPUTED_VALUE"""),776.0)</f>
        <v>776</v>
      </c>
      <c r="V16" s="1"/>
      <c r="W16" s="1"/>
      <c r="X16" s="1">
        <f>IFERROR(__xludf.DUMMYFUNCTION("""COMPUTED_VALUE"""),0.0)</f>
        <v>0</v>
      </c>
      <c r="Y16" s="1">
        <f>IFERROR(__xludf.DUMMYFUNCTION("""COMPUTED_VALUE"""),1470.0)</f>
        <v>1470</v>
      </c>
      <c r="Z16" s="1">
        <f>IFERROR(__xludf.DUMMYFUNCTION("""COMPUTED_VALUE"""),86.0)</f>
        <v>86</v>
      </c>
      <c r="AA16" s="1">
        <f>IFERROR(__xludf.DUMMYFUNCTION("""COMPUTED_VALUE"""),1470.0)</f>
        <v>1470</v>
      </c>
      <c r="AB16" s="1">
        <f>IFERROR(__xludf.DUMMYFUNCTION("""COMPUTED_VALUE"""),18766.0)</f>
        <v>18766</v>
      </c>
      <c r="AC16" s="1">
        <f>IFERROR(__xludf.DUMMYFUNCTION("""COMPUTED_VALUE"""),3.0)</f>
        <v>3</v>
      </c>
      <c r="AD16" s="1">
        <f>IFERROR(__xludf.DUMMYFUNCTION("""COMPUTED_VALUE"""),1260.0)</f>
        <v>1260</v>
      </c>
      <c r="AE16" s="1">
        <f>IFERROR(__xludf.DUMMYFUNCTION("""COMPUTED_VALUE"""),7506.0)</f>
        <v>7506</v>
      </c>
      <c r="AF16" s="1">
        <f>IFERROR(__xludf.DUMMYFUNCTION("""COMPUTED_VALUE"""),1000.0)</f>
        <v>1000</v>
      </c>
      <c r="AG16" s="1">
        <f>IFERROR(__xludf.DUMMYFUNCTION("""COMPUTED_VALUE"""),44.0)</f>
        <v>44</v>
      </c>
      <c r="AH16" s="1">
        <f>IFERROR(__xludf.DUMMYFUNCTION("""COMPUTED_VALUE"""),1380.0)</f>
        <v>1380</v>
      </c>
      <c r="AI16" s="1">
        <f>IFERROR(__xludf.DUMMYFUNCTION("""COMPUTED_VALUE"""),1117.0)</f>
        <v>1117</v>
      </c>
      <c r="AJ16" s="1">
        <f>IFERROR(__xludf.DUMMYFUNCTION("""COMPUTED_VALUE"""),14.0)</f>
        <v>14</v>
      </c>
      <c r="AK16" s="1">
        <f>IFERROR(__xludf.DUMMYFUNCTION("""COMPUTED_VALUE"""),1000.0)</f>
        <v>1000</v>
      </c>
      <c r="AL16" s="1">
        <f>IFERROR(__xludf.DUMMYFUNCTION("""COMPUTED_VALUE"""),14.0)</f>
        <v>14</v>
      </c>
      <c r="AM16" s="1">
        <f>IFERROR(__xludf.DUMMYFUNCTION("""COMPUTED_VALUE"""),1380.0)</f>
        <v>1380</v>
      </c>
      <c r="AN16" s="1">
        <f>IFERROR(__xludf.DUMMYFUNCTION("""COMPUTED_VALUE"""),400.0)</f>
        <v>400</v>
      </c>
      <c r="AO16" s="1">
        <f>IFERROR(__xludf.DUMMYFUNCTION("""COMPUTED_VALUE"""),1350.0)</f>
        <v>1350</v>
      </c>
      <c r="AP16" s="1">
        <f>IFERROR(__xludf.DUMMYFUNCTION("""COMPUTED_VALUE"""),15539.0)</f>
        <v>15539</v>
      </c>
      <c r="AQ16" s="1">
        <f>IFERROR(__xludf.DUMMYFUNCTION("""COMPUTED_VALUE"""),9.0)</f>
        <v>9</v>
      </c>
      <c r="AR16" s="1">
        <f>IFERROR(__xludf.DUMMYFUNCTION("""COMPUTED_VALUE"""),1220.0)</f>
        <v>1220</v>
      </c>
      <c r="AS16" s="1">
        <f>IFERROR(__xludf.DUMMYFUNCTION("""COMPUTED_VALUE"""),7429.0)</f>
        <v>7429</v>
      </c>
    </row>
    <row r="17">
      <c r="A17" s="1" t="str">
        <f>IFERROR(__xludf.DUMMYFUNCTION("""COMPUTED_VALUE"""),"ALG")</f>
        <v>ALG</v>
      </c>
      <c r="B17" s="1">
        <f>IFERROR(__xludf.DUMMYFUNCTION("""COMPUTED_VALUE"""),80.0)</f>
        <v>80</v>
      </c>
      <c r="C17" s="1"/>
      <c r="D17" s="1">
        <f>IFERROR(__xludf.DUMMYFUNCTION("""COMPUTED_VALUE"""),250.0)</f>
        <v>250</v>
      </c>
      <c r="E17" s="1">
        <f>IFERROR(__xludf.DUMMYFUNCTION("""COMPUTED_VALUE"""),1751.0)</f>
        <v>1751</v>
      </c>
      <c r="F17" s="1">
        <f>IFERROR(__xludf.DUMMYFUNCTION("""COMPUTED_VALUE"""),250.0)</f>
        <v>250</v>
      </c>
      <c r="G17" s="1">
        <f>IFERROR(__xludf.DUMMYFUNCTION("""COMPUTED_VALUE"""),51349.0)</f>
        <v>51349</v>
      </c>
      <c r="H17" s="1">
        <f>IFERROR(__xludf.DUMMYFUNCTION("""COMPUTED_VALUE"""),500.0)</f>
        <v>500</v>
      </c>
      <c r="I17" s="1">
        <f>IFERROR(__xludf.DUMMYFUNCTION("""COMPUTED_VALUE"""),242.0)</f>
        <v>242</v>
      </c>
      <c r="J17" s="1">
        <f>IFERROR(__xludf.DUMMYFUNCTION("""COMPUTED_VALUE"""),6133.0)</f>
        <v>6133</v>
      </c>
      <c r="K17" s="1">
        <f>IFERROR(__xludf.DUMMYFUNCTION("""COMPUTED_VALUE"""),290.0)</f>
        <v>290</v>
      </c>
      <c r="L17" s="1">
        <f>IFERROR(__xludf.DUMMYFUNCTION("""COMPUTED_VALUE"""),371.0)</f>
        <v>371</v>
      </c>
      <c r="M17" s="1">
        <f>IFERROR(__xludf.DUMMYFUNCTION("""COMPUTED_VALUE"""),289.0)</f>
        <v>289</v>
      </c>
      <c r="N17" s="1">
        <f>IFERROR(__xludf.DUMMYFUNCTION("""COMPUTED_VALUE"""),14365.0)</f>
        <v>14365</v>
      </c>
      <c r="O17" s="1">
        <f>IFERROR(__xludf.DUMMYFUNCTION("""COMPUTED_VALUE"""),74.0)</f>
        <v>74</v>
      </c>
      <c r="P17" s="1">
        <f>IFERROR(__xludf.DUMMYFUNCTION("""COMPUTED_VALUE"""),257.0)</f>
        <v>257</v>
      </c>
      <c r="Q17" s="1">
        <f>IFERROR(__xludf.DUMMYFUNCTION("""COMPUTED_VALUE"""),11002.0)</f>
        <v>11002</v>
      </c>
      <c r="R17" s="1">
        <f>IFERROR(__xludf.DUMMYFUNCTION("""COMPUTED_VALUE"""),250.0)</f>
        <v>250</v>
      </c>
      <c r="S17" s="1"/>
      <c r="T17" s="1"/>
      <c r="U17" s="1">
        <f>IFERROR(__xludf.DUMMYFUNCTION("""COMPUTED_VALUE"""),0.0)</f>
        <v>0</v>
      </c>
      <c r="V17" s="1"/>
      <c r="W17" s="1"/>
      <c r="X17" s="1">
        <f>IFERROR(__xludf.DUMMYFUNCTION("""COMPUTED_VALUE"""),0.0)</f>
        <v>0</v>
      </c>
      <c r="Y17" s="1">
        <f>IFERROR(__xludf.DUMMYFUNCTION("""COMPUTED_VALUE"""),256.0)</f>
        <v>256</v>
      </c>
      <c r="Z17" s="1">
        <f>IFERROR(__xludf.DUMMYFUNCTION("""COMPUTED_VALUE"""),23.0)</f>
        <v>23</v>
      </c>
      <c r="AA17" s="1">
        <f>IFERROR(__xludf.DUMMYFUNCTION("""COMPUTED_VALUE"""),315.0)</f>
        <v>315</v>
      </c>
      <c r="AB17" s="1">
        <f>IFERROR(__xludf.DUMMYFUNCTION("""COMPUTED_VALUE"""),60035.0)</f>
        <v>60035</v>
      </c>
      <c r="AC17" s="1">
        <f>IFERROR(__xludf.DUMMYFUNCTION("""COMPUTED_VALUE"""),1963.0)</f>
        <v>1963</v>
      </c>
      <c r="AD17" s="1">
        <f>IFERROR(__xludf.DUMMYFUNCTION("""COMPUTED_VALUE"""),256.0)</f>
        <v>256</v>
      </c>
      <c r="AE17" s="1">
        <f>IFERROR(__xludf.DUMMYFUNCTION("""COMPUTED_VALUE"""),14284.0)</f>
        <v>14284</v>
      </c>
      <c r="AF17" s="1">
        <f>IFERROR(__xludf.DUMMYFUNCTION("""COMPUTED_VALUE"""),100.0)</f>
        <v>100</v>
      </c>
      <c r="AG17" s="1"/>
      <c r="AH17" s="1"/>
      <c r="AI17" s="1">
        <f>IFERROR(__xludf.DUMMYFUNCTION("""COMPUTED_VALUE"""),0.0)</f>
        <v>0</v>
      </c>
      <c r="AJ17" s="1">
        <f>IFERROR(__xludf.DUMMYFUNCTION("""COMPUTED_VALUE"""),1000.0)</f>
        <v>1000</v>
      </c>
      <c r="AK17" s="1">
        <f>IFERROR(__xludf.DUMMYFUNCTION("""COMPUTED_VALUE"""),200.0)</f>
        <v>200</v>
      </c>
      <c r="AL17" s="1">
        <f>IFERROR(__xludf.DUMMYFUNCTION("""COMPUTED_VALUE"""),1000.0)</f>
        <v>1000</v>
      </c>
      <c r="AM17" s="1">
        <f>IFERROR(__xludf.DUMMYFUNCTION("""COMPUTED_VALUE"""),268.0)</f>
        <v>268</v>
      </c>
      <c r="AN17" s="1">
        <f>IFERROR(__xludf.DUMMYFUNCTION("""COMPUTED_VALUE"""),1759.0)</f>
        <v>1759</v>
      </c>
      <c r="AO17" s="1">
        <f>IFERROR(__xludf.DUMMYFUNCTION("""COMPUTED_VALUE"""),268.0)</f>
        <v>268</v>
      </c>
      <c r="AP17" s="1">
        <f>IFERROR(__xludf.DUMMYFUNCTION("""COMPUTED_VALUE"""),14738.0)</f>
        <v>14738</v>
      </c>
      <c r="AQ17" s="1">
        <f>IFERROR(__xludf.DUMMYFUNCTION("""COMPUTED_VALUE"""),876.0)</f>
        <v>876</v>
      </c>
      <c r="AR17" s="1">
        <f>IFERROR(__xludf.DUMMYFUNCTION("""COMPUTED_VALUE"""),260.0)</f>
        <v>260</v>
      </c>
      <c r="AS17" s="1">
        <f>IFERROR(__xludf.DUMMYFUNCTION("""COMPUTED_VALUE"""),21880.0)</f>
        <v>21880</v>
      </c>
    </row>
    <row r="18">
      <c r="A18" s="1" t="str">
        <f>IFERROR(__xludf.DUMMYFUNCTION("""COMPUTED_VALUE"""),"ALO")</f>
        <v>ALO</v>
      </c>
      <c r="B18" s="1">
        <f>IFERROR(__xludf.DUMMYFUNCTION("""COMPUTED_VALUE"""),42.0)</f>
        <v>42</v>
      </c>
      <c r="C18" s="1"/>
      <c r="D18" s="1">
        <f>IFERROR(__xludf.DUMMYFUNCTION("""COMPUTED_VALUE"""),150.0)</f>
        <v>150</v>
      </c>
      <c r="E18" s="1">
        <f>IFERROR(__xludf.DUMMYFUNCTION("""COMPUTED_VALUE"""),26.0)</f>
        <v>26</v>
      </c>
      <c r="F18" s="1">
        <f>IFERROR(__xludf.DUMMYFUNCTION("""COMPUTED_VALUE"""),150.0)</f>
        <v>150</v>
      </c>
      <c r="G18" s="1">
        <f>IFERROR(__xludf.DUMMYFUNCTION("""COMPUTED_VALUE"""),162183.0)</f>
        <v>162183</v>
      </c>
      <c r="H18" s="1">
        <f>IFERROR(__xludf.DUMMYFUNCTION("""COMPUTED_VALUE"""),3729.0)</f>
        <v>3729</v>
      </c>
      <c r="I18" s="1">
        <f>IFERROR(__xludf.DUMMYFUNCTION("""COMPUTED_VALUE"""),141.0)</f>
        <v>141</v>
      </c>
      <c r="J18" s="1">
        <f>IFERROR(__xludf.DUMMYFUNCTION("""COMPUTED_VALUE"""),85385.0)</f>
        <v>85385</v>
      </c>
      <c r="K18" s="1">
        <f>IFERROR(__xludf.DUMMYFUNCTION("""COMPUTED_VALUE"""),189.229995727539)</f>
        <v>189.2299957</v>
      </c>
      <c r="L18" s="1">
        <f>IFERROR(__xludf.DUMMYFUNCTION("""COMPUTED_VALUE"""),500.0)</f>
        <v>500</v>
      </c>
      <c r="M18" s="1">
        <f>IFERROR(__xludf.DUMMYFUNCTION("""COMPUTED_VALUE"""),190.0)</f>
        <v>190</v>
      </c>
      <c r="N18" s="1">
        <f>IFERROR(__xludf.DUMMYFUNCTION("""COMPUTED_VALUE"""),43063.0)</f>
        <v>43063</v>
      </c>
      <c r="O18" s="1">
        <f>IFERROR(__xludf.DUMMYFUNCTION("""COMPUTED_VALUE"""),389.0)</f>
        <v>389</v>
      </c>
      <c r="P18" s="1">
        <f>IFERROR(__xludf.DUMMYFUNCTION("""COMPUTED_VALUE"""),156.0)</f>
        <v>156</v>
      </c>
      <c r="Q18" s="1">
        <f>IFERROR(__xludf.DUMMYFUNCTION("""COMPUTED_VALUE"""),11097.0)</f>
        <v>11097</v>
      </c>
      <c r="R18" s="1">
        <f>IFERROR(__xludf.DUMMYFUNCTION("""COMPUTED_VALUE"""),199.0)</f>
        <v>199</v>
      </c>
      <c r="S18" s="1">
        <f>IFERROR(__xludf.DUMMYFUNCTION("""COMPUTED_VALUE"""),325.0)</f>
        <v>325</v>
      </c>
      <c r="T18" s="1">
        <f>IFERROR(__xludf.DUMMYFUNCTION("""COMPUTED_VALUE"""),199.0)</f>
        <v>199</v>
      </c>
      <c r="U18" s="1">
        <f>IFERROR(__xludf.DUMMYFUNCTION("""COMPUTED_VALUE"""),2113.0)</f>
        <v>2113</v>
      </c>
      <c r="V18" s="1"/>
      <c r="W18" s="1"/>
      <c r="X18" s="1">
        <f>IFERROR(__xludf.DUMMYFUNCTION("""COMPUTED_VALUE"""),0.0)</f>
        <v>0</v>
      </c>
      <c r="Y18" s="1">
        <f>IFERROR(__xludf.DUMMYFUNCTION("""COMPUTED_VALUE"""),142.0)</f>
        <v>142</v>
      </c>
      <c r="Z18" s="1">
        <f>IFERROR(__xludf.DUMMYFUNCTION("""COMPUTED_VALUE"""),526.0)</f>
        <v>526</v>
      </c>
      <c r="AA18" s="1">
        <f>IFERROR(__xludf.DUMMYFUNCTION("""COMPUTED_VALUE"""),175.0)</f>
        <v>175</v>
      </c>
      <c r="AB18" s="1">
        <f>IFERROR(__xludf.DUMMYFUNCTION("""COMPUTED_VALUE"""),157177.0)</f>
        <v>157177</v>
      </c>
      <c r="AC18" s="1">
        <f>IFERROR(__xludf.DUMMYFUNCTION("""COMPUTED_VALUE"""),10790.0)</f>
        <v>10790</v>
      </c>
      <c r="AD18" s="1">
        <f>IFERROR(__xludf.DUMMYFUNCTION("""COMPUTED_VALUE"""),142.0)</f>
        <v>142</v>
      </c>
      <c r="AE18" s="1">
        <f>IFERROR(__xludf.DUMMYFUNCTION("""COMPUTED_VALUE"""),43890.0)</f>
        <v>43890</v>
      </c>
      <c r="AF18" s="1">
        <f>IFERROR(__xludf.DUMMYFUNCTION("""COMPUTED_VALUE"""),130.0)</f>
        <v>130</v>
      </c>
      <c r="AG18" s="1">
        <f>IFERROR(__xludf.DUMMYFUNCTION("""COMPUTED_VALUE"""),7930.0)</f>
        <v>7930</v>
      </c>
      <c r="AH18" s="1">
        <f>IFERROR(__xludf.DUMMYFUNCTION("""COMPUTED_VALUE"""),230.0)</f>
        <v>230</v>
      </c>
      <c r="AI18" s="1">
        <f>IFERROR(__xludf.DUMMYFUNCTION("""COMPUTED_VALUE"""),13495.0)</f>
        <v>13495</v>
      </c>
      <c r="AJ18" s="1"/>
      <c r="AK18" s="1"/>
      <c r="AL18" s="1">
        <f>IFERROR(__xludf.DUMMYFUNCTION("""COMPUTED_VALUE"""),0.0)</f>
        <v>0</v>
      </c>
      <c r="AM18" s="1">
        <f>IFERROR(__xludf.DUMMYFUNCTION("""COMPUTED_VALUE"""),154.33999633789)</f>
        <v>154.3399963</v>
      </c>
      <c r="AN18" s="1">
        <f>IFERROR(__xludf.DUMMYFUNCTION("""COMPUTED_VALUE"""),9782.0)</f>
        <v>9782</v>
      </c>
      <c r="AO18" s="1">
        <f>IFERROR(__xludf.DUMMYFUNCTION("""COMPUTED_VALUE"""),155.0)</f>
        <v>155</v>
      </c>
      <c r="AP18" s="1">
        <f>IFERROR(__xludf.DUMMYFUNCTION("""COMPUTED_VALUE"""),48915.0)</f>
        <v>48915</v>
      </c>
      <c r="AQ18" s="1">
        <f>IFERROR(__xludf.DUMMYFUNCTION("""COMPUTED_VALUE"""),2000.0)</f>
        <v>2000</v>
      </c>
      <c r="AR18" s="1">
        <f>IFERROR(__xludf.DUMMYFUNCTION("""COMPUTED_VALUE"""),115.0)</f>
        <v>115</v>
      </c>
      <c r="AS18" s="1">
        <f>IFERROR(__xludf.DUMMYFUNCTION("""COMPUTED_VALUE"""),11729.0)</f>
        <v>11729</v>
      </c>
    </row>
    <row r="19">
      <c r="A19" s="1" t="str">
        <f>IFERROR(__xludf.DUMMYFUNCTION("""COMPUTED_VALUE"""),"ALR")</f>
        <v>ALR</v>
      </c>
      <c r="B19" s="1"/>
      <c r="C19" s="1"/>
      <c r="D19" s="1">
        <f>IFERROR(__xludf.DUMMYFUNCTION("""COMPUTED_VALUE"""),1343.83996582031)</f>
        <v>1343.839966</v>
      </c>
      <c r="E19" s="1"/>
      <c r="F19" s="1"/>
      <c r="G19" s="1">
        <f>IFERROR(__xludf.DUMMYFUNCTION("""COMPUTED_VALUE"""),0.0)</f>
        <v>0</v>
      </c>
      <c r="H19" s="1"/>
      <c r="I19" s="1"/>
      <c r="J19" s="1">
        <f>IFERROR(__xludf.DUMMYFUNCTION("""COMPUTED_VALUE"""),0.0)</f>
        <v>0</v>
      </c>
      <c r="K19" s="1">
        <f>IFERROR(__xludf.DUMMYFUNCTION("""COMPUTED_VALUE"""),1343.83996582031)</f>
        <v>1343.839966</v>
      </c>
      <c r="L19" s="1"/>
      <c r="M19" s="1"/>
      <c r="N19" s="1">
        <f>IFERROR(__xludf.DUMMYFUNCTION("""COMPUTED_VALUE"""),0.0)</f>
        <v>0</v>
      </c>
      <c r="O19" s="1"/>
      <c r="P19" s="1"/>
      <c r="Q19" s="1">
        <f>IFERROR(__xludf.DUMMYFUNCTION("""COMPUTED_VALUE"""),0.0)</f>
        <v>0</v>
      </c>
      <c r="R19" s="1">
        <f>IFERROR(__xludf.DUMMYFUNCTION("""COMPUTED_VALUE"""),1343.83996582031)</f>
        <v>1343.839966</v>
      </c>
      <c r="S19" s="1"/>
      <c r="T19" s="1"/>
      <c r="U19" s="1">
        <f>IFERROR(__xludf.DUMMYFUNCTION("""COMPUTED_VALUE"""),0.0)</f>
        <v>0</v>
      </c>
      <c r="V19" s="1"/>
      <c r="W19" s="1"/>
      <c r="X19" s="1">
        <f>IFERROR(__xludf.DUMMYFUNCTION("""COMPUTED_VALUE"""),0.0)</f>
        <v>0</v>
      </c>
      <c r="Y19" s="1">
        <f>IFERROR(__xludf.DUMMYFUNCTION("""COMPUTED_VALUE"""),1343.83996582031)</f>
        <v>1343.839966</v>
      </c>
      <c r="Z19" s="1"/>
      <c r="AA19" s="1"/>
      <c r="AB19" s="1">
        <f>IFERROR(__xludf.DUMMYFUNCTION("""COMPUTED_VALUE"""),0.0)</f>
        <v>0</v>
      </c>
      <c r="AC19" s="1">
        <f>IFERROR(__xludf.DUMMYFUNCTION("""COMPUTED_VALUE"""),130.0)</f>
        <v>130</v>
      </c>
      <c r="AD19" s="1">
        <f>IFERROR(__xludf.DUMMYFUNCTION("""COMPUTED_VALUE"""),1.0)</f>
        <v>1</v>
      </c>
      <c r="AE19" s="1">
        <f>IFERROR(__xludf.DUMMYFUNCTION("""COMPUTED_VALUE"""),130.0)</f>
        <v>130</v>
      </c>
      <c r="AF19" s="1">
        <f>IFERROR(__xludf.DUMMYFUNCTION("""COMPUTED_VALUE"""),1343.83996582031)</f>
        <v>1343.839966</v>
      </c>
      <c r="AG19" s="1"/>
      <c r="AH19" s="1"/>
      <c r="AI19" s="1">
        <f>IFERROR(__xludf.DUMMYFUNCTION("""COMPUTED_VALUE"""),0.0)</f>
        <v>0</v>
      </c>
      <c r="AJ19" s="1"/>
      <c r="AK19" s="1"/>
      <c r="AL19" s="1">
        <f>IFERROR(__xludf.DUMMYFUNCTION("""COMPUTED_VALUE"""),0.0)</f>
        <v>0</v>
      </c>
      <c r="AM19" s="1">
        <f>IFERROR(__xludf.DUMMYFUNCTION("""COMPUTED_VALUE"""),1343.83996582031)</f>
        <v>1343.839966</v>
      </c>
      <c r="AN19" s="1"/>
      <c r="AO19" s="1"/>
      <c r="AP19" s="1">
        <f>IFERROR(__xludf.DUMMYFUNCTION("""COMPUTED_VALUE"""),0.0)</f>
        <v>0</v>
      </c>
      <c r="AQ19" s="1"/>
      <c r="AR19" s="1"/>
      <c r="AS19" s="1">
        <f>IFERROR(__xludf.DUMMYFUNCTION("""COMPUTED_VALUE"""),0.0)</f>
        <v>0</v>
      </c>
    </row>
    <row r="20">
      <c r="A20" s="1" t="str">
        <f>IFERROR(__xludf.DUMMYFUNCTION("""COMPUTED_VALUE"""),"AMM")</f>
        <v>AMM</v>
      </c>
      <c r="B20" s="1">
        <f>IFERROR(__xludf.DUMMYFUNCTION("""COMPUTED_VALUE"""),61.0)</f>
        <v>61</v>
      </c>
      <c r="C20" s="1"/>
      <c r="D20" s="1">
        <f>IFERROR(__xludf.DUMMYFUNCTION("""COMPUTED_VALUE"""),155.0)</f>
        <v>155</v>
      </c>
      <c r="E20" s="1">
        <f>IFERROR(__xludf.DUMMYFUNCTION("""COMPUTED_VALUE"""),227.0)</f>
        <v>227</v>
      </c>
      <c r="F20" s="1">
        <f>IFERROR(__xludf.DUMMYFUNCTION("""COMPUTED_VALUE"""),155.0)</f>
        <v>155</v>
      </c>
      <c r="G20" s="1">
        <f>IFERROR(__xludf.DUMMYFUNCTION("""COMPUTED_VALUE"""),42122.0)</f>
        <v>42122</v>
      </c>
      <c r="H20" s="1">
        <f>IFERROR(__xludf.DUMMYFUNCTION("""COMPUTED_VALUE"""),100.0)</f>
        <v>100</v>
      </c>
      <c r="I20" s="1">
        <f>IFERROR(__xludf.DUMMYFUNCTION("""COMPUTED_VALUE"""),154.0)</f>
        <v>154</v>
      </c>
      <c r="J20" s="1">
        <f>IFERROR(__xludf.DUMMYFUNCTION("""COMPUTED_VALUE"""),11029.0)</f>
        <v>11029</v>
      </c>
      <c r="K20" s="1">
        <f>IFERROR(__xludf.DUMMYFUNCTION("""COMPUTED_VALUE"""),109.51000213623)</f>
        <v>109.5100021</v>
      </c>
      <c r="L20" s="1">
        <f>IFERROR(__xludf.DUMMYFUNCTION("""COMPUTED_VALUE"""),2099.0)</f>
        <v>2099</v>
      </c>
      <c r="M20" s="1">
        <f>IFERROR(__xludf.DUMMYFUNCTION("""COMPUTED_VALUE"""),110.0)</f>
        <v>110</v>
      </c>
      <c r="N20" s="1">
        <f>IFERROR(__xludf.DUMMYFUNCTION("""COMPUTED_VALUE"""),131658.0)</f>
        <v>131658</v>
      </c>
      <c r="O20" s="1">
        <f>IFERROR(__xludf.DUMMYFUNCTION("""COMPUTED_VALUE"""),40.0)</f>
        <v>40</v>
      </c>
      <c r="P20" s="1">
        <f>IFERROR(__xludf.DUMMYFUNCTION("""COMPUTED_VALUE"""),104.0)</f>
        <v>104</v>
      </c>
      <c r="Q20" s="1">
        <f>IFERROR(__xludf.DUMMYFUNCTION("""COMPUTED_VALUE"""),42856.0)</f>
        <v>42856</v>
      </c>
      <c r="R20" s="1">
        <f>IFERROR(__xludf.DUMMYFUNCTION("""COMPUTED_VALUE"""),99.3199996948242)</f>
        <v>99.31999969</v>
      </c>
      <c r="S20" s="1">
        <f>IFERROR(__xludf.DUMMYFUNCTION("""COMPUTED_VALUE"""),55.0)</f>
        <v>55</v>
      </c>
      <c r="T20" s="1">
        <f>IFERROR(__xludf.DUMMYFUNCTION("""COMPUTED_VALUE"""),200.0)</f>
        <v>200</v>
      </c>
      <c r="U20" s="1">
        <f>IFERROR(__xludf.DUMMYFUNCTION("""COMPUTED_VALUE"""),55.0)</f>
        <v>55</v>
      </c>
      <c r="V20" s="1">
        <f>IFERROR(__xludf.DUMMYFUNCTION("""COMPUTED_VALUE"""),50.0)</f>
        <v>50</v>
      </c>
      <c r="W20" s="1">
        <f>IFERROR(__xludf.DUMMYFUNCTION("""COMPUTED_VALUE"""),95.0)</f>
        <v>95</v>
      </c>
      <c r="X20" s="1">
        <f>IFERROR(__xludf.DUMMYFUNCTION("""COMPUTED_VALUE"""),50.0)</f>
        <v>50</v>
      </c>
      <c r="Y20" s="1">
        <f>IFERROR(__xludf.DUMMYFUNCTION("""COMPUTED_VALUE"""),180.0)</f>
        <v>180</v>
      </c>
      <c r="Z20" s="1">
        <f>IFERROR(__xludf.DUMMYFUNCTION("""COMPUTED_VALUE"""),11653.0)</f>
        <v>11653</v>
      </c>
      <c r="AA20" s="1">
        <f>IFERROR(__xludf.DUMMYFUNCTION("""COMPUTED_VALUE"""),180.0)</f>
        <v>180</v>
      </c>
      <c r="AB20" s="1">
        <f>IFERROR(__xludf.DUMMYFUNCTION("""COMPUTED_VALUE"""),101257.0)</f>
        <v>101257</v>
      </c>
      <c r="AC20" s="1">
        <f>IFERROR(__xludf.DUMMYFUNCTION("""COMPUTED_VALUE"""),1527.0)</f>
        <v>1527</v>
      </c>
      <c r="AD20" s="1">
        <f>IFERROR(__xludf.DUMMYFUNCTION("""COMPUTED_VALUE"""),103.0)</f>
        <v>103</v>
      </c>
      <c r="AE20" s="1">
        <f>IFERROR(__xludf.DUMMYFUNCTION("""COMPUTED_VALUE"""),79458.0)</f>
        <v>79458</v>
      </c>
      <c r="AF20" s="1">
        <f>IFERROR(__xludf.DUMMYFUNCTION("""COMPUTED_VALUE"""),100.0)</f>
        <v>100</v>
      </c>
      <c r="AG20" s="1">
        <f>IFERROR(__xludf.DUMMYFUNCTION("""COMPUTED_VALUE"""),4500.0)</f>
        <v>4500</v>
      </c>
      <c r="AH20" s="1">
        <f>IFERROR(__xludf.DUMMYFUNCTION("""COMPUTED_VALUE"""),105.0)</f>
        <v>105</v>
      </c>
      <c r="AI20" s="1">
        <f>IFERROR(__xludf.DUMMYFUNCTION("""COMPUTED_VALUE"""),4500.0)</f>
        <v>4500</v>
      </c>
      <c r="AJ20" s="1">
        <f>IFERROR(__xludf.DUMMYFUNCTION("""COMPUTED_VALUE"""),929.0)</f>
        <v>929</v>
      </c>
      <c r="AK20" s="1">
        <f>IFERROR(__xludf.DUMMYFUNCTION("""COMPUTED_VALUE"""),90.0)</f>
        <v>90</v>
      </c>
      <c r="AL20" s="1">
        <f>IFERROR(__xludf.DUMMYFUNCTION("""COMPUTED_VALUE"""),929.0)</f>
        <v>929</v>
      </c>
      <c r="AM20" s="1">
        <f>IFERROR(__xludf.DUMMYFUNCTION("""COMPUTED_VALUE"""),134.0)</f>
        <v>134</v>
      </c>
      <c r="AN20" s="1">
        <f>IFERROR(__xludf.DUMMYFUNCTION("""COMPUTED_VALUE"""),2007.0)</f>
        <v>2007</v>
      </c>
      <c r="AO20" s="1">
        <f>IFERROR(__xludf.DUMMYFUNCTION("""COMPUTED_VALUE"""),134.0)</f>
        <v>134</v>
      </c>
      <c r="AP20" s="1">
        <f>IFERROR(__xludf.DUMMYFUNCTION("""COMPUTED_VALUE"""),19752.0)</f>
        <v>19752</v>
      </c>
      <c r="AQ20" s="1">
        <f>IFERROR(__xludf.DUMMYFUNCTION("""COMPUTED_VALUE"""),1921.0)</f>
        <v>1921</v>
      </c>
      <c r="AR20" s="1">
        <f>IFERROR(__xludf.DUMMYFUNCTION("""COMPUTED_VALUE"""),109.0)</f>
        <v>109</v>
      </c>
      <c r="AS20" s="1">
        <f>IFERROR(__xludf.DUMMYFUNCTION("""COMPUTED_VALUE"""),18310.0)</f>
        <v>18310</v>
      </c>
    </row>
    <row r="21">
      <c r="A21" s="1" t="str">
        <f>IFERROR(__xludf.DUMMYFUNCTION("""COMPUTED_VALUE"""),"ANZ")</f>
        <v>ANZ</v>
      </c>
      <c r="B21" s="1"/>
      <c r="C21" s="1"/>
      <c r="D21" s="1">
        <f>IFERROR(__xludf.DUMMYFUNCTION("""COMPUTED_VALUE"""),70600.546875)</f>
        <v>70600.54688</v>
      </c>
      <c r="E21" s="1"/>
      <c r="F21" s="1"/>
      <c r="G21" s="1">
        <f>IFERROR(__xludf.DUMMYFUNCTION("""COMPUTED_VALUE"""),0.0)</f>
        <v>0</v>
      </c>
      <c r="H21" s="1"/>
      <c r="I21" s="1"/>
      <c r="J21" s="1">
        <f>IFERROR(__xludf.DUMMYFUNCTION("""COMPUTED_VALUE"""),0.0)</f>
        <v>0</v>
      </c>
      <c r="K21" s="1">
        <f>IFERROR(__xludf.DUMMYFUNCTION("""COMPUTED_VALUE"""),70600.546875)</f>
        <v>70600.54688</v>
      </c>
      <c r="L21" s="1"/>
      <c r="M21" s="1"/>
      <c r="N21" s="1">
        <f>IFERROR(__xludf.DUMMYFUNCTION("""COMPUTED_VALUE"""),0.0)</f>
        <v>0</v>
      </c>
      <c r="O21" s="1"/>
      <c r="P21" s="1"/>
      <c r="Q21" s="1">
        <f>IFERROR(__xludf.DUMMYFUNCTION("""COMPUTED_VALUE"""),0.0)</f>
        <v>0</v>
      </c>
      <c r="R21" s="1">
        <f>IFERROR(__xludf.DUMMYFUNCTION("""COMPUTED_VALUE"""),70600.546875)</f>
        <v>70600.54688</v>
      </c>
      <c r="S21" s="1"/>
      <c r="T21" s="1"/>
      <c r="U21" s="1">
        <f>IFERROR(__xludf.DUMMYFUNCTION("""COMPUTED_VALUE"""),0.0)</f>
        <v>0</v>
      </c>
      <c r="V21" s="1"/>
      <c r="W21" s="1"/>
      <c r="X21" s="1">
        <f>IFERROR(__xludf.DUMMYFUNCTION("""COMPUTED_VALUE"""),0.0)</f>
        <v>0</v>
      </c>
      <c r="Y21" s="1">
        <f>IFERROR(__xludf.DUMMYFUNCTION("""COMPUTED_VALUE"""),70600.546875)</f>
        <v>70600.54688</v>
      </c>
      <c r="Z21" s="1"/>
      <c r="AA21" s="1"/>
      <c r="AB21" s="1">
        <f>IFERROR(__xludf.DUMMYFUNCTION("""COMPUTED_VALUE"""),0.0)</f>
        <v>0</v>
      </c>
      <c r="AC21" s="1"/>
      <c r="AD21" s="1"/>
      <c r="AE21" s="1">
        <f>IFERROR(__xludf.DUMMYFUNCTION("""COMPUTED_VALUE"""),0.0)</f>
        <v>0</v>
      </c>
      <c r="AF21" s="1">
        <f>IFERROR(__xludf.DUMMYFUNCTION("""COMPUTED_VALUE"""),70600.546875)</f>
        <v>70600.54688</v>
      </c>
      <c r="AG21" s="1"/>
      <c r="AH21" s="1"/>
      <c r="AI21" s="1">
        <f>IFERROR(__xludf.DUMMYFUNCTION("""COMPUTED_VALUE"""),0.0)</f>
        <v>0</v>
      </c>
      <c r="AJ21" s="1"/>
      <c r="AK21" s="1"/>
      <c r="AL21" s="1">
        <f>IFERROR(__xludf.DUMMYFUNCTION("""COMPUTED_VALUE"""),0.0)</f>
        <v>0</v>
      </c>
      <c r="AM21" s="1">
        <f>IFERROR(__xludf.DUMMYFUNCTION("""COMPUTED_VALUE"""),70600.546875)</f>
        <v>70600.54688</v>
      </c>
      <c r="AN21" s="1"/>
      <c r="AO21" s="1"/>
      <c r="AP21" s="1">
        <f>IFERROR(__xludf.DUMMYFUNCTION("""COMPUTED_VALUE"""),0.0)</f>
        <v>0</v>
      </c>
      <c r="AQ21" s="1"/>
      <c r="AR21" s="1"/>
      <c r="AS21" s="1">
        <f>IFERROR(__xludf.DUMMYFUNCTION("""COMPUTED_VALUE"""),0.0)</f>
        <v>0</v>
      </c>
    </row>
    <row r="22">
      <c r="A22" s="1" t="str">
        <f>IFERROR(__xludf.DUMMYFUNCTION("""COMPUTED_VALUE"""),"APT")</f>
        <v>APT</v>
      </c>
      <c r="B22" s="1"/>
      <c r="C22" s="1"/>
      <c r="D22" s="1">
        <f>IFERROR(__xludf.DUMMYFUNCTION("""COMPUTED_VALUE"""),19000.0)</f>
        <v>19000</v>
      </c>
      <c r="E22" s="1">
        <f>IFERROR(__xludf.DUMMYFUNCTION("""COMPUTED_VALUE"""),106.0)</f>
        <v>106</v>
      </c>
      <c r="F22" s="1">
        <f>IFERROR(__xludf.DUMMYFUNCTION("""COMPUTED_VALUE"""),19000.0)</f>
        <v>19000</v>
      </c>
      <c r="G22" s="1">
        <f>IFERROR(__xludf.DUMMYFUNCTION("""COMPUTED_VALUE"""),780.0)</f>
        <v>780</v>
      </c>
      <c r="H22" s="1">
        <f>IFERROR(__xludf.DUMMYFUNCTION("""COMPUTED_VALUE"""),80.0)</f>
        <v>80</v>
      </c>
      <c r="I22" s="1">
        <f>IFERROR(__xludf.DUMMYFUNCTION("""COMPUTED_VALUE"""),15000.0)</f>
        <v>15000</v>
      </c>
      <c r="J22" s="1">
        <f>IFERROR(__xludf.DUMMYFUNCTION("""COMPUTED_VALUE"""),200.0)</f>
        <v>200</v>
      </c>
      <c r="K22" s="1">
        <f>IFERROR(__xludf.DUMMYFUNCTION("""COMPUTED_VALUE"""),25000.0)</f>
        <v>25000</v>
      </c>
      <c r="L22" s="1">
        <f>IFERROR(__xludf.DUMMYFUNCTION("""COMPUTED_VALUE"""),41.0)</f>
        <v>41</v>
      </c>
      <c r="M22" s="1">
        <f>IFERROR(__xludf.DUMMYFUNCTION("""COMPUTED_VALUE"""),25000.0)</f>
        <v>25000</v>
      </c>
      <c r="N22" s="1">
        <f>IFERROR(__xludf.DUMMYFUNCTION("""COMPUTED_VALUE"""),41.0)</f>
        <v>41</v>
      </c>
      <c r="O22" s="1"/>
      <c r="P22" s="1"/>
      <c r="Q22" s="1">
        <f>IFERROR(__xludf.DUMMYFUNCTION("""COMPUTED_VALUE"""),0.0)</f>
        <v>0</v>
      </c>
      <c r="R22" s="1">
        <f>IFERROR(__xludf.DUMMYFUNCTION("""COMPUTED_VALUE"""),6935.35009765625)</f>
        <v>6935.350098</v>
      </c>
      <c r="S22" s="1"/>
      <c r="T22" s="1"/>
      <c r="U22" s="1">
        <f>IFERROR(__xludf.DUMMYFUNCTION("""COMPUTED_VALUE"""),0.0)</f>
        <v>0</v>
      </c>
      <c r="V22" s="1"/>
      <c r="W22" s="1"/>
      <c r="X22" s="1">
        <f>IFERROR(__xludf.DUMMYFUNCTION("""COMPUTED_VALUE"""),0.0)</f>
        <v>0</v>
      </c>
      <c r="Y22" s="1">
        <f>IFERROR(__xludf.DUMMYFUNCTION("""COMPUTED_VALUE"""),19000.0)</f>
        <v>19000</v>
      </c>
      <c r="Z22" s="1">
        <f>IFERROR(__xludf.DUMMYFUNCTION("""COMPUTED_VALUE"""),1.0)</f>
        <v>1</v>
      </c>
      <c r="AA22" s="1">
        <f>IFERROR(__xludf.DUMMYFUNCTION("""COMPUTED_VALUE"""),100000.0)</f>
        <v>100000</v>
      </c>
      <c r="AB22" s="1">
        <f>IFERROR(__xludf.DUMMYFUNCTION("""COMPUTED_VALUE"""),1.0)</f>
        <v>1</v>
      </c>
      <c r="AC22" s="1">
        <f>IFERROR(__xludf.DUMMYFUNCTION("""COMPUTED_VALUE"""),100.0)</f>
        <v>100</v>
      </c>
      <c r="AD22" s="1">
        <f>IFERROR(__xludf.DUMMYFUNCTION("""COMPUTED_VALUE"""),14500.0)</f>
        <v>14500</v>
      </c>
      <c r="AE22" s="1">
        <f>IFERROR(__xludf.DUMMYFUNCTION("""COMPUTED_VALUE"""),100.0)</f>
        <v>100</v>
      </c>
      <c r="AF22" s="1">
        <f>IFERROR(__xludf.DUMMYFUNCTION("""COMPUTED_VALUE"""),6935.35009765625)</f>
        <v>6935.350098</v>
      </c>
      <c r="AG22" s="1"/>
      <c r="AH22" s="1"/>
      <c r="AI22" s="1">
        <f>IFERROR(__xludf.DUMMYFUNCTION("""COMPUTED_VALUE"""),0.0)</f>
        <v>0</v>
      </c>
      <c r="AJ22" s="1"/>
      <c r="AK22" s="1"/>
      <c r="AL22" s="1">
        <f>IFERROR(__xludf.DUMMYFUNCTION("""COMPUTED_VALUE"""),0.0)</f>
        <v>0</v>
      </c>
      <c r="AM22" s="1">
        <f>IFERROR(__xludf.DUMMYFUNCTION("""COMPUTED_VALUE"""),20000.0)</f>
        <v>20000</v>
      </c>
      <c r="AN22" s="1">
        <f>IFERROR(__xludf.DUMMYFUNCTION("""COMPUTED_VALUE"""),1.0)</f>
        <v>1</v>
      </c>
      <c r="AO22" s="1">
        <f>IFERROR(__xludf.DUMMYFUNCTION("""COMPUTED_VALUE"""),50000.0)</f>
        <v>50000</v>
      </c>
      <c r="AP22" s="1">
        <f>IFERROR(__xludf.DUMMYFUNCTION("""COMPUTED_VALUE"""),1.0)</f>
        <v>1</v>
      </c>
      <c r="AQ22" s="1"/>
      <c r="AR22" s="1"/>
      <c r="AS22" s="1">
        <f>IFERROR(__xludf.DUMMYFUNCTION("""COMPUTED_VALUE"""),0.0)</f>
        <v>0</v>
      </c>
    </row>
    <row r="23">
      <c r="A23" s="1" t="str">
        <f>IFERROR(__xludf.DUMMYFUNCTION("""COMPUTED_VALUE"""),"AR")</f>
        <v>AR</v>
      </c>
      <c r="B23" s="1">
        <f>IFERROR(__xludf.DUMMYFUNCTION("""COMPUTED_VALUE"""),83.0)</f>
        <v>83</v>
      </c>
      <c r="C23" s="1"/>
      <c r="D23" s="1">
        <f>IFERROR(__xludf.DUMMYFUNCTION("""COMPUTED_VALUE"""),172.229995727539)</f>
        <v>172.2299957</v>
      </c>
      <c r="E23" s="1">
        <f>IFERROR(__xludf.DUMMYFUNCTION("""COMPUTED_VALUE"""),890.0)</f>
        <v>890</v>
      </c>
      <c r="F23" s="1">
        <f>IFERROR(__xludf.DUMMYFUNCTION("""COMPUTED_VALUE"""),175.0)</f>
        <v>175</v>
      </c>
      <c r="G23" s="1">
        <f>IFERROR(__xludf.DUMMYFUNCTION("""COMPUTED_VALUE"""),47708.0)</f>
        <v>47708</v>
      </c>
      <c r="H23" s="1">
        <f>IFERROR(__xludf.DUMMYFUNCTION("""COMPUTED_VALUE"""),100.0)</f>
        <v>100</v>
      </c>
      <c r="I23" s="1">
        <f>IFERROR(__xludf.DUMMYFUNCTION("""COMPUTED_VALUE"""),141.0)</f>
        <v>141</v>
      </c>
      <c r="J23" s="1">
        <f>IFERROR(__xludf.DUMMYFUNCTION("""COMPUTED_VALUE"""),35423.0)</f>
        <v>35423</v>
      </c>
      <c r="K23" s="1">
        <f>IFERROR(__xludf.DUMMYFUNCTION("""COMPUTED_VALUE"""),154.0)</f>
        <v>154</v>
      </c>
      <c r="L23" s="1">
        <f>IFERROR(__xludf.DUMMYFUNCTION("""COMPUTED_VALUE"""),951.0)</f>
        <v>951</v>
      </c>
      <c r="M23" s="1">
        <f>IFERROR(__xludf.DUMMYFUNCTION("""COMPUTED_VALUE"""),154.0)</f>
        <v>154</v>
      </c>
      <c r="N23" s="1">
        <f>IFERROR(__xludf.DUMMYFUNCTION("""COMPUTED_VALUE"""),131717.0)</f>
        <v>131717</v>
      </c>
      <c r="O23" s="1">
        <f>IFERROR(__xludf.DUMMYFUNCTION("""COMPUTED_VALUE"""),10000.0)</f>
        <v>10000</v>
      </c>
      <c r="P23" s="1">
        <f>IFERROR(__xludf.DUMMYFUNCTION("""COMPUTED_VALUE"""),136.0)</f>
        <v>136</v>
      </c>
      <c r="Q23" s="1">
        <f>IFERROR(__xludf.DUMMYFUNCTION("""COMPUTED_VALUE"""),23926.0)</f>
        <v>23926</v>
      </c>
      <c r="R23" s="1">
        <f>IFERROR(__xludf.DUMMYFUNCTION("""COMPUTED_VALUE"""),200.0)</f>
        <v>200</v>
      </c>
      <c r="S23" s="1">
        <f>IFERROR(__xludf.DUMMYFUNCTION("""COMPUTED_VALUE"""),260.0)</f>
        <v>260</v>
      </c>
      <c r="T23" s="1">
        <f>IFERROR(__xludf.DUMMYFUNCTION("""COMPUTED_VALUE"""),200.0)</f>
        <v>200</v>
      </c>
      <c r="U23" s="1">
        <f>IFERROR(__xludf.DUMMYFUNCTION("""COMPUTED_VALUE"""),260.0)</f>
        <v>260</v>
      </c>
      <c r="V23" s="1">
        <f>IFERROR(__xludf.DUMMYFUNCTION("""COMPUTED_VALUE"""),1000.0)</f>
        <v>1000</v>
      </c>
      <c r="W23" s="1">
        <f>IFERROR(__xludf.DUMMYFUNCTION("""COMPUTED_VALUE"""),150.0)</f>
        <v>150</v>
      </c>
      <c r="X23" s="1">
        <f>IFERROR(__xludf.DUMMYFUNCTION("""COMPUTED_VALUE"""),1000.0)</f>
        <v>1000</v>
      </c>
      <c r="Y23" s="1">
        <f>IFERROR(__xludf.DUMMYFUNCTION("""COMPUTED_VALUE"""),237.0)</f>
        <v>237</v>
      </c>
      <c r="Z23" s="1">
        <f>IFERROR(__xludf.DUMMYFUNCTION("""COMPUTED_VALUE"""),276.0)</f>
        <v>276</v>
      </c>
      <c r="AA23" s="1">
        <f>IFERROR(__xludf.DUMMYFUNCTION("""COMPUTED_VALUE"""),230.0)</f>
        <v>230</v>
      </c>
      <c r="AB23" s="1">
        <f>IFERROR(__xludf.DUMMYFUNCTION("""COMPUTED_VALUE"""),24429.0)</f>
        <v>24429</v>
      </c>
      <c r="AC23" s="1">
        <f>IFERROR(__xludf.DUMMYFUNCTION("""COMPUTED_VALUE"""),199.0)</f>
        <v>199</v>
      </c>
      <c r="AD23" s="1">
        <f>IFERROR(__xludf.DUMMYFUNCTION("""COMPUTED_VALUE"""),190.0)</f>
        <v>190</v>
      </c>
      <c r="AE23" s="1">
        <f>IFERROR(__xludf.DUMMYFUNCTION("""COMPUTED_VALUE"""),27913.0)</f>
        <v>27913</v>
      </c>
      <c r="AF23" s="1">
        <f>IFERROR(__xludf.DUMMYFUNCTION("""COMPUTED_VALUE"""),400.0)</f>
        <v>400</v>
      </c>
      <c r="AG23" s="1">
        <f>IFERROR(__xludf.DUMMYFUNCTION("""COMPUTED_VALUE"""),200.0)</f>
        <v>200</v>
      </c>
      <c r="AH23" s="1">
        <f>IFERROR(__xludf.DUMMYFUNCTION("""COMPUTED_VALUE"""),270.0)</f>
        <v>270</v>
      </c>
      <c r="AI23" s="1">
        <f>IFERROR(__xludf.DUMMYFUNCTION("""COMPUTED_VALUE"""),200.0)</f>
        <v>200</v>
      </c>
      <c r="AJ23" s="1"/>
      <c r="AK23" s="1"/>
      <c r="AL23" s="1">
        <f>IFERROR(__xludf.DUMMYFUNCTION("""COMPUTED_VALUE"""),0.0)</f>
        <v>0</v>
      </c>
      <c r="AM23" s="1">
        <f>IFERROR(__xludf.DUMMYFUNCTION("""COMPUTED_VALUE"""),306.299987792968)</f>
        <v>306.2999878</v>
      </c>
      <c r="AN23" s="1">
        <f>IFERROR(__xludf.DUMMYFUNCTION("""COMPUTED_VALUE"""),657.0)</f>
        <v>657</v>
      </c>
      <c r="AO23" s="1">
        <f>IFERROR(__xludf.DUMMYFUNCTION("""COMPUTED_VALUE"""),315.0)</f>
        <v>315</v>
      </c>
      <c r="AP23" s="1">
        <f>IFERROR(__xludf.DUMMYFUNCTION("""COMPUTED_VALUE"""),8607.0)</f>
        <v>8607</v>
      </c>
      <c r="AQ23" s="1">
        <f>IFERROR(__xludf.DUMMYFUNCTION("""COMPUTED_VALUE"""),150.0)</f>
        <v>150</v>
      </c>
      <c r="AR23" s="1">
        <f>IFERROR(__xludf.DUMMYFUNCTION("""COMPUTED_VALUE"""),150.0)</f>
        <v>150</v>
      </c>
      <c r="AS23" s="1">
        <f>IFERROR(__xludf.DUMMYFUNCTION("""COMPUTED_VALUE"""),3687.0)</f>
        <v>3687</v>
      </c>
    </row>
    <row r="24">
      <c r="A24" s="1" t="str">
        <f>IFERROR(__xludf.DUMMYFUNCTION("""COMPUTED_VALUE"""),"ARP")</f>
        <v>ARP</v>
      </c>
      <c r="B24" s="1"/>
      <c r="C24" s="1"/>
      <c r="D24" s="1">
        <f>IFERROR(__xludf.DUMMYFUNCTION("""COMPUTED_VALUE"""),10000.0)</f>
        <v>10000</v>
      </c>
      <c r="E24" s="1">
        <f>IFERROR(__xludf.DUMMYFUNCTION("""COMPUTED_VALUE"""),38.0)</f>
        <v>38</v>
      </c>
      <c r="F24" s="1">
        <f>IFERROR(__xludf.DUMMYFUNCTION("""COMPUTED_VALUE"""),10000.0)</f>
        <v>10000</v>
      </c>
      <c r="G24" s="1">
        <f>IFERROR(__xludf.DUMMYFUNCTION("""COMPUTED_VALUE"""),216.0)</f>
        <v>216</v>
      </c>
      <c r="H24" s="1"/>
      <c r="I24" s="1"/>
      <c r="J24" s="1">
        <f>IFERROR(__xludf.DUMMYFUNCTION("""COMPUTED_VALUE"""),0.0)</f>
        <v>0</v>
      </c>
      <c r="K24" s="1">
        <f>IFERROR(__xludf.DUMMYFUNCTION("""COMPUTED_VALUE"""),8500.0)</f>
        <v>8500</v>
      </c>
      <c r="L24" s="1"/>
      <c r="M24" s="1"/>
      <c r="N24" s="1">
        <f>IFERROR(__xludf.DUMMYFUNCTION("""COMPUTED_VALUE"""),0.0)</f>
        <v>0</v>
      </c>
      <c r="O24" s="1"/>
      <c r="P24" s="1"/>
      <c r="Q24" s="1">
        <f>IFERROR(__xludf.DUMMYFUNCTION("""COMPUTED_VALUE"""),0.0)</f>
        <v>0</v>
      </c>
      <c r="R24" s="1">
        <f>IFERROR(__xludf.DUMMYFUNCTION("""COMPUTED_VALUE"""),4639.3798828125)</f>
        <v>4639.379883</v>
      </c>
      <c r="S24" s="1"/>
      <c r="T24" s="1"/>
      <c r="U24" s="1">
        <f>IFERROR(__xludf.DUMMYFUNCTION("""COMPUTED_VALUE"""),0.0)</f>
        <v>0</v>
      </c>
      <c r="V24" s="1"/>
      <c r="W24" s="1"/>
      <c r="X24" s="1">
        <f>IFERROR(__xludf.DUMMYFUNCTION("""COMPUTED_VALUE"""),0.0)</f>
        <v>0</v>
      </c>
      <c r="Y24" s="1">
        <f>IFERROR(__xludf.DUMMYFUNCTION("""COMPUTED_VALUE"""),8500.0)</f>
        <v>8500</v>
      </c>
      <c r="Z24" s="1">
        <f>IFERROR(__xludf.DUMMYFUNCTION("""COMPUTED_VALUE"""),97.0)</f>
        <v>97</v>
      </c>
      <c r="AA24" s="1">
        <f>IFERROR(__xludf.DUMMYFUNCTION("""COMPUTED_VALUE"""),8500.0)</f>
        <v>8500</v>
      </c>
      <c r="AB24" s="1">
        <f>IFERROR(__xludf.DUMMYFUNCTION("""COMPUTED_VALUE"""),100.0)</f>
        <v>100</v>
      </c>
      <c r="AC24" s="1"/>
      <c r="AD24" s="1"/>
      <c r="AE24" s="1">
        <f>IFERROR(__xludf.DUMMYFUNCTION("""COMPUTED_VALUE"""),0.0)</f>
        <v>0</v>
      </c>
      <c r="AF24" s="1">
        <f>IFERROR(__xludf.DUMMYFUNCTION("""COMPUTED_VALUE"""),4639.3798828125)</f>
        <v>4639.379883</v>
      </c>
      <c r="AG24" s="1"/>
      <c r="AH24" s="1"/>
      <c r="AI24" s="1">
        <f>IFERROR(__xludf.DUMMYFUNCTION("""COMPUTED_VALUE"""),0.0)</f>
        <v>0</v>
      </c>
      <c r="AJ24" s="1"/>
      <c r="AK24" s="1"/>
      <c r="AL24" s="1">
        <f>IFERROR(__xludf.DUMMYFUNCTION("""COMPUTED_VALUE"""),0.0)</f>
        <v>0</v>
      </c>
      <c r="AM24" s="1">
        <f>IFERROR(__xludf.DUMMYFUNCTION("""COMPUTED_VALUE"""),4639.3798828125)</f>
        <v>4639.379883</v>
      </c>
      <c r="AN24" s="1"/>
      <c r="AO24" s="1"/>
      <c r="AP24" s="1">
        <f>IFERROR(__xludf.DUMMYFUNCTION("""COMPUTED_VALUE"""),0.0)</f>
        <v>0</v>
      </c>
      <c r="AQ24" s="1"/>
      <c r="AR24" s="1"/>
      <c r="AS24" s="1">
        <f>IFERROR(__xludf.DUMMYFUNCTION("""COMPUTED_VALUE"""),0.0)</f>
        <v>0</v>
      </c>
    </row>
    <row r="25">
      <c r="A25" s="1" t="str">
        <f>IFERROR(__xludf.DUMMYFUNCTION("""COMPUTED_VALUE"""),"ASE")</f>
        <v>ASE</v>
      </c>
      <c r="B25" s="1"/>
      <c r="C25" s="1"/>
      <c r="D25" s="1">
        <f>IFERROR(__xludf.DUMMYFUNCTION("""COMPUTED_VALUE"""),40200.0)</f>
        <v>40200</v>
      </c>
      <c r="E25" s="1">
        <f>IFERROR(__xludf.DUMMYFUNCTION("""COMPUTED_VALUE"""),14.0)</f>
        <v>14</v>
      </c>
      <c r="F25" s="1">
        <f>IFERROR(__xludf.DUMMYFUNCTION("""COMPUTED_VALUE"""),49600.0)</f>
        <v>49600</v>
      </c>
      <c r="G25" s="1">
        <f>IFERROR(__xludf.DUMMYFUNCTION("""COMPUTED_VALUE"""),139.0)</f>
        <v>139</v>
      </c>
      <c r="H25" s="1">
        <f>IFERROR(__xludf.DUMMYFUNCTION("""COMPUTED_VALUE"""),74.0)</f>
        <v>74</v>
      </c>
      <c r="I25" s="1">
        <f>IFERROR(__xludf.DUMMYFUNCTION("""COMPUTED_VALUE"""),40200.0)</f>
        <v>40200</v>
      </c>
      <c r="J25" s="1">
        <f>IFERROR(__xludf.DUMMYFUNCTION("""COMPUTED_VALUE"""),858.0)</f>
        <v>858</v>
      </c>
      <c r="K25" s="1">
        <f>IFERROR(__xludf.DUMMYFUNCTION("""COMPUTED_VALUE"""),40500.0)</f>
        <v>40500</v>
      </c>
      <c r="L25" s="1">
        <f>IFERROR(__xludf.DUMMYFUNCTION("""COMPUTED_VALUE"""),50.0)</f>
        <v>50</v>
      </c>
      <c r="M25" s="1">
        <f>IFERROR(__xludf.DUMMYFUNCTION("""COMPUTED_VALUE"""),47900.0)</f>
        <v>47900</v>
      </c>
      <c r="N25" s="1">
        <f>IFERROR(__xludf.DUMMYFUNCTION("""COMPUTED_VALUE"""),354.0)</f>
        <v>354</v>
      </c>
      <c r="O25" s="1">
        <f>IFERROR(__xludf.DUMMYFUNCTION("""COMPUTED_VALUE"""),57.0)</f>
        <v>57</v>
      </c>
      <c r="P25" s="1">
        <f>IFERROR(__xludf.DUMMYFUNCTION("""COMPUTED_VALUE"""),40500.0)</f>
        <v>40500</v>
      </c>
      <c r="Q25" s="1">
        <f>IFERROR(__xludf.DUMMYFUNCTION("""COMPUTED_VALUE"""),63.0)</f>
        <v>63</v>
      </c>
      <c r="R25" s="1">
        <f>IFERROR(__xludf.DUMMYFUNCTION("""COMPUTED_VALUE"""),42000.0)</f>
        <v>42000</v>
      </c>
      <c r="S25" s="1"/>
      <c r="T25" s="1"/>
      <c r="U25" s="1">
        <f>IFERROR(__xludf.DUMMYFUNCTION("""COMPUTED_VALUE"""),0.0)</f>
        <v>0</v>
      </c>
      <c r="V25" s="1">
        <f>IFERROR(__xludf.DUMMYFUNCTION("""COMPUTED_VALUE"""),10.0)</f>
        <v>10</v>
      </c>
      <c r="W25" s="1">
        <f>IFERROR(__xludf.DUMMYFUNCTION("""COMPUTED_VALUE"""),33000.0)</f>
        <v>33000</v>
      </c>
      <c r="X25" s="1">
        <f>IFERROR(__xludf.DUMMYFUNCTION("""COMPUTED_VALUE"""),10.0)</f>
        <v>10</v>
      </c>
      <c r="Y25" s="1">
        <f>IFERROR(__xludf.DUMMYFUNCTION("""COMPUTED_VALUE"""),41800.0)</f>
        <v>41800</v>
      </c>
      <c r="Z25" s="1">
        <f>IFERROR(__xludf.DUMMYFUNCTION("""COMPUTED_VALUE"""),41.0)</f>
        <v>41</v>
      </c>
      <c r="AA25" s="1">
        <f>IFERROR(__xludf.DUMMYFUNCTION("""COMPUTED_VALUE"""),41800.0)</f>
        <v>41800</v>
      </c>
      <c r="AB25" s="1">
        <f>IFERROR(__xludf.DUMMYFUNCTION("""COMPUTED_VALUE"""),841.0)</f>
        <v>841</v>
      </c>
      <c r="AC25" s="1">
        <f>IFERROR(__xludf.DUMMYFUNCTION("""COMPUTED_VALUE"""),50.0)</f>
        <v>50</v>
      </c>
      <c r="AD25" s="1">
        <f>IFERROR(__xludf.DUMMYFUNCTION("""COMPUTED_VALUE"""),37100.0)</f>
        <v>37100</v>
      </c>
      <c r="AE25" s="1">
        <f>IFERROR(__xludf.DUMMYFUNCTION("""COMPUTED_VALUE"""),892.0)</f>
        <v>892</v>
      </c>
      <c r="AF25" s="1">
        <f>IFERROR(__xludf.DUMMYFUNCTION("""COMPUTED_VALUE"""),19526.619140625)</f>
        <v>19526.61914</v>
      </c>
      <c r="AG25" s="1">
        <f>IFERROR(__xludf.DUMMYFUNCTION("""COMPUTED_VALUE"""),10.0)</f>
        <v>10</v>
      </c>
      <c r="AH25" s="1">
        <f>IFERROR(__xludf.DUMMYFUNCTION("""COMPUTED_VALUE"""),48000.0)</f>
        <v>48000</v>
      </c>
      <c r="AI25" s="1">
        <f>IFERROR(__xludf.DUMMYFUNCTION("""COMPUTED_VALUE"""),10.0)</f>
        <v>10</v>
      </c>
      <c r="AJ25" s="1"/>
      <c r="AK25" s="1"/>
      <c r="AL25" s="1">
        <f>IFERROR(__xludf.DUMMYFUNCTION("""COMPUTED_VALUE"""),0.0)</f>
        <v>0</v>
      </c>
      <c r="AM25" s="1">
        <f>IFERROR(__xludf.DUMMYFUNCTION("""COMPUTED_VALUE"""),41727.21875)</f>
        <v>41727.21875</v>
      </c>
      <c r="AN25" s="1">
        <f>IFERROR(__xludf.DUMMYFUNCTION("""COMPUTED_VALUE"""),67.0)</f>
        <v>67</v>
      </c>
      <c r="AO25" s="1">
        <f>IFERROR(__xludf.DUMMYFUNCTION("""COMPUTED_VALUE"""),41900.0)</f>
        <v>41900</v>
      </c>
      <c r="AP25" s="1">
        <f>IFERROR(__xludf.DUMMYFUNCTION("""COMPUTED_VALUE"""),742.0)</f>
        <v>742</v>
      </c>
      <c r="AQ25" s="1">
        <f>IFERROR(__xludf.DUMMYFUNCTION("""COMPUTED_VALUE"""),93.0)</f>
        <v>93</v>
      </c>
      <c r="AR25" s="1">
        <f>IFERROR(__xludf.DUMMYFUNCTION("""COMPUTED_VALUE"""),33200.0)</f>
        <v>33200</v>
      </c>
      <c r="AS25" s="1">
        <f>IFERROR(__xludf.DUMMYFUNCTION("""COMPUTED_VALUE"""),194.0)</f>
        <v>194</v>
      </c>
    </row>
    <row r="26">
      <c r="A26" s="1" t="str">
        <f>IFERROR(__xludf.DUMMYFUNCTION("""COMPUTED_VALUE"""),"AST")</f>
        <v>AST</v>
      </c>
      <c r="B26" s="1"/>
      <c r="C26" s="1"/>
      <c r="D26" s="1">
        <f>IFERROR(__xludf.DUMMYFUNCTION("""COMPUTED_VALUE"""),4000.0)</f>
        <v>4000</v>
      </c>
      <c r="E26" s="1">
        <f>IFERROR(__xludf.DUMMYFUNCTION("""COMPUTED_VALUE"""),100.0)</f>
        <v>100</v>
      </c>
      <c r="F26" s="1">
        <f>IFERROR(__xludf.DUMMYFUNCTION("""COMPUTED_VALUE"""),4790.0)</f>
        <v>4790</v>
      </c>
      <c r="G26" s="1">
        <f>IFERROR(__xludf.DUMMYFUNCTION("""COMPUTED_VALUE"""),1600.0)</f>
        <v>1600</v>
      </c>
      <c r="H26" s="1">
        <f>IFERROR(__xludf.DUMMYFUNCTION("""COMPUTED_VALUE"""),1000.0)</f>
        <v>1000</v>
      </c>
      <c r="I26" s="1">
        <f>IFERROR(__xludf.DUMMYFUNCTION("""COMPUTED_VALUE"""),2590.0)</f>
        <v>2590</v>
      </c>
      <c r="J26" s="1">
        <f>IFERROR(__xludf.DUMMYFUNCTION("""COMPUTED_VALUE"""),3945.0)</f>
        <v>3945</v>
      </c>
      <c r="K26" s="1">
        <f>IFERROR(__xludf.DUMMYFUNCTION("""COMPUTED_VALUE"""),3740.0)</f>
        <v>3740</v>
      </c>
      <c r="L26" s="1">
        <f>IFERROR(__xludf.DUMMYFUNCTION("""COMPUTED_VALUE"""),100.0)</f>
        <v>100</v>
      </c>
      <c r="M26" s="1">
        <f>IFERROR(__xludf.DUMMYFUNCTION("""COMPUTED_VALUE"""),5000.0)</f>
        <v>5000</v>
      </c>
      <c r="N26" s="1">
        <f>IFERROR(__xludf.DUMMYFUNCTION("""COMPUTED_VALUE"""),100.0)</f>
        <v>100</v>
      </c>
      <c r="O26" s="1">
        <f>IFERROR(__xludf.DUMMYFUNCTION("""COMPUTED_VALUE"""),1000.0)</f>
        <v>1000</v>
      </c>
      <c r="P26" s="1">
        <f>IFERROR(__xludf.DUMMYFUNCTION("""COMPUTED_VALUE"""),2810.0)</f>
        <v>2810</v>
      </c>
      <c r="Q26" s="1">
        <f>IFERROR(__xludf.DUMMYFUNCTION("""COMPUTED_VALUE"""),1688.0)</f>
        <v>1688</v>
      </c>
      <c r="R26" s="1">
        <f>IFERROR(__xludf.DUMMYFUNCTION("""COMPUTED_VALUE"""),1626.44995117187)</f>
        <v>1626.449951</v>
      </c>
      <c r="S26" s="1">
        <f>IFERROR(__xludf.DUMMYFUNCTION("""COMPUTED_VALUE"""),100.0)</f>
        <v>100</v>
      </c>
      <c r="T26" s="1">
        <f>IFERROR(__xludf.DUMMYFUNCTION("""COMPUTED_VALUE"""),10000.0)</f>
        <v>10000</v>
      </c>
      <c r="U26" s="1">
        <f>IFERROR(__xludf.DUMMYFUNCTION("""COMPUTED_VALUE"""),100.0)</f>
        <v>100</v>
      </c>
      <c r="V26" s="1"/>
      <c r="W26" s="1"/>
      <c r="X26" s="1">
        <f>IFERROR(__xludf.DUMMYFUNCTION("""COMPUTED_VALUE"""),0.0)</f>
        <v>0</v>
      </c>
      <c r="Y26" s="1">
        <f>IFERROR(__xludf.DUMMYFUNCTION("""COMPUTED_VALUE"""),4890.0)</f>
        <v>4890</v>
      </c>
      <c r="Z26" s="1">
        <f>IFERROR(__xludf.DUMMYFUNCTION("""COMPUTED_VALUE"""),228.0)</f>
        <v>228</v>
      </c>
      <c r="AA26" s="1">
        <f>IFERROR(__xludf.DUMMYFUNCTION("""COMPUTED_VALUE"""),4890.0)</f>
        <v>4890</v>
      </c>
      <c r="AB26" s="1">
        <f>IFERROR(__xludf.DUMMYFUNCTION("""COMPUTED_VALUE"""),7314.0)</f>
        <v>7314</v>
      </c>
      <c r="AC26" s="1">
        <f>IFERROR(__xludf.DUMMYFUNCTION("""COMPUTED_VALUE"""),2000.0)</f>
        <v>2000</v>
      </c>
      <c r="AD26" s="1">
        <f>IFERROR(__xludf.DUMMYFUNCTION("""COMPUTED_VALUE"""),2900.0)</f>
        <v>2900</v>
      </c>
      <c r="AE26" s="1">
        <f>IFERROR(__xludf.DUMMYFUNCTION("""COMPUTED_VALUE"""),2002.0)</f>
        <v>2002</v>
      </c>
      <c r="AF26" s="1">
        <f>IFERROR(__xludf.DUMMYFUNCTION("""COMPUTED_VALUE"""),2000.0)</f>
        <v>2000</v>
      </c>
      <c r="AG26" s="1"/>
      <c r="AH26" s="1"/>
      <c r="AI26" s="1">
        <f>IFERROR(__xludf.DUMMYFUNCTION("""COMPUTED_VALUE"""),0.0)</f>
        <v>0</v>
      </c>
      <c r="AJ26" s="1"/>
      <c r="AK26" s="1"/>
      <c r="AL26" s="1">
        <f>IFERROR(__xludf.DUMMYFUNCTION("""COMPUTED_VALUE"""),0.0)</f>
        <v>0</v>
      </c>
      <c r="AM26" s="1">
        <f>IFERROR(__xludf.DUMMYFUNCTION("""COMPUTED_VALUE"""),5000.0)</f>
        <v>5000</v>
      </c>
      <c r="AN26" s="1"/>
      <c r="AO26" s="1"/>
      <c r="AP26" s="1">
        <f>IFERROR(__xludf.DUMMYFUNCTION("""COMPUTED_VALUE"""),0.0)</f>
        <v>0</v>
      </c>
      <c r="AQ26" s="1"/>
      <c r="AR26" s="1"/>
      <c r="AS26" s="1">
        <f>IFERROR(__xludf.DUMMYFUNCTION("""COMPUTED_VALUE"""),0.0)</f>
        <v>0</v>
      </c>
    </row>
    <row r="27">
      <c r="A27" s="1" t="str">
        <f>IFERROR(__xludf.DUMMYFUNCTION("""COMPUTED_VALUE"""),"ATA")</f>
        <v>ATA</v>
      </c>
      <c r="B27" s="1"/>
      <c r="C27" s="1"/>
      <c r="D27" s="1">
        <f>IFERROR(__xludf.DUMMYFUNCTION("""COMPUTED_VALUE"""),25000.0)</f>
        <v>25000</v>
      </c>
      <c r="E27" s="1">
        <f>IFERROR(__xludf.DUMMYFUNCTION("""COMPUTED_VALUE"""),40.0)</f>
        <v>40</v>
      </c>
      <c r="F27" s="1">
        <f>IFERROR(__xludf.DUMMYFUNCTION("""COMPUTED_VALUE"""),28000.0)</f>
        <v>28000</v>
      </c>
      <c r="G27" s="1">
        <f>IFERROR(__xludf.DUMMYFUNCTION("""COMPUTED_VALUE"""),512.0)</f>
        <v>512</v>
      </c>
      <c r="H27" s="1">
        <f>IFERROR(__xludf.DUMMYFUNCTION("""COMPUTED_VALUE"""),26.0)</f>
        <v>26</v>
      </c>
      <c r="I27" s="1">
        <f>IFERROR(__xludf.DUMMYFUNCTION("""COMPUTED_VALUE"""),25000.0)</f>
        <v>25000</v>
      </c>
      <c r="J27" s="1">
        <f>IFERROR(__xludf.DUMMYFUNCTION("""COMPUTED_VALUE"""),82.0)</f>
        <v>82</v>
      </c>
      <c r="K27" s="1">
        <f>IFERROR(__xludf.DUMMYFUNCTION("""COMPUTED_VALUE"""),24500.0)</f>
        <v>24500</v>
      </c>
      <c r="L27" s="1">
        <f>IFERROR(__xludf.DUMMYFUNCTION("""COMPUTED_VALUE"""),99.0)</f>
        <v>99</v>
      </c>
      <c r="M27" s="1">
        <f>IFERROR(__xludf.DUMMYFUNCTION("""COMPUTED_VALUE"""),29000.0)</f>
        <v>29000</v>
      </c>
      <c r="N27" s="1">
        <f>IFERROR(__xludf.DUMMYFUNCTION("""COMPUTED_VALUE"""),140.0)</f>
        <v>140</v>
      </c>
      <c r="O27" s="1">
        <f>IFERROR(__xludf.DUMMYFUNCTION("""COMPUTED_VALUE"""),48.0)</f>
        <v>48</v>
      </c>
      <c r="P27" s="1">
        <f>IFERROR(__xludf.DUMMYFUNCTION("""COMPUTED_VALUE"""),24500.0)</f>
        <v>24500</v>
      </c>
      <c r="Q27" s="1">
        <f>IFERROR(__xludf.DUMMYFUNCTION("""COMPUTED_VALUE"""),92.0)</f>
        <v>92</v>
      </c>
      <c r="R27" s="1">
        <f>IFERROR(__xludf.DUMMYFUNCTION("""COMPUTED_VALUE"""),1600.0)</f>
        <v>1600</v>
      </c>
      <c r="S27" s="1"/>
      <c r="T27" s="1"/>
      <c r="U27" s="1">
        <f>IFERROR(__xludf.DUMMYFUNCTION("""COMPUTED_VALUE"""),0.0)</f>
        <v>0</v>
      </c>
      <c r="V27" s="1"/>
      <c r="W27" s="1"/>
      <c r="X27" s="1">
        <f>IFERROR(__xludf.DUMMYFUNCTION("""COMPUTED_VALUE"""),0.0)</f>
        <v>0</v>
      </c>
      <c r="Y27" s="1">
        <f>IFERROR(__xludf.DUMMYFUNCTION("""COMPUTED_VALUE"""),25900.0)</f>
        <v>25900</v>
      </c>
      <c r="Z27" s="1">
        <f>IFERROR(__xludf.DUMMYFUNCTION("""COMPUTED_VALUE"""),6.0)</f>
        <v>6</v>
      </c>
      <c r="AA27" s="1">
        <f>IFERROR(__xludf.DUMMYFUNCTION("""COMPUTED_VALUE"""),25900.0)</f>
        <v>25900</v>
      </c>
      <c r="AB27" s="1">
        <f>IFERROR(__xludf.DUMMYFUNCTION("""COMPUTED_VALUE"""),683.0)</f>
        <v>683</v>
      </c>
      <c r="AC27" s="1">
        <f>IFERROR(__xludf.DUMMYFUNCTION("""COMPUTED_VALUE"""),14.0)</f>
        <v>14</v>
      </c>
      <c r="AD27" s="1">
        <f>IFERROR(__xludf.DUMMYFUNCTION("""COMPUTED_VALUE"""),21300.0)</f>
        <v>21300</v>
      </c>
      <c r="AE27" s="1">
        <f>IFERROR(__xludf.DUMMYFUNCTION("""COMPUTED_VALUE"""),421.0)</f>
        <v>421</v>
      </c>
      <c r="AF27" s="1">
        <f>IFERROR(__xludf.DUMMYFUNCTION("""COMPUTED_VALUE"""),15767.91015625)</f>
        <v>15767.91016</v>
      </c>
      <c r="AG27" s="1">
        <f>IFERROR(__xludf.DUMMYFUNCTION("""COMPUTED_VALUE"""),10.0)</f>
        <v>10</v>
      </c>
      <c r="AH27" s="1">
        <f>IFERROR(__xludf.DUMMYFUNCTION("""COMPUTED_VALUE"""),38000.0)</f>
        <v>38000</v>
      </c>
      <c r="AI27" s="1">
        <f>IFERROR(__xludf.DUMMYFUNCTION("""COMPUTED_VALUE"""),10.0)</f>
        <v>10</v>
      </c>
      <c r="AJ27" s="1"/>
      <c r="AK27" s="1"/>
      <c r="AL27" s="1">
        <f>IFERROR(__xludf.DUMMYFUNCTION("""COMPUTED_VALUE"""),0.0)</f>
        <v>0</v>
      </c>
      <c r="AM27" s="1">
        <f>IFERROR(__xludf.DUMMYFUNCTION("""COMPUTED_VALUE"""),28512.7890625)</f>
        <v>28512.78906</v>
      </c>
      <c r="AN27" s="1">
        <f>IFERROR(__xludf.DUMMYFUNCTION("""COMPUTED_VALUE"""),362.0)</f>
        <v>362</v>
      </c>
      <c r="AO27" s="1">
        <f>IFERROR(__xludf.DUMMYFUNCTION("""COMPUTED_VALUE"""),28900.0)</f>
        <v>28900</v>
      </c>
      <c r="AP27" s="1">
        <f>IFERROR(__xludf.DUMMYFUNCTION("""COMPUTED_VALUE"""),432.0)</f>
        <v>432</v>
      </c>
      <c r="AQ27" s="1">
        <f>IFERROR(__xludf.DUMMYFUNCTION("""COMPUTED_VALUE"""),100.0)</f>
        <v>100</v>
      </c>
      <c r="AR27" s="1">
        <f>IFERROR(__xludf.DUMMYFUNCTION("""COMPUTED_VALUE"""),16000.0)</f>
        <v>16000</v>
      </c>
      <c r="AS27" s="1">
        <f>IFERROR(__xludf.DUMMYFUNCTION("""COMPUTED_VALUE"""),139.0)</f>
        <v>139</v>
      </c>
    </row>
    <row r="28">
      <c r="A28" s="1" t="str">
        <f>IFERROR(__xludf.DUMMYFUNCTION("""COMPUTED_VALUE"""),"ATP")</f>
        <v>ATP</v>
      </c>
      <c r="B28" s="1"/>
      <c r="C28" s="1"/>
      <c r="D28" s="1">
        <f>IFERROR(__xludf.DUMMYFUNCTION("""COMPUTED_VALUE"""),22000.0)</f>
        <v>22000</v>
      </c>
      <c r="E28" s="1">
        <f>IFERROR(__xludf.DUMMYFUNCTION("""COMPUTED_VALUE"""),194.0)</f>
        <v>194</v>
      </c>
      <c r="F28" s="1">
        <f>IFERROR(__xludf.DUMMYFUNCTION("""COMPUTED_VALUE"""),22000.0)</f>
        <v>22000</v>
      </c>
      <c r="G28" s="1">
        <f>IFERROR(__xludf.DUMMYFUNCTION("""COMPUTED_VALUE"""),194.0)</f>
        <v>194</v>
      </c>
      <c r="H28" s="1"/>
      <c r="I28" s="1"/>
      <c r="J28" s="1">
        <f>IFERROR(__xludf.DUMMYFUNCTION("""COMPUTED_VALUE"""),0.0)</f>
        <v>0</v>
      </c>
      <c r="K28" s="1">
        <f>IFERROR(__xludf.DUMMYFUNCTION("""COMPUTED_VALUE"""),30000.0)</f>
        <v>30000</v>
      </c>
      <c r="L28" s="1"/>
      <c r="M28" s="1"/>
      <c r="N28" s="1">
        <f>IFERROR(__xludf.DUMMYFUNCTION("""COMPUTED_VALUE"""),0.0)</f>
        <v>0</v>
      </c>
      <c r="O28" s="1">
        <f>IFERROR(__xludf.DUMMYFUNCTION("""COMPUTED_VALUE"""),40.0)</f>
        <v>40</v>
      </c>
      <c r="P28" s="1">
        <f>IFERROR(__xludf.DUMMYFUNCTION("""COMPUTED_VALUE"""),16000.0)</f>
        <v>16000</v>
      </c>
      <c r="Q28" s="1">
        <f>IFERROR(__xludf.DUMMYFUNCTION("""COMPUTED_VALUE"""),40.0)</f>
        <v>40</v>
      </c>
      <c r="R28" s="1">
        <f>IFERROR(__xludf.DUMMYFUNCTION("""COMPUTED_VALUE"""),12361.0)</f>
        <v>12361</v>
      </c>
      <c r="S28" s="1"/>
      <c r="T28" s="1"/>
      <c r="U28" s="1">
        <f>IFERROR(__xludf.DUMMYFUNCTION("""COMPUTED_VALUE"""),0.0)</f>
        <v>0</v>
      </c>
      <c r="V28" s="1"/>
      <c r="W28" s="1"/>
      <c r="X28" s="1">
        <f>IFERROR(__xludf.DUMMYFUNCTION("""COMPUTED_VALUE"""),0.0)</f>
        <v>0</v>
      </c>
      <c r="Y28" s="1">
        <f>IFERROR(__xludf.DUMMYFUNCTION("""COMPUTED_VALUE"""),35000.0)</f>
        <v>35000</v>
      </c>
      <c r="Z28" s="1">
        <f>IFERROR(__xludf.DUMMYFUNCTION("""COMPUTED_VALUE"""),30.0)</f>
        <v>30</v>
      </c>
      <c r="AA28" s="1">
        <f>IFERROR(__xludf.DUMMYFUNCTION("""COMPUTED_VALUE"""),35000.0)</f>
        <v>35000</v>
      </c>
      <c r="AB28" s="1">
        <f>IFERROR(__xludf.DUMMYFUNCTION("""COMPUTED_VALUE"""),30.0)</f>
        <v>30</v>
      </c>
      <c r="AC28" s="1"/>
      <c r="AD28" s="1"/>
      <c r="AE28" s="1">
        <f>IFERROR(__xludf.DUMMYFUNCTION("""COMPUTED_VALUE"""),0.0)</f>
        <v>0</v>
      </c>
      <c r="AF28" s="1">
        <f>IFERROR(__xludf.DUMMYFUNCTION("""COMPUTED_VALUE"""),12361.0)</f>
        <v>12361</v>
      </c>
      <c r="AG28" s="1"/>
      <c r="AH28" s="1"/>
      <c r="AI28" s="1">
        <f>IFERROR(__xludf.DUMMYFUNCTION("""COMPUTED_VALUE"""),0.0)</f>
        <v>0</v>
      </c>
      <c r="AJ28" s="1"/>
      <c r="AK28" s="1"/>
      <c r="AL28" s="1">
        <f>IFERROR(__xludf.DUMMYFUNCTION("""COMPUTED_VALUE"""),0.0)</f>
        <v>0</v>
      </c>
      <c r="AM28" s="1">
        <f>IFERROR(__xludf.DUMMYFUNCTION("""COMPUTED_VALUE"""),25000.0)</f>
        <v>25000</v>
      </c>
      <c r="AN28" s="1"/>
      <c r="AO28" s="1"/>
      <c r="AP28" s="1">
        <f>IFERROR(__xludf.DUMMYFUNCTION("""COMPUTED_VALUE"""),0.0)</f>
        <v>0</v>
      </c>
      <c r="AQ28" s="1"/>
      <c r="AR28" s="1"/>
      <c r="AS28" s="1">
        <f>IFERROR(__xludf.DUMMYFUNCTION("""COMPUTED_VALUE"""),0.0)</f>
        <v>0</v>
      </c>
    </row>
    <row r="29">
      <c r="A29" s="1" t="str">
        <f>IFERROR(__xludf.DUMMYFUNCTION("""COMPUTED_VALUE"""),"AU")</f>
        <v>AU</v>
      </c>
      <c r="B29" s="1"/>
      <c r="C29" s="1"/>
      <c r="D29" s="1">
        <f>IFERROR(__xludf.DUMMYFUNCTION("""COMPUTED_VALUE"""),2480.0)</f>
        <v>2480</v>
      </c>
      <c r="E29" s="1">
        <f>IFERROR(__xludf.DUMMYFUNCTION("""COMPUTED_VALUE"""),207.0)</f>
        <v>207</v>
      </c>
      <c r="F29" s="1">
        <f>IFERROR(__xludf.DUMMYFUNCTION("""COMPUTED_VALUE"""),2480.0)</f>
        <v>2480</v>
      </c>
      <c r="G29" s="1">
        <f>IFERROR(__xludf.DUMMYFUNCTION("""COMPUTED_VALUE"""),6544.0)</f>
        <v>6544</v>
      </c>
      <c r="H29" s="1">
        <f>IFERROR(__xludf.DUMMYFUNCTION("""COMPUTED_VALUE"""),6.0)</f>
        <v>6</v>
      </c>
      <c r="I29" s="1">
        <f>IFERROR(__xludf.DUMMYFUNCTION("""COMPUTED_VALUE"""),2210.0)</f>
        <v>2210</v>
      </c>
      <c r="J29" s="1">
        <f>IFERROR(__xludf.DUMMYFUNCTION("""COMPUTED_VALUE"""),603.0)</f>
        <v>603</v>
      </c>
      <c r="K29" s="1">
        <f>IFERROR(__xludf.DUMMYFUNCTION("""COMPUTED_VALUE"""),1700.0)</f>
        <v>1700</v>
      </c>
      <c r="L29" s="1">
        <f>IFERROR(__xludf.DUMMYFUNCTION("""COMPUTED_VALUE"""),155.0)</f>
        <v>155</v>
      </c>
      <c r="M29" s="1">
        <f>IFERROR(__xludf.DUMMYFUNCTION("""COMPUTED_VALUE"""),2250.0)</f>
        <v>2250</v>
      </c>
      <c r="N29" s="1">
        <f>IFERROR(__xludf.DUMMYFUNCTION("""COMPUTED_VALUE"""),1702.0)</f>
        <v>1702</v>
      </c>
      <c r="O29" s="1">
        <f>IFERROR(__xludf.DUMMYFUNCTION("""COMPUTED_VALUE"""),170.0)</f>
        <v>170</v>
      </c>
      <c r="P29" s="1">
        <f>IFERROR(__xludf.DUMMYFUNCTION("""COMPUTED_VALUE"""),1700.0)</f>
        <v>1700</v>
      </c>
      <c r="Q29" s="1">
        <f>IFERROR(__xludf.DUMMYFUNCTION("""COMPUTED_VALUE"""),1290.0)</f>
        <v>1290</v>
      </c>
      <c r="R29" s="1">
        <f>IFERROR(__xludf.DUMMYFUNCTION("""COMPUTED_VALUE"""),950.0)</f>
        <v>950</v>
      </c>
      <c r="S29" s="1"/>
      <c r="T29" s="1"/>
      <c r="U29" s="1">
        <f>IFERROR(__xludf.DUMMYFUNCTION("""COMPUTED_VALUE"""),0.0)</f>
        <v>0</v>
      </c>
      <c r="V29" s="1"/>
      <c r="W29" s="1"/>
      <c r="X29" s="1">
        <f>IFERROR(__xludf.DUMMYFUNCTION("""COMPUTED_VALUE"""),0.0)</f>
        <v>0</v>
      </c>
      <c r="Y29" s="1">
        <f>IFERROR(__xludf.DUMMYFUNCTION("""COMPUTED_VALUE"""),1500.0)</f>
        <v>1500</v>
      </c>
      <c r="Z29" s="1">
        <f>IFERROR(__xludf.DUMMYFUNCTION("""COMPUTED_VALUE"""),12.0)</f>
        <v>12</v>
      </c>
      <c r="AA29" s="1">
        <f>IFERROR(__xludf.DUMMYFUNCTION("""COMPUTED_VALUE"""),1800.0)</f>
        <v>1800</v>
      </c>
      <c r="AB29" s="1">
        <f>IFERROR(__xludf.DUMMYFUNCTION("""COMPUTED_VALUE"""),20229.0)</f>
        <v>20229</v>
      </c>
      <c r="AC29" s="1">
        <f>IFERROR(__xludf.DUMMYFUNCTION("""COMPUTED_VALUE"""),1439.0)</f>
        <v>1439</v>
      </c>
      <c r="AD29" s="1">
        <f>IFERROR(__xludf.DUMMYFUNCTION("""COMPUTED_VALUE"""),1500.0)</f>
        <v>1500</v>
      </c>
      <c r="AE29" s="1">
        <f>IFERROR(__xludf.DUMMYFUNCTION("""COMPUTED_VALUE"""),3268.0)</f>
        <v>3268</v>
      </c>
      <c r="AF29" s="1">
        <f>IFERROR(__xludf.DUMMYFUNCTION("""COMPUTED_VALUE"""),998.0)</f>
        <v>998</v>
      </c>
      <c r="AG29" s="1">
        <f>IFERROR(__xludf.DUMMYFUNCTION("""COMPUTED_VALUE"""),20.0)</f>
        <v>20</v>
      </c>
      <c r="AH29" s="1">
        <f>IFERROR(__xludf.DUMMYFUNCTION("""COMPUTED_VALUE"""),998.0)</f>
        <v>998</v>
      </c>
      <c r="AI29" s="1">
        <f>IFERROR(__xludf.DUMMYFUNCTION("""COMPUTED_VALUE"""),71.0)</f>
        <v>71</v>
      </c>
      <c r="AJ29" s="1"/>
      <c r="AK29" s="1"/>
      <c r="AL29" s="1">
        <f>IFERROR(__xludf.DUMMYFUNCTION("""COMPUTED_VALUE"""),0.0)</f>
        <v>0</v>
      </c>
      <c r="AM29" s="1">
        <f>IFERROR(__xludf.DUMMYFUNCTION("""COMPUTED_VALUE"""),1700.0)</f>
        <v>1700</v>
      </c>
      <c r="AN29" s="1">
        <f>IFERROR(__xludf.DUMMYFUNCTION("""COMPUTED_VALUE"""),91.0)</f>
        <v>91</v>
      </c>
      <c r="AO29" s="1">
        <f>IFERROR(__xludf.DUMMYFUNCTION("""COMPUTED_VALUE"""),1700.0)</f>
        <v>1700</v>
      </c>
      <c r="AP29" s="1">
        <f>IFERROR(__xludf.DUMMYFUNCTION("""COMPUTED_VALUE"""),5481.0)</f>
        <v>5481</v>
      </c>
      <c r="AQ29" s="1">
        <f>IFERROR(__xludf.DUMMYFUNCTION("""COMPUTED_VALUE"""),19.0)</f>
        <v>19</v>
      </c>
      <c r="AR29" s="1">
        <f>IFERROR(__xludf.DUMMYFUNCTION("""COMPUTED_VALUE"""),1350.0)</f>
        <v>1350</v>
      </c>
      <c r="AS29" s="1">
        <f>IFERROR(__xludf.DUMMYFUNCTION("""COMPUTED_VALUE"""),219.0)</f>
        <v>219</v>
      </c>
    </row>
    <row r="30">
      <c r="A30" s="1" t="str">
        <f>IFERROR(__xludf.DUMMYFUNCTION("""COMPUTED_VALUE"""),"AUO")</f>
        <v>AUO</v>
      </c>
      <c r="B30" s="1">
        <f>IFERROR(__xludf.DUMMYFUNCTION("""COMPUTED_VALUE"""),137.0)</f>
        <v>137</v>
      </c>
      <c r="C30" s="1"/>
      <c r="D30" s="1">
        <f>IFERROR(__xludf.DUMMYFUNCTION("""COMPUTED_VALUE"""),350.0)</f>
        <v>350</v>
      </c>
      <c r="E30" s="1">
        <f>IFERROR(__xludf.DUMMYFUNCTION("""COMPUTED_VALUE"""),370.0)</f>
        <v>370</v>
      </c>
      <c r="F30" s="1">
        <f>IFERROR(__xludf.DUMMYFUNCTION("""COMPUTED_VALUE"""),350.0)</f>
        <v>350</v>
      </c>
      <c r="G30" s="1">
        <f>IFERROR(__xludf.DUMMYFUNCTION("""COMPUTED_VALUE"""),28947.0)</f>
        <v>28947</v>
      </c>
      <c r="H30" s="1">
        <f>IFERROR(__xludf.DUMMYFUNCTION("""COMPUTED_VALUE"""),120.0)</f>
        <v>120</v>
      </c>
      <c r="I30" s="1">
        <f>IFERROR(__xludf.DUMMYFUNCTION("""COMPUTED_VALUE"""),255.0)</f>
        <v>255</v>
      </c>
      <c r="J30" s="1">
        <f>IFERROR(__xludf.DUMMYFUNCTION("""COMPUTED_VALUE"""),2049.0)</f>
        <v>2049</v>
      </c>
      <c r="K30" s="1">
        <f>IFERROR(__xludf.DUMMYFUNCTION("""COMPUTED_VALUE"""),226.0)</f>
        <v>226</v>
      </c>
      <c r="L30" s="1">
        <f>IFERROR(__xludf.DUMMYFUNCTION("""COMPUTED_VALUE"""),128.0)</f>
        <v>128</v>
      </c>
      <c r="M30" s="1">
        <f>IFERROR(__xludf.DUMMYFUNCTION("""COMPUTED_VALUE"""),350.0)</f>
        <v>350</v>
      </c>
      <c r="N30" s="1">
        <f>IFERROR(__xludf.DUMMYFUNCTION("""COMPUTED_VALUE"""),5426.0)</f>
        <v>5426</v>
      </c>
      <c r="O30" s="1">
        <f>IFERROR(__xludf.DUMMYFUNCTION("""COMPUTED_VALUE"""),2000.0)</f>
        <v>2000</v>
      </c>
      <c r="P30" s="1">
        <f>IFERROR(__xludf.DUMMYFUNCTION("""COMPUTED_VALUE"""),227.0)</f>
        <v>227</v>
      </c>
      <c r="Q30" s="1">
        <f>IFERROR(__xludf.DUMMYFUNCTION("""COMPUTED_VALUE"""),10771.0)</f>
        <v>10771</v>
      </c>
      <c r="R30" s="1">
        <f>IFERROR(__xludf.DUMMYFUNCTION("""COMPUTED_VALUE"""),225.0)</f>
        <v>225</v>
      </c>
      <c r="S30" s="1"/>
      <c r="T30" s="1"/>
      <c r="U30" s="1">
        <f>IFERROR(__xludf.DUMMYFUNCTION("""COMPUTED_VALUE"""),0.0)</f>
        <v>0</v>
      </c>
      <c r="V30" s="1">
        <f>IFERROR(__xludf.DUMMYFUNCTION("""COMPUTED_VALUE"""),900.0)</f>
        <v>900</v>
      </c>
      <c r="W30" s="1">
        <f>IFERROR(__xludf.DUMMYFUNCTION("""COMPUTED_VALUE"""),225.0)</f>
        <v>225</v>
      </c>
      <c r="X30" s="1">
        <f>IFERROR(__xludf.DUMMYFUNCTION("""COMPUTED_VALUE"""),900.0)</f>
        <v>900</v>
      </c>
      <c r="Y30" s="1">
        <f>IFERROR(__xludf.DUMMYFUNCTION("""COMPUTED_VALUE"""),375.0)</f>
        <v>375</v>
      </c>
      <c r="Z30" s="1">
        <f>IFERROR(__xludf.DUMMYFUNCTION("""COMPUTED_VALUE"""),1850.0)</f>
        <v>1850</v>
      </c>
      <c r="AA30" s="1">
        <f>IFERROR(__xludf.DUMMYFUNCTION("""COMPUTED_VALUE"""),375.0)</f>
        <v>375</v>
      </c>
      <c r="AB30" s="1">
        <f>IFERROR(__xludf.DUMMYFUNCTION("""COMPUTED_VALUE"""),26973.0)</f>
        <v>26973</v>
      </c>
      <c r="AC30" s="1">
        <f>IFERROR(__xludf.DUMMYFUNCTION("""COMPUTED_VALUE"""),160.0)</f>
        <v>160</v>
      </c>
      <c r="AD30" s="1">
        <f>IFERROR(__xludf.DUMMYFUNCTION("""COMPUTED_VALUE"""),348.0)</f>
        <v>348</v>
      </c>
      <c r="AE30" s="1">
        <f>IFERROR(__xludf.DUMMYFUNCTION("""COMPUTED_VALUE"""),21584.0)</f>
        <v>21584</v>
      </c>
      <c r="AF30" s="1">
        <f>IFERROR(__xludf.DUMMYFUNCTION("""COMPUTED_VALUE"""),280.0)</f>
        <v>280</v>
      </c>
      <c r="AG30" s="1"/>
      <c r="AH30" s="1"/>
      <c r="AI30" s="1">
        <f>IFERROR(__xludf.DUMMYFUNCTION("""COMPUTED_VALUE"""),0.0)</f>
        <v>0</v>
      </c>
      <c r="AJ30" s="1"/>
      <c r="AK30" s="1"/>
      <c r="AL30" s="1">
        <f>IFERROR(__xludf.DUMMYFUNCTION("""COMPUTED_VALUE"""),0.0)</f>
        <v>0</v>
      </c>
      <c r="AM30" s="1">
        <f>IFERROR(__xludf.DUMMYFUNCTION("""COMPUTED_VALUE"""),271.0)</f>
        <v>271</v>
      </c>
      <c r="AN30" s="1">
        <f>IFERROR(__xludf.DUMMYFUNCTION("""COMPUTED_VALUE"""),125.0)</f>
        <v>125</v>
      </c>
      <c r="AO30" s="1">
        <f>IFERROR(__xludf.DUMMYFUNCTION("""COMPUTED_VALUE"""),490.0)</f>
        <v>490</v>
      </c>
      <c r="AP30" s="1">
        <f>IFERROR(__xludf.DUMMYFUNCTION("""COMPUTED_VALUE"""),2308.0)</f>
        <v>2308</v>
      </c>
      <c r="AQ30" s="1">
        <f>IFERROR(__xludf.DUMMYFUNCTION("""COMPUTED_VALUE"""),374.0)</f>
        <v>374</v>
      </c>
      <c r="AR30" s="1">
        <f>IFERROR(__xludf.DUMMYFUNCTION("""COMPUTED_VALUE"""),271.0)</f>
        <v>271</v>
      </c>
      <c r="AS30" s="1">
        <f>IFERROR(__xludf.DUMMYFUNCTION("""COMPUTED_VALUE"""),3080.0)</f>
        <v>3080</v>
      </c>
    </row>
    <row r="31">
      <c r="A31" s="1" t="str">
        <f>IFERROR(__xludf.DUMMYFUNCTION("""COMPUTED_VALUE"""),"AWF")</f>
        <v>AWF</v>
      </c>
      <c r="B31" s="1"/>
      <c r="C31" s="1"/>
      <c r="D31" s="1">
        <f>IFERROR(__xludf.DUMMYFUNCTION("""COMPUTED_VALUE"""),5000.0)</f>
        <v>5000</v>
      </c>
      <c r="E31" s="1">
        <f>IFERROR(__xludf.DUMMYFUNCTION("""COMPUTED_VALUE"""),144.0)</f>
        <v>144</v>
      </c>
      <c r="F31" s="1">
        <f>IFERROR(__xludf.DUMMYFUNCTION("""COMPUTED_VALUE"""),5000.0)</f>
        <v>5000</v>
      </c>
      <c r="G31" s="1">
        <f>IFERROR(__xludf.DUMMYFUNCTION("""COMPUTED_VALUE"""),337.0)</f>
        <v>337</v>
      </c>
      <c r="H31" s="1"/>
      <c r="I31" s="1"/>
      <c r="J31" s="1">
        <f>IFERROR(__xludf.DUMMYFUNCTION("""COMPUTED_VALUE"""),0.0)</f>
        <v>0</v>
      </c>
      <c r="K31" s="1">
        <f>IFERROR(__xludf.DUMMYFUNCTION("""COMPUTED_VALUE"""),5900.0)</f>
        <v>5900</v>
      </c>
      <c r="L31" s="1">
        <f>IFERROR(__xludf.DUMMYFUNCTION("""COMPUTED_VALUE"""),47.0)</f>
        <v>47</v>
      </c>
      <c r="M31" s="1">
        <f>IFERROR(__xludf.DUMMYFUNCTION("""COMPUTED_VALUE"""),6000.0)</f>
        <v>6000</v>
      </c>
      <c r="N31" s="1">
        <f>IFERROR(__xludf.DUMMYFUNCTION("""COMPUTED_VALUE"""),233.0)</f>
        <v>233</v>
      </c>
      <c r="O31" s="1"/>
      <c r="P31" s="1"/>
      <c r="Q31" s="1">
        <f>IFERROR(__xludf.DUMMYFUNCTION("""COMPUTED_VALUE"""),0.0)</f>
        <v>0</v>
      </c>
      <c r="R31" s="1">
        <f>IFERROR(__xludf.DUMMYFUNCTION("""COMPUTED_VALUE"""),2940.56005859375)</f>
        <v>2940.560059</v>
      </c>
      <c r="S31" s="1"/>
      <c r="T31" s="1"/>
      <c r="U31" s="1">
        <f>IFERROR(__xludf.DUMMYFUNCTION("""COMPUTED_VALUE"""),0.0)</f>
        <v>0</v>
      </c>
      <c r="V31" s="1"/>
      <c r="W31" s="1"/>
      <c r="X31" s="1">
        <f>IFERROR(__xludf.DUMMYFUNCTION("""COMPUTED_VALUE"""),0.0)</f>
        <v>0</v>
      </c>
      <c r="Y31" s="1">
        <f>IFERROR(__xludf.DUMMYFUNCTION("""COMPUTED_VALUE"""),4800.0)</f>
        <v>4800</v>
      </c>
      <c r="Z31" s="1">
        <f>IFERROR(__xludf.DUMMYFUNCTION("""COMPUTED_VALUE"""),7.0)</f>
        <v>7</v>
      </c>
      <c r="AA31" s="1">
        <f>IFERROR(__xludf.DUMMYFUNCTION("""COMPUTED_VALUE"""),6000.0)</f>
        <v>6000</v>
      </c>
      <c r="AB31" s="1">
        <f>IFERROR(__xludf.DUMMYFUNCTION("""COMPUTED_VALUE"""),501.0)</f>
        <v>501</v>
      </c>
      <c r="AC31" s="1">
        <f>IFERROR(__xludf.DUMMYFUNCTION("""COMPUTED_VALUE"""),96.0)</f>
        <v>96</v>
      </c>
      <c r="AD31" s="1">
        <f>IFERROR(__xludf.DUMMYFUNCTION("""COMPUTED_VALUE"""),4800.0)</f>
        <v>4800</v>
      </c>
      <c r="AE31" s="1">
        <f>IFERROR(__xludf.DUMMYFUNCTION("""COMPUTED_VALUE"""),296.0)</f>
        <v>296</v>
      </c>
      <c r="AF31" s="1">
        <f>IFERROR(__xludf.DUMMYFUNCTION("""COMPUTED_VALUE"""),2940.56005859375)</f>
        <v>2940.560059</v>
      </c>
      <c r="AG31" s="1">
        <f>IFERROR(__xludf.DUMMYFUNCTION("""COMPUTED_VALUE"""),5.0)</f>
        <v>5</v>
      </c>
      <c r="AH31" s="1">
        <f>IFERROR(__xludf.DUMMYFUNCTION("""COMPUTED_VALUE"""),5950.0)</f>
        <v>5950</v>
      </c>
      <c r="AI31" s="1">
        <f>IFERROR(__xludf.DUMMYFUNCTION("""COMPUTED_VALUE"""),5.0)</f>
        <v>5</v>
      </c>
      <c r="AJ31" s="1"/>
      <c r="AK31" s="1"/>
      <c r="AL31" s="1">
        <f>IFERROR(__xludf.DUMMYFUNCTION("""COMPUTED_VALUE"""),0.0)</f>
        <v>0</v>
      </c>
      <c r="AM31" s="1">
        <f>IFERROR(__xludf.DUMMYFUNCTION("""COMPUTED_VALUE"""),6000.0)</f>
        <v>6000</v>
      </c>
      <c r="AN31" s="1">
        <f>IFERROR(__xludf.DUMMYFUNCTION("""COMPUTED_VALUE"""),3.0)</f>
        <v>3</v>
      </c>
      <c r="AO31" s="1">
        <f>IFERROR(__xludf.DUMMYFUNCTION("""COMPUTED_VALUE"""),6000.0)</f>
        <v>6000</v>
      </c>
      <c r="AP31" s="1">
        <f>IFERROR(__xludf.DUMMYFUNCTION("""COMPUTED_VALUE"""),13.0)</f>
        <v>13</v>
      </c>
      <c r="AQ31" s="1"/>
      <c r="AR31" s="1"/>
      <c r="AS31" s="1">
        <f>IFERROR(__xludf.DUMMYFUNCTION("""COMPUTED_VALUE"""),0.0)</f>
        <v>0</v>
      </c>
    </row>
    <row r="32">
      <c r="A32" s="1" t="str">
        <f>IFERROR(__xludf.DUMMYFUNCTION("""COMPUTED_VALUE"""),"AWH")</f>
        <v>AWH</v>
      </c>
      <c r="B32" s="1"/>
      <c r="C32" s="1"/>
      <c r="D32" s="1">
        <f>IFERROR(__xludf.DUMMYFUNCTION("""COMPUTED_VALUE"""),18000.0)</f>
        <v>18000</v>
      </c>
      <c r="E32" s="1">
        <f>IFERROR(__xludf.DUMMYFUNCTION("""COMPUTED_VALUE"""),367.0)</f>
        <v>367</v>
      </c>
      <c r="F32" s="1">
        <f>IFERROR(__xludf.DUMMYFUNCTION("""COMPUTED_VALUE"""),18000.0)</f>
        <v>18000</v>
      </c>
      <c r="G32" s="1">
        <f>IFERROR(__xludf.DUMMYFUNCTION("""COMPUTED_VALUE"""),866.0)</f>
        <v>866</v>
      </c>
      <c r="H32" s="1">
        <f>IFERROR(__xludf.DUMMYFUNCTION("""COMPUTED_VALUE"""),100.0)</f>
        <v>100</v>
      </c>
      <c r="I32" s="1">
        <f>IFERROR(__xludf.DUMMYFUNCTION("""COMPUTED_VALUE"""),16500.0)</f>
        <v>16500</v>
      </c>
      <c r="J32" s="1">
        <f>IFERROR(__xludf.DUMMYFUNCTION("""COMPUTED_VALUE"""),140.0)</f>
        <v>140</v>
      </c>
      <c r="K32" s="1">
        <f>IFERROR(__xludf.DUMMYFUNCTION("""COMPUTED_VALUE"""),24458.330078125)</f>
        <v>24458.33008</v>
      </c>
      <c r="L32" s="1">
        <f>IFERROR(__xludf.DUMMYFUNCTION("""COMPUTED_VALUE"""),49.0)</f>
        <v>49</v>
      </c>
      <c r="M32" s="1">
        <f>IFERROR(__xludf.DUMMYFUNCTION("""COMPUTED_VALUE"""),25000.0)</f>
        <v>25000</v>
      </c>
      <c r="N32" s="1">
        <f>IFERROR(__xludf.DUMMYFUNCTION("""COMPUTED_VALUE"""),57.0)</f>
        <v>57</v>
      </c>
      <c r="O32" s="1"/>
      <c r="P32" s="1"/>
      <c r="Q32" s="1">
        <f>IFERROR(__xludf.DUMMYFUNCTION("""COMPUTED_VALUE"""),0.0)</f>
        <v>0</v>
      </c>
      <c r="R32" s="1">
        <f>IFERROR(__xludf.DUMMYFUNCTION("""COMPUTED_VALUE"""),8377.23046875)</f>
        <v>8377.230469</v>
      </c>
      <c r="S32" s="1"/>
      <c r="T32" s="1"/>
      <c r="U32" s="1">
        <f>IFERROR(__xludf.DUMMYFUNCTION("""COMPUTED_VALUE"""),0.0)</f>
        <v>0</v>
      </c>
      <c r="V32" s="1"/>
      <c r="W32" s="1"/>
      <c r="X32" s="1">
        <f>IFERROR(__xludf.DUMMYFUNCTION("""COMPUTED_VALUE"""),0.0)</f>
        <v>0</v>
      </c>
      <c r="Y32" s="1">
        <f>IFERROR(__xludf.DUMMYFUNCTION("""COMPUTED_VALUE"""),12000.0)</f>
        <v>12000</v>
      </c>
      <c r="Z32" s="1">
        <f>IFERROR(__xludf.DUMMYFUNCTION("""COMPUTED_VALUE"""),89.0)</f>
        <v>89</v>
      </c>
      <c r="AA32" s="1">
        <f>IFERROR(__xludf.DUMMYFUNCTION("""COMPUTED_VALUE"""),19000.0)</f>
        <v>19000</v>
      </c>
      <c r="AB32" s="1">
        <f>IFERROR(__xludf.DUMMYFUNCTION("""COMPUTED_VALUE"""),209.0)</f>
        <v>209</v>
      </c>
      <c r="AC32" s="1">
        <f>IFERROR(__xludf.DUMMYFUNCTION("""COMPUTED_VALUE"""),39.0)</f>
        <v>39</v>
      </c>
      <c r="AD32" s="1">
        <f>IFERROR(__xludf.DUMMYFUNCTION("""COMPUTED_VALUE"""),12000.0)</f>
        <v>12000</v>
      </c>
      <c r="AE32" s="1">
        <f>IFERROR(__xludf.DUMMYFUNCTION("""COMPUTED_VALUE"""),115.0)</f>
        <v>115</v>
      </c>
      <c r="AF32" s="1">
        <f>IFERROR(__xludf.DUMMYFUNCTION("""COMPUTED_VALUE"""),8377.23046875)</f>
        <v>8377.230469</v>
      </c>
      <c r="AG32" s="1"/>
      <c r="AH32" s="1"/>
      <c r="AI32" s="1">
        <f>IFERROR(__xludf.DUMMYFUNCTION("""COMPUTED_VALUE"""),0.0)</f>
        <v>0</v>
      </c>
      <c r="AJ32" s="1"/>
      <c r="AK32" s="1"/>
      <c r="AL32" s="1">
        <f>IFERROR(__xludf.DUMMYFUNCTION("""COMPUTED_VALUE"""),0.0)</f>
        <v>0</v>
      </c>
      <c r="AM32" s="1">
        <f>IFERROR(__xludf.DUMMYFUNCTION("""COMPUTED_VALUE"""),25000.0)</f>
        <v>25000</v>
      </c>
      <c r="AN32" s="1">
        <f>IFERROR(__xludf.DUMMYFUNCTION("""COMPUTED_VALUE"""),200.0)</f>
        <v>200</v>
      </c>
      <c r="AO32" s="1">
        <f>IFERROR(__xludf.DUMMYFUNCTION("""COMPUTED_VALUE"""),24800.0)</f>
        <v>24800</v>
      </c>
      <c r="AP32" s="1">
        <f>IFERROR(__xludf.DUMMYFUNCTION("""COMPUTED_VALUE"""),229.0)</f>
        <v>229</v>
      </c>
      <c r="AQ32" s="1"/>
      <c r="AR32" s="1"/>
      <c r="AS32" s="1">
        <f>IFERROR(__xludf.DUMMYFUNCTION("""COMPUTED_VALUE"""),0.0)</f>
        <v>0</v>
      </c>
    </row>
    <row r="33">
      <c r="A33" s="1" t="str">
        <f>IFERROR(__xludf.DUMMYFUNCTION("""COMPUTED_VALUE"""),"BAC")</f>
        <v>BAC</v>
      </c>
      <c r="B33" s="1"/>
      <c r="C33" s="1"/>
      <c r="D33" s="1">
        <f>IFERROR(__xludf.DUMMYFUNCTION("""COMPUTED_VALUE"""),1500.0)</f>
        <v>1500</v>
      </c>
      <c r="E33" s="1">
        <f>IFERROR(__xludf.DUMMYFUNCTION("""COMPUTED_VALUE"""),55.0)</f>
        <v>55</v>
      </c>
      <c r="F33" s="1">
        <f>IFERROR(__xludf.DUMMYFUNCTION("""COMPUTED_VALUE"""),1900.0)</f>
        <v>1900</v>
      </c>
      <c r="G33" s="1">
        <f>IFERROR(__xludf.DUMMYFUNCTION("""COMPUTED_VALUE"""),3009.0)</f>
        <v>3009</v>
      </c>
      <c r="H33" s="1">
        <f>IFERROR(__xludf.DUMMYFUNCTION("""COMPUTED_VALUE"""),879.0)</f>
        <v>879</v>
      </c>
      <c r="I33" s="1">
        <f>IFERROR(__xludf.DUMMYFUNCTION("""COMPUTED_VALUE"""),1500.0)</f>
        <v>1500</v>
      </c>
      <c r="J33" s="1">
        <f>IFERROR(__xludf.DUMMYFUNCTION("""COMPUTED_VALUE"""),1879.0)</f>
        <v>1879</v>
      </c>
      <c r="K33" s="1">
        <f>IFERROR(__xludf.DUMMYFUNCTION("""COMPUTED_VALUE"""),2380.0)</f>
        <v>2380</v>
      </c>
      <c r="L33" s="1">
        <f>IFERROR(__xludf.DUMMYFUNCTION("""COMPUTED_VALUE"""),250.0)</f>
        <v>250</v>
      </c>
      <c r="M33" s="1">
        <f>IFERROR(__xludf.DUMMYFUNCTION("""COMPUTED_VALUE"""),2000.0)</f>
        <v>2000</v>
      </c>
      <c r="N33" s="1">
        <f>IFERROR(__xludf.DUMMYFUNCTION("""COMPUTED_VALUE"""),810.0)</f>
        <v>810</v>
      </c>
      <c r="O33" s="1"/>
      <c r="P33" s="1"/>
      <c r="Q33" s="1">
        <f>IFERROR(__xludf.DUMMYFUNCTION("""COMPUTED_VALUE"""),0.0)</f>
        <v>0</v>
      </c>
      <c r="R33" s="1">
        <f>IFERROR(__xludf.DUMMYFUNCTION("""COMPUTED_VALUE"""),1276.02001953125)</f>
        <v>1276.02002</v>
      </c>
      <c r="S33" s="1"/>
      <c r="T33" s="1"/>
      <c r="U33" s="1">
        <f>IFERROR(__xludf.DUMMYFUNCTION("""COMPUTED_VALUE"""),0.0)</f>
        <v>0</v>
      </c>
      <c r="V33" s="1"/>
      <c r="W33" s="1"/>
      <c r="X33" s="1">
        <f>IFERROR(__xludf.DUMMYFUNCTION("""COMPUTED_VALUE"""),0.0)</f>
        <v>0</v>
      </c>
      <c r="Y33" s="1">
        <f>IFERROR(__xludf.DUMMYFUNCTION("""COMPUTED_VALUE"""),1743.46997070312)</f>
        <v>1743.469971</v>
      </c>
      <c r="Z33" s="1">
        <f>IFERROR(__xludf.DUMMYFUNCTION("""COMPUTED_VALUE"""),550.0)</f>
        <v>550</v>
      </c>
      <c r="AA33" s="1">
        <f>IFERROR(__xludf.DUMMYFUNCTION("""COMPUTED_VALUE"""),1900.0)</f>
        <v>1900</v>
      </c>
      <c r="AB33" s="1">
        <f>IFERROR(__xludf.DUMMYFUNCTION("""COMPUTED_VALUE"""),5892.0)</f>
        <v>5892</v>
      </c>
      <c r="AC33" s="1">
        <f>IFERROR(__xludf.DUMMYFUNCTION("""COMPUTED_VALUE"""),176.0)</f>
        <v>176</v>
      </c>
      <c r="AD33" s="1">
        <f>IFERROR(__xludf.DUMMYFUNCTION("""COMPUTED_VALUE"""),1700.0)</f>
        <v>1700</v>
      </c>
      <c r="AE33" s="1">
        <f>IFERROR(__xludf.DUMMYFUNCTION("""COMPUTED_VALUE"""),976.0)</f>
        <v>976</v>
      </c>
      <c r="AF33" s="1">
        <f>IFERROR(__xludf.DUMMYFUNCTION("""COMPUTED_VALUE"""),1276.02001953125)</f>
        <v>1276.02002</v>
      </c>
      <c r="AG33" s="1">
        <f>IFERROR(__xludf.DUMMYFUNCTION("""COMPUTED_VALUE"""),10.0)</f>
        <v>10</v>
      </c>
      <c r="AH33" s="1">
        <f>IFERROR(__xludf.DUMMYFUNCTION("""COMPUTED_VALUE"""),2250.0)</f>
        <v>2250</v>
      </c>
      <c r="AI33" s="1">
        <f>IFERROR(__xludf.DUMMYFUNCTION("""COMPUTED_VALUE"""),10.0)</f>
        <v>10</v>
      </c>
      <c r="AJ33" s="1"/>
      <c r="AK33" s="1"/>
      <c r="AL33" s="1">
        <f>IFERROR(__xludf.DUMMYFUNCTION("""COMPUTED_VALUE"""),0.0)</f>
        <v>0</v>
      </c>
      <c r="AM33" s="1">
        <f>IFERROR(__xludf.DUMMYFUNCTION("""COMPUTED_VALUE"""),2200.0)</f>
        <v>2200</v>
      </c>
      <c r="AN33" s="1">
        <f>IFERROR(__xludf.DUMMYFUNCTION("""COMPUTED_VALUE"""),19.0)</f>
        <v>19</v>
      </c>
      <c r="AO33" s="1">
        <f>IFERROR(__xludf.DUMMYFUNCTION("""COMPUTED_VALUE"""),2200.0)</f>
        <v>2200</v>
      </c>
      <c r="AP33" s="1">
        <f>IFERROR(__xludf.DUMMYFUNCTION("""COMPUTED_VALUE"""),4632.0)</f>
        <v>4632</v>
      </c>
      <c r="AQ33" s="1"/>
      <c r="AR33" s="1"/>
      <c r="AS33" s="1">
        <f>IFERROR(__xludf.DUMMYFUNCTION("""COMPUTED_VALUE"""),0.0)</f>
        <v>0</v>
      </c>
    </row>
    <row r="34">
      <c r="A34" s="1" t="str">
        <f>IFERROR(__xludf.DUMMYFUNCTION("""COMPUTED_VALUE"""),"BAI")</f>
        <v>BAI</v>
      </c>
      <c r="B34" s="1"/>
      <c r="C34" s="1"/>
      <c r="D34" s="1">
        <f>IFERROR(__xludf.DUMMYFUNCTION("""COMPUTED_VALUE"""),17000.0)</f>
        <v>17000</v>
      </c>
      <c r="E34" s="1">
        <f>IFERROR(__xludf.DUMMYFUNCTION("""COMPUTED_VALUE"""),19.0)</f>
        <v>19</v>
      </c>
      <c r="F34" s="1">
        <f>IFERROR(__xludf.DUMMYFUNCTION("""COMPUTED_VALUE"""),18000.0)</f>
        <v>18000</v>
      </c>
      <c r="G34" s="1">
        <f>IFERROR(__xludf.DUMMYFUNCTION("""COMPUTED_VALUE"""),53.0)</f>
        <v>53</v>
      </c>
      <c r="H34" s="1">
        <f>IFERROR(__xludf.DUMMYFUNCTION("""COMPUTED_VALUE"""),87.0)</f>
        <v>87</v>
      </c>
      <c r="I34" s="1">
        <f>IFERROR(__xludf.DUMMYFUNCTION("""COMPUTED_VALUE"""),17000.0)</f>
        <v>17000</v>
      </c>
      <c r="J34" s="1">
        <f>IFERROR(__xludf.DUMMYFUNCTION("""COMPUTED_VALUE"""),308.0)</f>
        <v>308</v>
      </c>
      <c r="K34" s="1">
        <f>IFERROR(__xludf.DUMMYFUNCTION("""COMPUTED_VALUE"""),17970.189453125)</f>
        <v>17970.18945</v>
      </c>
      <c r="L34" s="1"/>
      <c r="M34" s="1"/>
      <c r="N34" s="1">
        <f>IFERROR(__xludf.DUMMYFUNCTION("""COMPUTED_VALUE"""),0.0)</f>
        <v>0</v>
      </c>
      <c r="O34" s="1">
        <f>IFERROR(__xludf.DUMMYFUNCTION("""COMPUTED_VALUE"""),90.0)</f>
        <v>90</v>
      </c>
      <c r="P34" s="1">
        <f>IFERROR(__xludf.DUMMYFUNCTION("""COMPUTED_VALUE"""),17000.0)</f>
        <v>17000</v>
      </c>
      <c r="Q34" s="1">
        <f>IFERROR(__xludf.DUMMYFUNCTION("""COMPUTED_VALUE"""),92.0)</f>
        <v>92</v>
      </c>
      <c r="R34" s="1">
        <f>IFERROR(__xludf.DUMMYFUNCTION("""COMPUTED_VALUE"""),6790.0)</f>
        <v>6790</v>
      </c>
      <c r="S34" s="1"/>
      <c r="T34" s="1"/>
      <c r="U34" s="1">
        <f>IFERROR(__xludf.DUMMYFUNCTION("""COMPUTED_VALUE"""),0.0)</f>
        <v>0</v>
      </c>
      <c r="V34" s="1"/>
      <c r="W34" s="1"/>
      <c r="X34" s="1">
        <f>IFERROR(__xludf.DUMMYFUNCTION("""COMPUTED_VALUE"""),0.0)</f>
        <v>0</v>
      </c>
      <c r="Y34" s="1">
        <f>IFERROR(__xludf.DUMMYFUNCTION("""COMPUTED_VALUE"""),19000.0)</f>
        <v>19000</v>
      </c>
      <c r="Z34" s="1">
        <f>IFERROR(__xludf.DUMMYFUNCTION("""COMPUTED_VALUE"""),2.0)</f>
        <v>2</v>
      </c>
      <c r="AA34" s="1">
        <f>IFERROR(__xludf.DUMMYFUNCTION("""COMPUTED_VALUE"""),19000.0)</f>
        <v>19000</v>
      </c>
      <c r="AB34" s="1">
        <f>IFERROR(__xludf.DUMMYFUNCTION("""COMPUTED_VALUE"""),121.0)</f>
        <v>121</v>
      </c>
      <c r="AC34" s="1">
        <f>IFERROR(__xludf.DUMMYFUNCTION("""COMPUTED_VALUE"""),38.0)</f>
        <v>38</v>
      </c>
      <c r="AD34" s="1">
        <f>IFERROR(__xludf.DUMMYFUNCTION("""COMPUTED_VALUE"""),17000.0)</f>
        <v>17000</v>
      </c>
      <c r="AE34" s="1">
        <f>IFERROR(__xludf.DUMMYFUNCTION("""COMPUTED_VALUE"""),369.0)</f>
        <v>369</v>
      </c>
      <c r="AF34" s="1">
        <f>IFERROR(__xludf.DUMMYFUNCTION("""COMPUTED_VALUE"""),6790.0)</f>
        <v>6790</v>
      </c>
      <c r="AG34" s="1"/>
      <c r="AH34" s="1"/>
      <c r="AI34" s="1">
        <f>IFERROR(__xludf.DUMMYFUNCTION("""COMPUTED_VALUE"""),0.0)</f>
        <v>0</v>
      </c>
      <c r="AJ34" s="1"/>
      <c r="AK34" s="1"/>
      <c r="AL34" s="1">
        <f>IFERROR(__xludf.DUMMYFUNCTION("""COMPUTED_VALUE"""),0.0)</f>
        <v>0</v>
      </c>
      <c r="AM34" s="1">
        <f>IFERROR(__xludf.DUMMYFUNCTION("""COMPUTED_VALUE"""),17000.0)</f>
        <v>17000</v>
      </c>
      <c r="AN34" s="1"/>
      <c r="AO34" s="1"/>
      <c r="AP34" s="1">
        <f>IFERROR(__xludf.DUMMYFUNCTION("""COMPUTED_VALUE"""),0.0)</f>
        <v>0</v>
      </c>
      <c r="AQ34" s="1">
        <f>IFERROR(__xludf.DUMMYFUNCTION("""COMPUTED_VALUE"""),74.0)</f>
        <v>74</v>
      </c>
      <c r="AR34" s="1">
        <f>IFERROR(__xludf.DUMMYFUNCTION("""COMPUTED_VALUE"""),17000.0)</f>
        <v>17000</v>
      </c>
      <c r="AS34" s="1">
        <f>IFERROR(__xludf.DUMMYFUNCTION("""COMPUTED_VALUE"""),74.0)</f>
        <v>74</v>
      </c>
    </row>
    <row r="35">
      <c r="A35" s="1" t="str">
        <f>IFERROR(__xludf.DUMMYFUNCTION("""COMPUTED_VALUE"""),"BBH")</f>
        <v>BBH</v>
      </c>
      <c r="B35" s="1">
        <f>IFERROR(__xludf.DUMMYFUNCTION("""COMPUTED_VALUE"""),750.0)</f>
        <v>750</v>
      </c>
      <c r="C35" s="1">
        <f>IFERROR(__xludf.DUMMYFUNCTION("""COMPUTED_VALUE"""),2900.0)</f>
        <v>2900</v>
      </c>
      <c r="D35" s="1">
        <f>IFERROR(__xludf.DUMMYFUNCTION("""COMPUTED_VALUE"""),2900.0)</f>
        <v>2900</v>
      </c>
      <c r="E35" s="1">
        <f>IFERROR(__xludf.DUMMYFUNCTION("""COMPUTED_VALUE"""),100.0)</f>
        <v>100</v>
      </c>
      <c r="F35" s="1">
        <f>IFERROR(__xludf.DUMMYFUNCTION("""COMPUTED_VALUE"""),2900.0)</f>
        <v>2900</v>
      </c>
      <c r="G35" s="1">
        <f>IFERROR(__xludf.DUMMYFUNCTION("""COMPUTED_VALUE"""),106.0)</f>
        <v>106</v>
      </c>
      <c r="H35" s="1">
        <f>IFERROR(__xludf.DUMMYFUNCTION("""COMPUTED_VALUE"""),4.0)</f>
        <v>4</v>
      </c>
      <c r="I35" s="1">
        <f>IFERROR(__xludf.DUMMYFUNCTION("""COMPUTED_VALUE"""),2820.0)</f>
        <v>2820</v>
      </c>
      <c r="J35" s="1">
        <f>IFERROR(__xludf.DUMMYFUNCTION("""COMPUTED_VALUE"""),2994.0)</f>
        <v>2994</v>
      </c>
      <c r="K35" s="1">
        <f>IFERROR(__xludf.DUMMYFUNCTION("""COMPUTED_VALUE"""),2890.0)</f>
        <v>2890</v>
      </c>
      <c r="L35" s="1">
        <f>IFERROR(__xludf.DUMMYFUNCTION("""COMPUTED_VALUE"""),423.0)</f>
        <v>423</v>
      </c>
      <c r="M35" s="1">
        <f>IFERROR(__xludf.DUMMYFUNCTION("""COMPUTED_VALUE"""),2890.0)</f>
        <v>2890</v>
      </c>
      <c r="N35" s="1">
        <f>IFERROR(__xludf.DUMMYFUNCTION("""COMPUTED_VALUE"""),2121.0)</f>
        <v>2121</v>
      </c>
      <c r="O35" s="1">
        <f>IFERROR(__xludf.DUMMYFUNCTION("""COMPUTED_VALUE"""),2.0)</f>
        <v>2</v>
      </c>
      <c r="P35" s="1">
        <f>IFERROR(__xludf.DUMMYFUNCTION("""COMPUTED_VALUE"""),2810.0)</f>
        <v>2810</v>
      </c>
      <c r="Q35" s="1">
        <f>IFERROR(__xludf.DUMMYFUNCTION("""COMPUTED_VALUE"""),1143.0)</f>
        <v>1143</v>
      </c>
      <c r="R35" s="1">
        <f>IFERROR(__xludf.DUMMYFUNCTION("""COMPUTED_VALUE"""),2850.0)</f>
        <v>2850</v>
      </c>
      <c r="S35" s="1">
        <f>IFERROR(__xludf.DUMMYFUNCTION("""COMPUTED_VALUE"""),215.0)</f>
        <v>215</v>
      </c>
      <c r="T35" s="1">
        <f>IFERROR(__xludf.DUMMYFUNCTION("""COMPUTED_VALUE"""),2850.0)</f>
        <v>2850</v>
      </c>
      <c r="U35" s="1">
        <f>IFERROR(__xludf.DUMMYFUNCTION("""COMPUTED_VALUE"""),315.0)</f>
        <v>315</v>
      </c>
      <c r="V35" s="1">
        <f>IFERROR(__xludf.DUMMYFUNCTION("""COMPUTED_VALUE"""),20.0)</f>
        <v>20</v>
      </c>
      <c r="W35" s="1">
        <f>IFERROR(__xludf.DUMMYFUNCTION("""COMPUTED_VALUE"""),2500.0)</f>
        <v>2500</v>
      </c>
      <c r="X35" s="1">
        <f>IFERROR(__xludf.DUMMYFUNCTION("""COMPUTED_VALUE"""),89.0)</f>
        <v>89</v>
      </c>
      <c r="Y35" s="1">
        <f>IFERROR(__xludf.DUMMYFUNCTION("""COMPUTED_VALUE"""),2900.0)</f>
        <v>2900</v>
      </c>
      <c r="Z35" s="1">
        <f>IFERROR(__xludf.DUMMYFUNCTION("""COMPUTED_VALUE"""),100.0)</f>
        <v>100</v>
      </c>
      <c r="AA35" s="1">
        <f>IFERROR(__xludf.DUMMYFUNCTION("""COMPUTED_VALUE"""),2900.0)</f>
        <v>2900</v>
      </c>
      <c r="AB35" s="1">
        <f>IFERROR(__xludf.DUMMYFUNCTION("""COMPUTED_VALUE"""),361.0)</f>
        <v>361</v>
      </c>
      <c r="AC35" s="1">
        <f>IFERROR(__xludf.DUMMYFUNCTION("""COMPUTED_VALUE"""),43.0)</f>
        <v>43</v>
      </c>
      <c r="AD35" s="1">
        <f>IFERROR(__xludf.DUMMYFUNCTION("""COMPUTED_VALUE"""),2610.0)</f>
        <v>2610</v>
      </c>
      <c r="AE35" s="1">
        <f>IFERROR(__xludf.DUMMYFUNCTION("""COMPUTED_VALUE"""),3346.0)</f>
        <v>3346</v>
      </c>
      <c r="AF35" s="1">
        <f>IFERROR(__xludf.DUMMYFUNCTION("""COMPUTED_VALUE"""),2900.0)</f>
        <v>2900</v>
      </c>
      <c r="AG35" s="1">
        <f>IFERROR(__xludf.DUMMYFUNCTION("""COMPUTED_VALUE"""),255.0)</f>
        <v>255</v>
      </c>
      <c r="AH35" s="1">
        <f>IFERROR(__xludf.DUMMYFUNCTION("""COMPUTED_VALUE"""),2900.0)</f>
        <v>2900</v>
      </c>
      <c r="AI35" s="1">
        <f>IFERROR(__xludf.DUMMYFUNCTION("""COMPUTED_VALUE"""),999.0)</f>
        <v>999</v>
      </c>
      <c r="AJ35" s="1"/>
      <c r="AK35" s="1"/>
      <c r="AL35" s="1">
        <f>IFERROR(__xludf.DUMMYFUNCTION("""COMPUTED_VALUE"""),0.0)</f>
        <v>0</v>
      </c>
      <c r="AM35" s="1">
        <f>IFERROR(__xludf.DUMMYFUNCTION("""COMPUTED_VALUE"""),2900.0)</f>
        <v>2900</v>
      </c>
      <c r="AN35" s="1">
        <f>IFERROR(__xludf.DUMMYFUNCTION("""COMPUTED_VALUE"""),100.0)</f>
        <v>100</v>
      </c>
      <c r="AO35" s="1">
        <f>IFERROR(__xludf.DUMMYFUNCTION("""COMPUTED_VALUE"""),2900.0)</f>
        <v>2900</v>
      </c>
      <c r="AP35" s="1">
        <f>IFERROR(__xludf.DUMMYFUNCTION("""COMPUTED_VALUE"""),100.0)</f>
        <v>100</v>
      </c>
      <c r="AQ35" s="1">
        <f>IFERROR(__xludf.DUMMYFUNCTION("""COMPUTED_VALUE"""),12.0)</f>
        <v>12</v>
      </c>
      <c r="AR35" s="1">
        <f>IFERROR(__xludf.DUMMYFUNCTION("""COMPUTED_VALUE"""),2750.0)</f>
        <v>2750</v>
      </c>
      <c r="AS35" s="1">
        <f>IFERROR(__xludf.DUMMYFUNCTION("""COMPUTED_VALUE"""),716.0)</f>
        <v>716</v>
      </c>
    </row>
    <row r="36">
      <c r="A36" s="1" t="str">
        <f>IFERROR(__xludf.DUMMYFUNCTION("""COMPUTED_VALUE"""),"BCO")</f>
        <v>BCO</v>
      </c>
      <c r="B36" s="1"/>
      <c r="C36" s="1"/>
      <c r="D36" s="1">
        <f>IFERROR(__xludf.DUMMYFUNCTION("""COMPUTED_VALUE"""),650.0)</f>
        <v>650</v>
      </c>
      <c r="E36" s="1">
        <f>IFERROR(__xludf.DUMMYFUNCTION("""COMPUTED_VALUE"""),1058.0)</f>
        <v>1058</v>
      </c>
      <c r="F36" s="1">
        <f>IFERROR(__xludf.DUMMYFUNCTION("""COMPUTED_VALUE"""),650.0)</f>
        <v>650</v>
      </c>
      <c r="G36" s="1">
        <f>IFERROR(__xludf.DUMMYFUNCTION("""COMPUTED_VALUE"""),10928.0)</f>
        <v>10928</v>
      </c>
      <c r="H36" s="1">
        <f>IFERROR(__xludf.DUMMYFUNCTION("""COMPUTED_VALUE"""),601.0)</f>
        <v>601</v>
      </c>
      <c r="I36" s="1">
        <f>IFERROR(__xludf.DUMMYFUNCTION("""COMPUTED_VALUE"""),610.0)</f>
        <v>610</v>
      </c>
      <c r="J36" s="1">
        <f>IFERROR(__xludf.DUMMYFUNCTION("""COMPUTED_VALUE"""),2101.0)</f>
        <v>2101</v>
      </c>
      <c r="K36" s="1">
        <f>IFERROR(__xludf.DUMMYFUNCTION("""COMPUTED_VALUE"""),700.0)</f>
        <v>700</v>
      </c>
      <c r="L36" s="1">
        <f>IFERROR(__xludf.DUMMYFUNCTION("""COMPUTED_VALUE"""),465.0)</f>
        <v>465</v>
      </c>
      <c r="M36" s="1">
        <f>IFERROR(__xludf.DUMMYFUNCTION("""COMPUTED_VALUE"""),699.0)</f>
        <v>699</v>
      </c>
      <c r="N36" s="1">
        <f>IFERROR(__xludf.DUMMYFUNCTION("""COMPUTED_VALUE"""),12301.0)</f>
        <v>12301</v>
      </c>
      <c r="O36" s="1">
        <f>IFERROR(__xludf.DUMMYFUNCTION("""COMPUTED_VALUE"""),2662.0)</f>
        <v>2662</v>
      </c>
      <c r="P36" s="1">
        <f>IFERROR(__xludf.DUMMYFUNCTION("""COMPUTED_VALUE"""),675.0)</f>
        <v>675</v>
      </c>
      <c r="Q36" s="1">
        <f>IFERROR(__xludf.DUMMYFUNCTION("""COMPUTED_VALUE"""),15746.0)</f>
        <v>15746</v>
      </c>
      <c r="R36" s="1">
        <f>IFERROR(__xludf.DUMMYFUNCTION("""COMPUTED_VALUE"""),660.0)</f>
        <v>660</v>
      </c>
      <c r="S36" s="1">
        <f>IFERROR(__xludf.DUMMYFUNCTION("""COMPUTED_VALUE"""),400.0)</f>
        <v>400</v>
      </c>
      <c r="T36" s="1">
        <f>IFERROR(__xludf.DUMMYFUNCTION("""COMPUTED_VALUE"""),850.0)</f>
        <v>850</v>
      </c>
      <c r="U36" s="1">
        <f>IFERROR(__xludf.DUMMYFUNCTION("""COMPUTED_VALUE"""),400.0)</f>
        <v>400</v>
      </c>
      <c r="V36" s="1"/>
      <c r="W36" s="1"/>
      <c r="X36" s="1">
        <f>IFERROR(__xludf.DUMMYFUNCTION("""COMPUTED_VALUE"""),0.0)</f>
        <v>0</v>
      </c>
      <c r="Y36" s="1">
        <f>IFERROR(__xludf.DUMMYFUNCTION("""COMPUTED_VALUE"""),615.0)</f>
        <v>615</v>
      </c>
      <c r="Z36" s="1">
        <f>IFERROR(__xludf.DUMMYFUNCTION("""COMPUTED_VALUE"""),40.0)</f>
        <v>40</v>
      </c>
      <c r="AA36" s="1">
        <f>IFERROR(__xludf.DUMMYFUNCTION("""COMPUTED_VALUE"""),641.0)</f>
        <v>641</v>
      </c>
      <c r="AB36" s="1">
        <f>IFERROR(__xludf.DUMMYFUNCTION("""COMPUTED_VALUE"""),30504.0)</f>
        <v>30504</v>
      </c>
      <c r="AC36" s="1">
        <f>IFERROR(__xludf.DUMMYFUNCTION("""COMPUTED_VALUE"""),9284.0)</f>
        <v>9284</v>
      </c>
      <c r="AD36" s="1">
        <f>IFERROR(__xludf.DUMMYFUNCTION("""COMPUTED_VALUE"""),615.0)</f>
        <v>615</v>
      </c>
      <c r="AE36" s="1">
        <f>IFERROR(__xludf.DUMMYFUNCTION("""COMPUTED_VALUE"""),22190.0)</f>
        <v>22190</v>
      </c>
      <c r="AF36" s="1">
        <f>IFERROR(__xludf.DUMMYFUNCTION("""COMPUTED_VALUE"""),640.0)</f>
        <v>640</v>
      </c>
      <c r="AG36" s="1">
        <f>IFERROR(__xludf.DUMMYFUNCTION("""COMPUTED_VALUE"""),200.0)</f>
        <v>200</v>
      </c>
      <c r="AH36" s="1">
        <f>IFERROR(__xludf.DUMMYFUNCTION("""COMPUTED_VALUE"""),747.0)</f>
        <v>747</v>
      </c>
      <c r="AI36" s="1">
        <f>IFERROR(__xludf.DUMMYFUNCTION("""COMPUTED_VALUE"""),200.0)</f>
        <v>200</v>
      </c>
      <c r="AJ36" s="1"/>
      <c r="AK36" s="1"/>
      <c r="AL36" s="1">
        <f>IFERROR(__xludf.DUMMYFUNCTION("""COMPUTED_VALUE"""),0.0)</f>
        <v>0</v>
      </c>
      <c r="AM36" s="1">
        <f>IFERROR(__xludf.DUMMYFUNCTION("""COMPUTED_VALUE"""),615.0)</f>
        <v>615</v>
      </c>
      <c r="AN36" s="1">
        <f>IFERROR(__xludf.DUMMYFUNCTION("""COMPUTED_VALUE"""),20000.0)</f>
        <v>20000</v>
      </c>
      <c r="AO36" s="1">
        <f>IFERROR(__xludf.DUMMYFUNCTION("""COMPUTED_VALUE"""),638.0)</f>
        <v>638</v>
      </c>
      <c r="AP36" s="1">
        <f>IFERROR(__xludf.DUMMYFUNCTION("""COMPUTED_VALUE"""),25770.0)</f>
        <v>25770</v>
      </c>
      <c r="AQ36" s="1">
        <f>IFERROR(__xludf.DUMMYFUNCTION("""COMPUTED_VALUE"""),5628.0)</f>
        <v>5628</v>
      </c>
      <c r="AR36" s="1">
        <f>IFERROR(__xludf.DUMMYFUNCTION("""COMPUTED_VALUE"""),615.0)</f>
        <v>615</v>
      </c>
      <c r="AS36" s="1">
        <f>IFERROR(__xludf.DUMMYFUNCTION("""COMPUTED_VALUE"""),8128.0)</f>
        <v>8128</v>
      </c>
    </row>
    <row r="37">
      <c r="A37" s="1" t="str">
        <f>IFERROR(__xludf.DUMMYFUNCTION("""COMPUTED_VALUE"""),"BDE")</f>
        <v>BDE</v>
      </c>
      <c r="B37" s="1">
        <f>IFERROR(__xludf.DUMMYFUNCTION("""COMPUTED_VALUE"""),850.0)</f>
        <v>850</v>
      </c>
      <c r="C37" s="1">
        <f>IFERROR(__xludf.DUMMYFUNCTION("""COMPUTED_VALUE"""),2700.0)</f>
        <v>2700</v>
      </c>
      <c r="D37" s="1">
        <f>IFERROR(__xludf.DUMMYFUNCTION("""COMPUTED_VALUE"""),2700.0)</f>
        <v>2700</v>
      </c>
      <c r="E37" s="1">
        <f>IFERROR(__xludf.DUMMYFUNCTION("""COMPUTED_VALUE"""),100.0)</f>
        <v>100</v>
      </c>
      <c r="F37" s="1">
        <f>IFERROR(__xludf.DUMMYFUNCTION("""COMPUTED_VALUE"""),2700.0)</f>
        <v>2700</v>
      </c>
      <c r="G37" s="1">
        <f>IFERROR(__xludf.DUMMYFUNCTION("""COMPUTED_VALUE"""),102.0)</f>
        <v>102</v>
      </c>
      <c r="H37" s="1">
        <f>IFERROR(__xludf.DUMMYFUNCTION("""COMPUTED_VALUE"""),6.0)</f>
        <v>6</v>
      </c>
      <c r="I37" s="1">
        <f>IFERROR(__xludf.DUMMYFUNCTION("""COMPUTED_VALUE"""),2560.0)</f>
        <v>2560</v>
      </c>
      <c r="J37" s="1">
        <f>IFERROR(__xludf.DUMMYFUNCTION("""COMPUTED_VALUE"""),2309.0)</f>
        <v>2309</v>
      </c>
      <c r="K37" s="1">
        <f>IFERROR(__xludf.DUMMYFUNCTION("""COMPUTED_VALUE"""),2600.0)</f>
        <v>2600</v>
      </c>
      <c r="L37" s="1">
        <f>IFERROR(__xludf.DUMMYFUNCTION("""COMPUTED_VALUE"""),2.0)</f>
        <v>2</v>
      </c>
      <c r="M37" s="1">
        <f>IFERROR(__xludf.DUMMYFUNCTION("""COMPUTED_VALUE"""),2600.0)</f>
        <v>2600</v>
      </c>
      <c r="N37" s="1">
        <f>IFERROR(__xludf.DUMMYFUNCTION("""COMPUTED_VALUE"""),833.0)</f>
        <v>833</v>
      </c>
      <c r="O37" s="1">
        <f>IFERROR(__xludf.DUMMYFUNCTION("""COMPUTED_VALUE"""),476.0)</f>
        <v>476</v>
      </c>
      <c r="P37" s="1">
        <f>IFERROR(__xludf.DUMMYFUNCTION("""COMPUTED_VALUE"""),2500.0)</f>
        <v>2500</v>
      </c>
      <c r="Q37" s="1">
        <f>IFERROR(__xludf.DUMMYFUNCTION("""COMPUTED_VALUE"""),783.0)</f>
        <v>783</v>
      </c>
      <c r="R37" s="1">
        <f>IFERROR(__xludf.DUMMYFUNCTION("""COMPUTED_VALUE"""),2800.0)</f>
        <v>2800</v>
      </c>
      <c r="S37" s="1">
        <f>IFERROR(__xludf.DUMMYFUNCTION("""COMPUTED_VALUE"""),22.0)</f>
        <v>22</v>
      </c>
      <c r="T37" s="1">
        <f>IFERROR(__xludf.DUMMYFUNCTION("""COMPUTED_VALUE"""),2800.0)</f>
        <v>2800</v>
      </c>
      <c r="U37" s="1">
        <f>IFERROR(__xludf.DUMMYFUNCTION("""COMPUTED_VALUE"""),22.0)</f>
        <v>22</v>
      </c>
      <c r="V37" s="1">
        <f>IFERROR(__xludf.DUMMYFUNCTION("""COMPUTED_VALUE"""),2.0)</f>
        <v>2</v>
      </c>
      <c r="W37" s="1">
        <f>IFERROR(__xludf.DUMMYFUNCTION("""COMPUTED_VALUE"""),2700.0)</f>
        <v>2700</v>
      </c>
      <c r="X37" s="1">
        <f>IFERROR(__xludf.DUMMYFUNCTION("""COMPUTED_VALUE"""),4.0)</f>
        <v>4</v>
      </c>
      <c r="Y37" s="1">
        <f>IFERROR(__xludf.DUMMYFUNCTION("""COMPUTED_VALUE"""),2690.0)</f>
        <v>2690</v>
      </c>
      <c r="Z37" s="1">
        <f>IFERROR(__xludf.DUMMYFUNCTION("""COMPUTED_VALUE"""),100.0)</f>
        <v>100</v>
      </c>
      <c r="AA37" s="1">
        <f>IFERROR(__xludf.DUMMYFUNCTION("""COMPUTED_VALUE"""),2700.0)</f>
        <v>2700</v>
      </c>
      <c r="AB37" s="1">
        <f>IFERROR(__xludf.DUMMYFUNCTION("""COMPUTED_VALUE"""),101.0)</f>
        <v>101</v>
      </c>
      <c r="AC37" s="1">
        <f>IFERROR(__xludf.DUMMYFUNCTION("""COMPUTED_VALUE"""),1.0)</f>
        <v>1</v>
      </c>
      <c r="AD37" s="1">
        <f>IFERROR(__xludf.DUMMYFUNCTION("""COMPUTED_VALUE"""),2690.0)</f>
        <v>2690</v>
      </c>
      <c r="AE37" s="1">
        <f>IFERROR(__xludf.DUMMYFUNCTION("""COMPUTED_VALUE"""),2221.0)</f>
        <v>2221</v>
      </c>
      <c r="AF37" s="1">
        <f>IFERROR(__xludf.DUMMYFUNCTION("""COMPUTED_VALUE"""),2700.0)</f>
        <v>2700</v>
      </c>
      <c r="AG37" s="1">
        <f>IFERROR(__xludf.DUMMYFUNCTION("""COMPUTED_VALUE"""),55.0)</f>
        <v>55</v>
      </c>
      <c r="AH37" s="1">
        <f>IFERROR(__xludf.DUMMYFUNCTION("""COMPUTED_VALUE"""),2700.0)</f>
        <v>2700</v>
      </c>
      <c r="AI37" s="1">
        <f>IFERROR(__xludf.DUMMYFUNCTION("""COMPUTED_VALUE"""),75.0)</f>
        <v>75</v>
      </c>
      <c r="AJ37" s="1">
        <f>IFERROR(__xludf.DUMMYFUNCTION("""COMPUTED_VALUE"""),7.0)</f>
        <v>7</v>
      </c>
      <c r="AK37" s="1">
        <f>IFERROR(__xludf.DUMMYFUNCTION("""COMPUTED_VALUE"""),1900.0)</f>
        <v>1900</v>
      </c>
      <c r="AL37" s="1">
        <f>IFERROR(__xludf.DUMMYFUNCTION("""COMPUTED_VALUE"""),57.0)</f>
        <v>57</v>
      </c>
      <c r="AM37" s="1">
        <f>IFERROR(__xludf.DUMMYFUNCTION("""COMPUTED_VALUE"""),2690.0)</f>
        <v>2690</v>
      </c>
      <c r="AN37" s="1">
        <f>IFERROR(__xludf.DUMMYFUNCTION("""COMPUTED_VALUE"""),16.0)</f>
        <v>16</v>
      </c>
      <c r="AO37" s="1">
        <f>IFERROR(__xludf.DUMMYFUNCTION("""COMPUTED_VALUE"""),2690.0)</f>
        <v>2690</v>
      </c>
      <c r="AP37" s="1">
        <f>IFERROR(__xludf.DUMMYFUNCTION("""COMPUTED_VALUE"""),118.0)</f>
        <v>118</v>
      </c>
      <c r="AQ37" s="1">
        <f>IFERROR(__xludf.DUMMYFUNCTION("""COMPUTED_VALUE"""),2.0)</f>
        <v>2</v>
      </c>
      <c r="AR37" s="1">
        <f>IFERROR(__xludf.DUMMYFUNCTION("""COMPUTED_VALUE"""),1500.0)</f>
        <v>1500</v>
      </c>
      <c r="AS37" s="1">
        <f>IFERROR(__xludf.DUMMYFUNCTION("""COMPUTED_VALUE"""),1266.0)</f>
        <v>1266</v>
      </c>
    </row>
    <row r="38">
      <c r="A38" s="1" t="str">
        <f>IFERROR(__xludf.DUMMYFUNCTION("""COMPUTED_VALUE"""),"BE")</f>
        <v>BE</v>
      </c>
      <c r="B38" s="1"/>
      <c r="C38" s="1"/>
      <c r="D38" s="1">
        <f>IFERROR(__xludf.DUMMYFUNCTION("""COMPUTED_VALUE"""),1500.0)</f>
        <v>1500</v>
      </c>
      <c r="E38" s="1">
        <f>IFERROR(__xludf.DUMMYFUNCTION("""COMPUTED_VALUE"""),346.0)</f>
        <v>346</v>
      </c>
      <c r="F38" s="1">
        <f>IFERROR(__xludf.DUMMYFUNCTION("""COMPUTED_VALUE"""),1500.0)</f>
        <v>1500</v>
      </c>
      <c r="G38" s="1">
        <f>IFERROR(__xludf.DUMMYFUNCTION("""COMPUTED_VALUE"""),23749.0)</f>
        <v>23749</v>
      </c>
      <c r="H38" s="1">
        <f>IFERROR(__xludf.DUMMYFUNCTION("""COMPUTED_VALUE"""),1000.0)</f>
        <v>1000</v>
      </c>
      <c r="I38" s="1">
        <f>IFERROR(__xludf.DUMMYFUNCTION("""COMPUTED_VALUE"""),1330.0)</f>
        <v>1330</v>
      </c>
      <c r="J38" s="1">
        <f>IFERROR(__xludf.DUMMYFUNCTION("""COMPUTED_VALUE"""),2882.0)</f>
        <v>2882</v>
      </c>
      <c r="K38" s="1">
        <f>IFERROR(__xludf.DUMMYFUNCTION("""COMPUTED_VALUE"""),1650.0)</f>
        <v>1650</v>
      </c>
      <c r="L38" s="1">
        <f>IFERROR(__xludf.DUMMYFUNCTION("""COMPUTED_VALUE"""),1097.0)</f>
        <v>1097</v>
      </c>
      <c r="M38" s="1">
        <f>IFERROR(__xludf.DUMMYFUNCTION("""COMPUTED_VALUE"""),1650.0)</f>
        <v>1650</v>
      </c>
      <c r="N38" s="1">
        <f>IFERROR(__xludf.DUMMYFUNCTION("""COMPUTED_VALUE"""),4586.0)</f>
        <v>4586</v>
      </c>
      <c r="O38" s="1">
        <f>IFERROR(__xludf.DUMMYFUNCTION("""COMPUTED_VALUE"""),190.0)</f>
        <v>190</v>
      </c>
      <c r="P38" s="1">
        <f>IFERROR(__xludf.DUMMYFUNCTION("""COMPUTED_VALUE"""),1490.0)</f>
        <v>1490</v>
      </c>
      <c r="Q38" s="1">
        <f>IFERROR(__xludf.DUMMYFUNCTION("""COMPUTED_VALUE"""),1008.0)</f>
        <v>1008</v>
      </c>
      <c r="R38" s="1">
        <f>IFERROR(__xludf.DUMMYFUNCTION("""COMPUTED_VALUE"""),2900.0)</f>
        <v>2900</v>
      </c>
      <c r="S38" s="1">
        <f>IFERROR(__xludf.DUMMYFUNCTION("""COMPUTED_VALUE"""),42.0)</f>
        <v>42</v>
      </c>
      <c r="T38" s="1">
        <f>IFERROR(__xludf.DUMMYFUNCTION("""COMPUTED_VALUE"""),2900.0)</f>
        <v>2900</v>
      </c>
      <c r="U38" s="1">
        <f>IFERROR(__xludf.DUMMYFUNCTION("""COMPUTED_VALUE"""),142.0)</f>
        <v>142</v>
      </c>
      <c r="V38" s="1"/>
      <c r="W38" s="1"/>
      <c r="X38" s="1">
        <f>IFERROR(__xludf.DUMMYFUNCTION("""COMPUTED_VALUE"""),0.0)</f>
        <v>0</v>
      </c>
      <c r="Y38" s="1">
        <f>IFERROR(__xludf.DUMMYFUNCTION("""COMPUTED_VALUE"""),1560.0)</f>
        <v>1560</v>
      </c>
      <c r="Z38" s="1">
        <f>IFERROR(__xludf.DUMMYFUNCTION("""COMPUTED_VALUE"""),1363.0)</f>
        <v>1363</v>
      </c>
      <c r="AA38" s="1">
        <f>IFERROR(__xludf.DUMMYFUNCTION("""COMPUTED_VALUE"""),1530.0)</f>
        <v>1530</v>
      </c>
      <c r="AB38" s="1">
        <f>IFERROR(__xludf.DUMMYFUNCTION("""COMPUTED_VALUE"""),49532.0)</f>
        <v>49532</v>
      </c>
      <c r="AC38" s="1">
        <f>IFERROR(__xludf.DUMMYFUNCTION("""COMPUTED_VALUE"""),637.0)</f>
        <v>637</v>
      </c>
      <c r="AD38" s="1">
        <f>IFERROR(__xludf.DUMMYFUNCTION("""COMPUTED_VALUE"""),1410.0)</f>
        <v>1410</v>
      </c>
      <c r="AE38" s="1">
        <f>IFERROR(__xludf.DUMMYFUNCTION("""COMPUTED_VALUE"""),3439.0)</f>
        <v>3439</v>
      </c>
      <c r="AF38" s="1">
        <f>IFERROR(__xludf.DUMMYFUNCTION("""COMPUTED_VALUE"""),1700.0)</f>
        <v>1700</v>
      </c>
      <c r="AG38" s="1">
        <f>IFERROR(__xludf.DUMMYFUNCTION("""COMPUTED_VALUE"""),18.0)</f>
        <v>18</v>
      </c>
      <c r="AH38" s="1">
        <f>IFERROR(__xludf.DUMMYFUNCTION("""COMPUTED_VALUE"""),1700.0)</f>
        <v>1700</v>
      </c>
      <c r="AI38" s="1">
        <f>IFERROR(__xludf.DUMMYFUNCTION("""COMPUTED_VALUE"""),18.0)</f>
        <v>18</v>
      </c>
      <c r="AJ38" s="1"/>
      <c r="AK38" s="1"/>
      <c r="AL38" s="1">
        <f>IFERROR(__xludf.DUMMYFUNCTION("""COMPUTED_VALUE"""),0.0)</f>
        <v>0</v>
      </c>
      <c r="AM38" s="1">
        <f>IFERROR(__xludf.DUMMYFUNCTION("""COMPUTED_VALUE"""),1200.0)</f>
        <v>1200</v>
      </c>
      <c r="AN38" s="1">
        <f>IFERROR(__xludf.DUMMYFUNCTION("""COMPUTED_VALUE"""),268.0)</f>
        <v>268</v>
      </c>
      <c r="AO38" s="1">
        <f>IFERROR(__xludf.DUMMYFUNCTION("""COMPUTED_VALUE"""),1590.0)</f>
        <v>1590</v>
      </c>
      <c r="AP38" s="1">
        <f>IFERROR(__xludf.DUMMYFUNCTION("""COMPUTED_VALUE"""),11529.0)</f>
        <v>11529</v>
      </c>
      <c r="AQ38" s="1"/>
      <c r="AR38" s="1"/>
      <c r="AS38" s="1">
        <f>IFERROR(__xludf.DUMMYFUNCTION("""COMPUTED_VALUE"""),0.0)</f>
        <v>0</v>
      </c>
    </row>
    <row r="39">
      <c r="A39" s="1" t="str">
        <f>IFERROR(__xludf.DUMMYFUNCTION("""COMPUTED_VALUE"""),"BEA")</f>
        <v>BEA</v>
      </c>
      <c r="B39" s="1">
        <f>IFERROR(__xludf.DUMMYFUNCTION("""COMPUTED_VALUE"""),84.0)</f>
        <v>84</v>
      </c>
      <c r="C39" s="1"/>
      <c r="D39" s="1">
        <f>IFERROR(__xludf.DUMMYFUNCTION("""COMPUTED_VALUE"""),250.0)</f>
        <v>250</v>
      </c>
      <c r="E39" s="1">
        <f>IFERROR(__xludf.DUMMYFUNCTION("""COMPUTED_VALUE"""),222.0)</f>
        <v>222</v>
      </c>
      <c r="F39" s="1">
        <f>IFERROR(__xludf.DUMMYFUNCTION("""COMPUTED_VALUE"""),300.0)</f>
        <v>300</v>
      </c>
      <c r="G39" s="1">
        <f>IFERROR(__xludf.DUMMYFUNCTION("""COMPUTED_VALUE"""),23607.0)</f>
        <v>23607</v>
      </c>
      <c r="H39" s="1">
        <f>IFERROR(__xludf.DUMMYFUNCTION("""COMPUTED_VALUE"""),8248.0)</f>
        <v>8248</v>
      </c>
      <c r="I39" s="1">
        <f>IFERROR(__xludf.DUMMYFUNCTION("""COMPUTED_VALUE"""),250.0)</f>
        <v>250</v>
      </c>
      <c r="J39" s="1">
        <f>IFERROR(__xludf.DUMMYFUNCTION("""COMPUTED_VALUE"""),9440.0)</f>
        <v>9440</v>
      </c>
      <c r="K39" s="1">
        <f>IFERROR(__xludf.DUMMYFUNCTION("""COMPUTED_VALUE"""),295.0)</f>
        <v>295</v>
      </c>
      <c r="L39" s="1">
        <f>IFERROR(__xludf.DUMMYFUNCTION("""COMPUTED_VALUE"""),625.0)</f>
        <v>625</v>
      </c>
      <c r="M39" s="1">
        <f>IFERROR(__xludf.DUMMYFUNCTION("""COMPUTED_VALUE"""),332.0)</f>
        <v>332</v>
      </c>
      <c r="N39" s="1">
        <f>IFERROR(__xludf.DUMMYFUNCTION("""COMPUTED_VALUE"""),15494.0)</f>
        <v>15494</v>
      </c>
      <c r="O39" s="1">
        <f>IFERROR(__xludf.DUMMYFUNCTION("""COMPUTED_VALUE"""),76.0)</f>
        <v>76</v>
      </c>
      <c r="P39" s="1">
        <f>IFERROR(__xludf.DUMMYFUNCTION("""COMPUTED_VALUE"""),295.0)</f>
        <v>295</v>
      </c>
      <c r="Q39" s="1">
        <f>IFERROR(__xludf.DUMMYFUNCTION("""COMPUTED_VALUE"""),7604.0)</f>
        <v>7604</v>
      </c>
      <c r="R39" s="1">
        <f>IFERROR(__xludf.DUMMYFUNCTION("""COMPUTED_VALUE"""),250.0)</f>
        <v>250</v>
      </c>
      <c r="S39" s="1"/>
      <c r="T39" s="1"/>
      <c r="U39" s="1">
        <f>IFERROR(__xludf.DUMMYFUNCTION("""COMPUTED_VALUE"""),0.0)</f>
        <v>0</v>
      </c>
      <c r="V39" s="1"/>
      <c r="W39" s="1"/>
      <c r="X39" s="1">
        <f>IFERROR(__xludf.DUMMYFUNCTION("""COMPUTED_VALUE"""),0.0)</f>
        <v>0</v>
      </c>
      <c r="Y39" s="1">
        <f>IFERROR(__xludf.DUMMYFUNCTION("""COMPUTED_VALUE"""),352.309997558593)</f>
        <v>352.3099976</v>
      </c>
      <c r="Z39" s="1">
        <f>IFERROR(__xludf.DUMMYFUNCTION("""COMPUTED_VALUE"""),1950.0)</f>
        <v>1950</v>
      </c>
      <c r="AA39" s="1">
        <f>IFERROR(__xludf.DUMMYFUNCTION("""COMPUTED_VALUE"""),359.0)</f>
        <v>359</v>
      </c>
      <c r="AB39" s="1">
        <f>IFERROR(__xludf.DUMMYFUNCTION("""COMPUTED_VALUE"""),40238.0)</f>
        <v>40238</v>
      </c>
      <c r="AC39" s="1">
        <f>IFERROR(__xludf.DUMMYFUNCTION("""COMPUTED_VALUE"""),1142.0)</f>
        <v>1142</v>
      </c>
      <c r="AD39" s="1">
        <f>IFERROR(__xludf.DUMMYFUNCTION("""COMPUTED_VALUE"""),347.0)</f>
        <v>347</v>
      </c>
      <c r="AE39" s="1">
        <f>IFERROR(__xludf.DUMMYFUNCTION("""COMPUTED_VALUE"""),33287.0)</f>
        <v>33287</v>
      </c>
      <c r="AF39" s="1">
        <f>IFERROR(__xludf.DUMMYFUNCTION("""COMPUTED_VALUE"""),250.0)</f>
        <v>250</v>
      </c>
      <c r="AG39" s="1">
        <f>IFERROR(__xludf.DUMMYFUNCTION("""COMPUTED_VALUE"""),44.0)</f>
        <v>44</v>
      </c>
      <c r="AH39" s="1">
        <f>IFERROR(__xludf.DUMMYFUNCTION("""COMPUTED_VALUE"""),300.0)</f>
        <v>300</v>
      </c>
      <c r="AI39" s="1">
        <f>IFERROR(__xludf.DUMMYFUNCTION("""COMPUTED_VALUE"""),715.0)</f>
        <v>715</v>
      </c>
      <c r="AJ39" s="1">
        <f>IFERROR(__xludf.DUMMYFUNCTION("""COMPUTED_VALUE"""),31.0)</f>
        <v>31</v>
      </c>
      <c r="AK39" s="1">
        <f>IFERROR(__xludf.DUMMYFUNCTION("""COMPUTED_VALUE"""),250.0)</f>
        <v>250</v>
      </c>
      <c r="AL39" s="1">
        <f>IFERROR(__xludf.DUMMYFUNCTION("""COMPUTED_VALUE"""),1031.0)</f>
        <v>1031</v>
      </c>
      <c r="AM39" s="1">
        <f>IFERROR(__xludf.DUMMYFUNCTION("""COMPUTED_VALUE"""),280.0)</f>
        <v>280</v>
      </c>
      <c r="AN39" s="1">
        <f>IFERROR(__xludf.DUMMYFUNCTION("""COMPUTED_VALUE"""),7212.0)</f>
        <v>7212</v>
      </c>
      <c r="AO39" s="1">
        <f>IFERROR(__xludf.DUMMYFUNCTION("""COMPUTED_VALUE"""),280.0)</f>
        <v>280</v>
      </c>
      <c r="AP39" s="1">
        <f>IFERROR(__xludf.DUMMYFUNCTION("""COMPUTED_VALUE"""),51311.0)</f>
        <v>51311</v>
      </c>
      <c r="AQ39" s="1">
        <f>IFERROR(__xludf.DUMMYFUNCTION("""COMPUTED_VALUE"""),273.0)</f>
        <v>273</v>
      </c>
      <c r="AR39" s="1">
        <f>IFERROR(__xludf.DUMMYFUNCTION("""COMPUTED_VALUE"""),271.0)</f>
        <v>271</v>
      </c>
      <c r="AS39" s="1">
        <f>IFERROR(__xludf.DUMMYFUNCTION("""COMPUTED_VALUE"""),10873.0)</f>
        <v>10873</v>
      </c>
    </row>
    <row r="40">
      <c r="A40" s="1" t="str">
        <f>IFERROR(__xludf.DUMMYFUNCTION("""COMPUTED_VALUE"""),"BER")</f>
        <v>BER</v>
      </c>
      <c r="B40" s="1"/>
      <c r="C40" s="1"/>
      <c r="D40" s="1">
        <f>IFERROR(__xludf.DUMMYFUNCTION("""COMPUTED_VALUE"""),300.0)</f>
        <v>300</v>
      </c>
      <c r="E40" s="1">
        <f>IFERROR(__xludf.DUMMYFUNCTION("""COMPUTED_VALUE"""),3000.0)</f>
        <v>3000</v>
      </c>
      <c r="F40" s="1">
        <f>IFERROR(__xludf.DUMMYFUNCTION("""COMPUTED_VALUE"""),380.0)</f>
        <v>380</v>
      </c>
      <c r="G40" s="1">
        <f>IFERROR(__xludf.DUMMYFUNCTION("""COMPUTED_VALUE"""),58865.0)</f>
        <v>58865</v>
      </c>
      <c r="H40" s="1">
        <f>IFERROR(__xludf.DUMMYFUNCTION("""COMPUTED_VALUE"""),2673.0)</f>
        <v>2673</v>
      </c>
      <c r="I40" s="1">
        <f>IFERROR(__xludf.DUMMYFUNCTION("""COMPUTED_VALUE"""),300.0)</f>
        <v>300</v>
      </c>
      <c r="J40" s="1">
        <f>IFERROR(__xludf.DUMMYFUNCTION("""COMPUTED_VALUE"""),11673.0)</f>
        <v>11673</v>
      </c>
      <c r="K40" s="1">
        <f>IFERROR(__xludf.DUMMYFUNCTION("""COMPUTED_VALUE"""),506.0)</f>
        <v>506</v>
      </c>
      <c r="L40" s="1">
        <f>IFERROR(__xludf.DUMMYFUNCTION("""COMPUTED_VALUE"""),7880.0)</f>
        <v>7880</v>
      </c>
      <c r="M40" s="1">
        <f>IFERROR(__xludf.DUMMYFUNCTION("""COMPUTED_VALUE"""),504.0)</f>
        <v>504</v>
      </c>
      <c r="N40" s="1">
        <f>IFERROR(__xludf.DUMMYFUNCTION("""COMPUTED_VALUE"""),31303.0)</f>
        <v>31303</v>
      </c>
      <c r="O40" s="1">
        <f>IFERROR(__xludf.DUMMYFUNCTION("""COMPUTED_VALUE"""),10000.0)</f>
        <v>10000</v>
      </c>
      <c r="P40" s="1">
        <f>IFERROR(__xludf.DUMMYFUNCTION("""COMPUTED_VALUE"""),250.0)</f>
        <v>250</v>
      </c>
      <c r="Q40" s="1">
        <f>IFERROR(__xludf.DUMMYFUNCTION("""COMPUTED_VALUE"""),10000.0)</f>
        <v>10000</v>
      </c>
      <c r="R40" s="1">
        <f>IFERROR(__xludf.DUMMYFUNCTION("""COMPUTED_VALUE"""),500.0)</f>
        <v>500</v>
      </c>
      <c r="S40" s="1"/>
      <c r="T40" s="1"/>
      <c r="U40" s="1">
        <f>IFERROR(__xludf.DUMMYFUNCTION("""COMPUTED_VALUE"""),0.0)</f>
        <v>0</v>
      </c>
      <c r="V40" s="1"/>
      <c r="W40" s="1"/>
      <c r="X40" s="1">
        <f>IFERROR(__xludf.DUMMYFUNCTION("""COMPUTED_VALUE"""),0.0)</f>
        <v>0</v>
      </c>
      <c r="Y40" s="1">
        <f>IFERROR(__xludf.DUMMYFUNCTION("""COMPUTED_VALUE"""),337.0)</f>
        <v>337</v>
      </c>
      <c r="Z40" s="1">
        <f>IFERROR(__xludf.DUMMYFUNCTION("""COMPUTED_VALUE"""),478.0)</f>
        <v>478</v>
      </c>
      <c r="AA40" s="1">
        <f>IFERROR(__xludf.DUMMYFUNCTION("""COMPUTED_VALUE"""),337.0)</f>
        <v>337</v>
      </c>
      <c r="AB40" s="1">
        <f>IFERROR(__xludf.DUMMYFUNCTION("""COMPUTED_VALUE"""),97568.0)</f>
        <v>97568</v>
      </c>
      <c r="AC40" s="1">
        <f>IFERROR(__xludf.DUMMYFUNCTION("""COMPUTED_VALUE"""),1500.0)</f>
        <v>1500</v>
      </c>
      <c r="AD40" s="1">
        <f>IFERROR(__xludf.DUMMYFUNCTION("""COMPUTED_VALUE"""),291.0)</f>
        <v>291</v>
      </c>
      <c r="AE40" s="1">
        <f>IFERROR(__xludf.DUMMYFUNCTION("""COMPUTED_VALUE"""),48377.0)</f>
        <v>48377</v>
      </c>
      <c r="AF40" s="1">
        <f>IFERROR(__xludf.DUMMYFUNCTION("""COMPUTED_VALUE"""),117.550003051757)</f>
        <v>117.5500031</v>
      </c>
      <c r="AG40" s="1">
        <f>IFERROR(__xludf.DUMMYFUNCTION("""COMPUTED_VALUE"""),50.0)</f>
        <v>50</v>
      </c>
      <c r="AH40" s="1">
        <f>IFERROR(__xludf.DUMMYFUNCTION("""COMPUTED_VALUE"""),551.0)</f>
        <v>551</v>
      </c>
      <c r="AI40" s="1">
        <f>IFERROR(__xludf.DUMMYFUNCTION("""COMPUTED_VALUE"""),50.0)</f>
        <v>50</v>
      </c>
      <c r="AJ40" s="1"/>
      <c r="AK40" s="1"/>
      <c r="AL40" s="1">
        <f>IFERROR(__xludf.DUMMYFUNCTION("""COMPUTED_VALUE"""),0.0)</f>
        <v>0</v>
      </c>
      <c r="AM40" s="1">
        <f>IFERROR(__xludf.DUMMYFUNCTION("""COMPUTED_VALUE"""),275.0)</f>
        <v>275</v>
      </c>
      <c r="AN40" s="1">
        <f>IFERROR(__xludf.DUMMYFUNCTION("""COMPUTED_VALUE"""),17500.0)</f>
        <v>17500</v>
      </c>
      <c r="AO40" s="1">
        <f>IFERROR(__xludf.DUMMYFUNCTION("""COMPUTED_VALUE"""),325.0)</f>
        <v>325</v>
      </c>
      <c r="AP40" s="1">
        <f>IFERROR(__xludf.DUMMYFUNCTION("""COMPUTED_VALUE"""),24727.0)</f>
        <v>24727</v>
      </c>
      <c r="AQ40" s="1">
        <f>IFERROR(__xludf.DUMMYFUNCTION("""COMPUTED_VALUE"""),5884.0)</f>
        <v>5884</v>
      </c>
      <c r="AR40" s="1">
        <f>IFERROR(__xludf.DUMMYFUNCTION("""COMPUTED_VALUE"""),275.0)</f>
        <v>275</v>
      </c>
      <c r="AS40" s="1">
        <f>IFERROR(__xludf.DUMMYFUNCTION("""COMPUTED_VALUE"""),13884.0)</f>
        <v>13884</v>
      </c>
    </row>
    <row r="41">
      <c r="A41" s="1" t="str">
        <f>IFERROR(__xludf.DUMMYFUNCTION("""COMPUTED_VALUE"""),"BFP")</f>
        <v>BFP</v>
      </c>
      <c r="B41" s="1"/>
      <c r="C41" s="1"/>
      <c r="D41" s="1">
        <f>IFERROR(__xludf.DUMMYFUNCTION("""COMPUTED_VALUE"""),25000.0)</f>
        <v>25000</v>
      </c>
      <c r="E41" s="1"/>
      <c r="F41" s="1"/>
      <c r="G41" s="1">
        <f>IFERROR(__xludf.DUMMYFUNCTION("""COMPUTED_VALUE"""),0.0)</f>
        <v>0</v>
      </c>
      <c r="H41" s="1"/>
      <c r="I41" s="1"/>
      <c r="J41" s="1">
        <f>IFERROR(__xludf.DUMMYFUNCTION("""COMPUTED_VALUE"""),0.0)</f>
        <v>0</v>
      </c>
      <c r="K41" s="1">
        <f>IFERROR(__xludf.DUMMYFUNCTION("""COMPUTED_VALUE"""),24333.330078125)</f>
        <v>24333.33008</v>
      </c>
      <c r="L41" s="1"/>
      <c r="M41" s="1"/>
      <c r="N41" s="1">
        <f>IFERROR(__xludf.DUMMYFUNCTION("""COMPUTED_VALUE"""),0.0)</f>
        <v>0</v>
      </c>
      <c r="O41" s="1">
        <f>IFERROR(__xludf.DUMMYFUNCTION("""COMPUTED_VALUE"""),4.0)</f>
        <v>4</v>
      </c>
      <c r="P41" s="1">
        <f>IFERROR(__xludf.DUMMYFUNCTION("""COMPUTED_VALUE"""),30000.0)</f>
        <v>30000</v>
      </c>
      <c r="Q41" s="1">
        <f>IFERROR(__xludf.DUMMYFUNCTION("""COMPUTED_VALUE"""),4.0)</f>
        <v>4</v>
      </c>
      <c r="R41" s="1">
        <f>IFERROR(__xludf.DUMMYFUNCTION("""COMPUTED_VALUE"""),20224.419921875)</f>
        <v>20224.41992</v>
      </c>
      <c r="S41" s="1"/>
      <c r="T41" s="1"/>
      <c r="U41" s="1">
        <f>IFERROR(__xludf.DUMMYFUNCTION("""COMPUTED_VALUE"""),0.0)</f>
        <v>0</v>
      </c>
      <c r="V41" s="1"/>
      <c r="W41" s="1"/>
      <c r="X41" s="1">
        <f>IFERROR(__xludf.DUMMYFUNCTION("""COMPUTED_VALUE"""),0.0)</f>
        <v>0</v>
      </c>
      <c r="Y41" s="1">
        <f>IFERROR(__xludf.DUMMYFUNCTION("""COMPUTED_VALUE"""),24000.0)</f>
        <v>24000</v>
      </c>
      <c r="Z41" s="1"/>
      <c r="AA41" s="1"/>
      <c r="AB41" s="1">
        <f>IFERROR(__xludf.DUMMYFUNCTION("""COMPUTED_VALUE"""),0.0)</f>
        <v>0</v>
      </c>
      <c r="AC41" s="1"/>
      <c r="AD41" s="1"/>
      <c r="AE41" s="1">
        <f>IFERROR(__xludf.DUMMYFUNCTION("""COMPUTED_VALUE"""),0.0)</f>
        <v>0</v>
      </c>
      <c r="AF41" s="1">
        <f>IFERROR(__xludf.DUMMYFUNCTION("""COMPUTED_VALUE"""),20224.419921875)</f>
        <v>20224.41992</v>
      </c>
      <c r="AG41" s="1"/>
      <c r="AH41" s="1"/>
      <c r="AI41" s="1">
        <f>IFERROR(__xludf.DUMMYFUNCTION("""COMPUTED_VALUE"""),0.0)</f>
        <v>0</v>
      </c>
      <c r="AJ41" s="1"/>
      <c r="AK41" s="1"/>
      <c r="AL41" s="1">
        <f>IFERROR(__xludf.DUMMYFUNCTION("""COMPUTED_VALUE"""),0.0)</f>
        <v>0</v>
      </c>
      <c r="AM41" s="1">
        <f>IFERROR(__xludf.DUMMYFUNCTION("""COMPUTED_VALUE"""),25000.0)</f>
        <v>25000</v>
      </c>
      <c r="AN41" s="1"/>
      <c r="AO41" s="1"/>
      <c r="AP41" s="1">
        <f>IFERROR(__xludf.DUMMYFUNCTION("""COMPUTED_VALUE"""),0.0)</f>
        <v>0</v>
      </c>
      <c r="AQ41" s="1"/>
      <c r="AR41" s="1"/>
      <c r="AS41" s="1">
        <f>IFERROR(__xludf.DUMMYFUNCTION("""COMPUTED_VALUE"""),0.0)</f>
        <v>0</v>
      </c>
    </row>
    <row r="42">
      <c r="A42" s="1" t="str">
        <f>IFERROR(__xludf.DUMMYFUNCTION("""COMPUTED_VALUE"""),"BFR")</f>
        <v>BFR</v>
      </c>
      <c r="B42" s="1"/>
      <c r="C42" s="1"/>
      <c r="D42" s="1">
        <f>IFERROR(__xludf.DUMMYFUNCTION("""COMPUTED_VALUE"""),3500.0)</f>
        <v>3500</v>
      </c>
      <c r="E42" s="1">
        <f>IFERROR(__xludf.DUMMYFUNCTION("""COMPUTED_VALUE"""),1.0)</f>
        <v>1</v>
      </c>
      <c r="F42" s="1">
        <f>IFERROR(__xludf.DUMMYFUNCTION("""COMPUTED_VALUE"""),3500.0)</f>
        <v>3500</v>
      </c>
      <c r="G42" s="1">
        <f>IFERROR(__xludf.DUMMYFUNCTION("""COMPUTED_VALUE"""),26.0)</f>
        <v>26</v>
      </c>
      <c r="H42" s="1"/>
      <c r="I42" s="1"/>
      <c r="J42" s="1">
        <f>IFERROR(__xludf.DUMMYFUNCTION("""COMPUTED_VALUE"""),0.0)</f>
        <v>0</v>
      </c>
      <c r="K42" s="1">
        <f>IFERROR(__xludf.DUMMYFUNCTION("""COMPUTED_VALUE"""),5000.0)</f>
        <v>5000</v>
      </c>
      <c r="L42" s="1">
        <f>IFERROR(__xludf.DUMMYFUNCTION("""COMPUTED_VALUE"""),12.0)</f>
        <v>12</v>
      </c>
      <c r="M42" s="1">
        <f>IFERROR(__xludf.DUMMYFUNCTION("""COMPUTED_VALUE"""),6400.0)</f>
        <v>6400</v>
      </c>
      <c r="N42" s="1">
        <f>IFERROR(__xludf.DUMMYFUNCTION("""COMPUTED_VALUE"""),16.0)</f>
        <v>16</v>
      </c>
      <c r="O42" s="1">
        <f>IFERROR(__xludf.DUMMYFUNCTION("""COMPUTED_VALUE"""),10.0)</f>
        <v>10</v>
      </c>
      <c r="P42" s="1">
        <f>IFERROR(__xludf.DUMMYFUNCTION("""COMPUTED_VALUE"""),5000.0)</f>
        <v>5000</v>
      </c>
      <c r="Q42" s="1">
        <f>IFERROR(__xludf.DUMMYFUNCTION("""COMPUTED_VALUE"""),10.0)</f>
        <v>10</v>
      </c>
      <c r="R42" s="1">
        <f>IFERROR(__xludf.DUMMYFUNCTION("""COMPUTED_VALUE"""),2515.21997070312)</f>
        <v>2515.219971</v>
      </c>
      <c r="S42" s="1"/>
      <c r="T42" s="1"/>
      <c r="U42" s="1">
        <f>IFERROR(__xludf.DUMMYFUNCTION("""COMPUTED_VALUE"""),0.0)</f>
        <v>0</v>
      </c>
      <c r="V42" s="1"/>
      <c r="W42" s="1"/>
      <c r="X42" s="1">
        <f>IFERROR(__xludf.DUMMYFUNCTION("""COMPUTED_VALUE"""),0.0)</f>
        <v>0</v>
      </c>
      <c r="Y42" s="1">
        <f>IFERROR(__xludf.DUMMYFUNCTION("""COMPUTED_VALUE"""),3200.0)</f>
        <v>3200</v>
      </c>
      <c r="Z42" s="1">
        <f>IFERROR(__xludf.DUMMYFUNCTION("""COMPUTED_VALUE"""),15.0)</f>
        <v>15</v>
      </c>
      <c r="AA42" s="1">
        <f>IFERROR(__xludf.DUMMYFUNCTION("""COMPUTED_VALUE"""),3900.0)</f>
        <v>3900</v>
      </c>
      <c r="AB42" s="1">
        <f>IFERROR(__xludf.DUMMYFUNCTION("""COMPUTED_VALUE"""),220.0)</f>
        <v>220</v>
      </c>
      <c r="AC42" s="1"/>
      <c r="AD42" s="1"/>
      <c r="AE42" s="1">
        <f>IFERROR(__xludf.DUMMYFUNCTION("""COMPUTED_VALUE"""),0.0)</f>
        <v>0</v>
      </c>
      <c r="AF42" s="1">
        <f>IFERROR(__xludf.DUMMYFUNCTION("""COMPUTED_VALUE"""),2515.21997070312)</f>
        <v>2515.219971</v>
      </c>
      <c r="AG42" s="1"/>
      <c r="AH42" s="1"/>
      <c r="AI42" s="1">
        <f>IFERROR(__xludf.DUMMYFUNCTION("""COMPUTED_VALUE"""),0.0)</f>
        <v>0</v>
      </c>
      <c r="AJ42" s="1"/>
      <c r="AK42" s="1"/>
      <c r="AL42" s="1">
        <f>IFERROR(__xludf.DUMMYFUNCTION("""COMPUTED_VALUE"""),0.0)</f>
        <v>0</v>
      </c>
      <c r="AM42" s="1">
        <f>IFERROR(__xludf.DUMMYFUNCTION("""COMPUTED_VALUE"""),9800.0)</f>
        <v>9800</v>
      </c>
      <c r="AN42" s="1">
        <f>IFERROR(__xludf.DUMMYFUNCTION("""COMPUTED_VALUE"""),5.0)</f>
        <v>5</v>
      </c>
      <c r="AO42" s="1">
        <f>IFERROR(__xludf.DUMMYFUNCTION("""COMPUTED_VALUE"""),9900.0)</f>
        <v>9900</v>
      </c>
      <c r="AP42" s="1">
        <f>IFERROR(__xludf.DUMMYFUNCTION("""COMPUTED_VALUE"""),6.0)</f>
        <v>6</v>
      </c>
      <c r="AQ42" s="1"/>
      <c r="AR42" s="1"/>
      <c r="AS42" s="1">
        <f>IFERROR(__xludf.DUMMYFUNCTION("""COMPUTED_VALUE"""),0.0)</f>
        <v>0</v>
      </c>
    </row>
    <row r="43">
      <c r="A43" s="1" t="str">
        <f>IFERROR(__xludf.DUMMYFUNCTION("""COMPUTED_VALUE"""),"BGC")</f>
        <v>BGC</v>
      </c>
      <c r="B43" s="1"/>
      <c r="C43" s="1"/>
      <c r="D43" s="1">
        <f>IFERROR(__xludf.DUMMYFUNCTION("""COMPUTED_VALUE"""),690.0)</f>
        <v>690</v>
      </c>
      <c r="E43" s="1">
        <f>IFERROR(__xludf.DUMMYFUNCTION("""COMPUTED_VALUE"""),400.0)</f>
        <v>400</v>
      </c>
      <c r="F43" s="1">
        <f>IFERROR(__xludf.DUMMYFUNCTION("""COMPUTED_VALUE"""),659.0)</f>
        <v>659</v>
      </c>
      <c r="G43" s="1">
        <f>IFERROR(__xludf.DUMMYFUNCTION("""COMPUTED_VALUE"""),13565.0)</f>
        <v>13565</v>
      </c>
      <c r="H43" s="1">
        <f>IFERROR(__xludf.DUMMYFUNCTION("""COMPUTED_VALUE"""),1000.0)</f>
        <v>1000</v>
      </c>
      <c r="I43" s="1">
        <f>IFERROR(__xludf.DUMMYFUNCTION("""COMPUTED_VALUE"""),620.0)</f>
        <v>620</v>
      </c>
      <c r="J43" s="1">
        <f>IFERROR(__xludf.DUMMYFUNCTION("""COMPUTED_VALUE"""),12580.0)</f>
        <v>12580</v>
      </c>
      <c r="K43" s="1">
        <f>IFERROR(__xludf.DUMMYFUNCTION("""COMPUTED_VALUE"""),713.0)</f>
        <v>713</v>
      </c>
      <c r="L43" s="1">
        <f>IFERROR(__xludf.DUMMYFUNCTION("""COMPUTED_VALUE"""),1230.0)</f>
        <v>1230</v>
      </c>
      <c r="M43" s="1">
        <f>IFERROR(__xludf.DUMMYFUNCTION("""COMPUTED_VALUE"""),713.0)</f>
        <v>713</v>
      </c>
      <c r="N43" s="1">
        <f>IFERROR(__xludf.DUMMYFUNCTION("""COMPUTED_VALUE"""),7821.0)</f>
        <v>7821</v>
      </c>
      <c r="O43" s="1">
        <f>IFERROR(__xludf.DUMMYFUNCTION("""COMPUTED_VALUE"""),1000.0)</f>
        <v>1000</v>
      </c>
      <c r="P43" s="1">
        <f>IFERROR(__xludf.DUMMYFUNCTION("""COMPUTED_VALUE"""),615.0)</f>
        <v>615</v>
      </c>
      <c r="Q43" s="1">
        <f>IFERROR(__xludf.DUMMYFUNCTION("""COMPUTED_VALUE"""),2761.0)</f>
        <v>2761</v>
      </c>
      <c r="R43" s="1">
        <f>IFERROR(__xludf.DUMMYFUNCTION("""COMPUTED_VALUE"""),600.0)</f>
        <v>600</v>
      </c>
      <c r="S43" s="1">
        <f>IFERROR(__xludf.DUMMYFUNCTION("""COMPUTED_VALUE"""),36.0)</f>
        <v>36</v>
      </c>
      <c r="T43" s="1">
        <f>IFERROR(__xludf.DUMMYFUNCTION("""COMPUTED_VALUE"""),600.0)</f>
        <v>600</v>
      </c>
      <c r="U43" s="1">
        <f>IFERROR(__xludf.DUMMYFUNCTION("""COMPUTED_VALUE"""),36.0)</f>
        <v>36</v>
      </c>
      <c r="V43" s="1"/>
      <c r="W43" s="1"/>
      <c r="X43" s="1">
        <f>IFERROR(__xludf.DUMMYFUNCTION("""COMPUTED_VALUE"""),0.0)</f>
        <v>0</v>
      </c>
      <c r="Y43" s="1">
        <f>IFERROR(__xludf.DUMMYFUNCTION("""COMPUTED_VALUE"""),610.0)</f>
        <v>610</v>
      </c>
      <c r="Z43" s="1">
        <f>IFERROR(__xludf.DUMMYFUNCTION("""COMPUTED_VALUE"""),10.0)</f>
        <v>10</v>
      </c>
      <c r="AA43" s="1">
        <f>IFERROR(__xludf.DUMMYFUNCTION("""COMPUTED_VALUE"""),610.0)</f>
        <v>610</v>
      </c>
      <c r="AB43" s="1">
        <f>IFERROR(__xludf.DUMMYFUNCTION("""COMPUTED_VALUE"""),9469.0)</f>
        <v>9469</v>
      </c>
      <c r="AC43" s="1">
        <f>IFERROR(__xludf.DUMMYFUNCTION("""COMPUTED_VALUE"""),960.0)</f>
        <v>960</v>
      </c>
      <c r="AD43" s="1">
        <f>IFERROR(__xludf.DUMMYFUNCTION("""COMPUTED_VALUE"""),578.0)</f>
        <v>578</v>
      </c>
      <c r="AE43" s="1">
        <f>IFERROR(__xludf.DUMMYFUNCTION("""COMPUTED_VALUE"""),7460.0)</f>
        <v>7460</v>
      </c>
      <c r="AF43" s="1">
        <f>IFERROR(__xludf.DUMMYFUNCTION("""COMPUTED_VALUE"""),500.0)</f>
        <v>500</v>
      </c>
      <c r="AG43" s="1">
        <f>IFERROR(__xludf.DUMMYFUNCTION("""COMPUTED_VALUE"""),100.0)</f>
        <v>100</v>
      </c>
      <c r="AH43" s="1">
        <f>IFERROR(__xludf.DUMMYFUNCTION("""COMPUTED_VALUE"""),720.0)</f>
        <v>720</v>
      </c>
      <c r="AI43" s="1">
        <f>IFERROR(__xludf.DUMMYFUNCTION("""COMPUTED_VALUE"""),100.0)</f>
        <v>100</v>
      </c>
      <c r="AJ43" s="1"/>
      <c r="AK43" s="1"/>
      <c r="AL43" s="1">
        <f>IFERROR(__xludf.DUMMYFUNCTION("""COMPUTED_VALUE"""),0.0)</f>
        <v>0</v>
      </c>
      <c r="AM43" s="1">
        <f>IFERROR(__xludf.DUMMYFUNCTION("""COMPUTED_VALUE"""),689.0)</f>
        <v>689</v>
      </c>
      <c r="AN43" s="1">
        <f>IFERROR(__xludf.DUMMYFUNCTION("""COMPUTED_VALUE"""),121.0)</f>
        <v>121</v>
      </c>
      <c r="AO43" s="1">
        <f>IFERROR(__xludf.DUMMYFUNCTION("""COMPUTED_VALUE"""),689.0)</f>
        <v>689</v>
      </c>
      <c r="AP43" s="1">
        <f>IFERROR(__xludf.DUMMYFUNCTION("""COMPUTED_VALUE"""),1343.0)</f>
        <v>1343</v>
      </c>
      <c r="AQ43" s="1">
        <f>IFERROR(__xludf.DUMMYFUNCTION("""COMPUTED_VALUE"""),3998.0)</f>
        <v>3998</v>
      </c>
      <c r="AR43" s="1">
        <f>IFERROR(__xludf.DUMMYFUNCTION("""COMPUTED_VALUE"""),600.0)</f>
        <v>600</v>
      </c>
      <c r="AS43" s="1">
        <f>IFERROR(__xludf.DUMMYFUNCTION("""COMPUTED_VALUE"""),5648.0)</f>
        <v>5648</v>
      </c>
    </row>
    <row r="44">
      <c r="A44" s="1" t="str">
        <f>IFERROR(__xludf.DUMMYFUNCTION("""COMPUTED_VALUE"""),"BGO")</f>
        <v>BGO</v>
      </c>
      <c r="B44" s="1"/>
      <c r="C44" s="1"/>
      <c r="D44" s="1">
        <f>IFERROR(__xludf.DUMMYFUNCTION("""COMPUTED_VALUE"""),2450.0)</f>
        <v>2450</v>
      </c>
      <c r="E44" s="1">
        <f>IFERROR(__xludf.DUMMYFUNCTION("""COMPUTED_VALUE"""),55.0)</f>
        <v>55</v>
      </c>
      <c r="F44" s="1">
        <f>IFERROR(__xludf.DUMMYFUNCTION("""COMPUTED_VALUE"""),2550.0)</f>
        <v>2550</v>
      </c>
      <c r="G44" s="1">
        <f>IFERROR(__xludf.DUMMYFUNCTION("""COMPUTED_VALUE"""),13514.0)</f>
        <v>13514</v>
      </c>
      <c r="H44" s="1">
        <f>IFERROR(__xludf.DUMMYFUNCTION("""COMPUTED_VALUE"""),425.0)</f>
        <v>425</v>
      </c>
      <c r="I44" s="1">
        <f>IFERROR(__xludf.DUMMYFUNCTION("""COMPUTED_VALUE"""),2450.0)</f>
        <v>2450</v>
      </c>
      <c r="J44" s="1">
        <f>IFERROR(__xludf.DUMMYFUNCTION("""COMPUTED_VALUE"""),3186.0)</f>
        <v>3186</v>
      </c>
      <c r="K44" s="1">
        <f>IFERROR(__xludf.DUMMYFUNCTION("""COMPUTED_VALUE"""),2500.0)</f>
        <v>2500</v>
      </c>
      <c r="L44" s="1">
        <f>IFERROR(__xludf.DUMMYFUNCTION("""COMPUTED_VALUE"""),2.0)</f>
        <v>2</v>
      </c>
      <c r="M44" s="1">
        <f>IFERROR(__xludf.DUMMYFUNCTION("""COMPUTED_VALUE"""),2990.0)</f>
        <v>2990</v>
      </c>
      <c r="N44" s="1">
        <f>IFERROR(__xludf.DUMMYFUNCTION("""COMPUTED_VALUE"""),325.0)</f>
        <v>325</v>
      </c>
      <c r="O44" s="1">
        <f>IFERROR(__xludf.DUMMYFUNCTION("""COMPUTED_VALUE"""),25.0)</f>
        <v>25</v>
      </c>
      <c r="P44" s="1">
        <f>IFERROR(__xludf.DUMMYFUNCTION("""COMPUTED_VALUE"""),2500.0)</f>
        <v>2500</v>
      </c>
      <c r="Q44" s="1">
        <f>IFERROR(__xludf.DUMMYFUNCTION("""COMPUTED_VALUE"""),621.0)</f>
        <v>621</v>
      </c>
      <c r="R44" s="1">
        <f>IFERROR(__xludf.DUMMYFUNCTION("""COMPUTED_VALUE"""),2000.0)</f>
        <v>2000</v>
      </c>
      <c r="S44" s="1"/>
      <c r="T44" s="1"/>
      <c r="U44" s="1">
        <f>IFERROR(__xludf.DUMMYFUNCTION("""COMPUTED_VALUE"""),0.0)</f>
        <v>0</v>
      </c>
      <c r="V44" s="1"/>
      <c r="W44" s="1"/>
      <c r="X44" s="1">
        <f>IFERROR(__xludf.DUMMYFUNCTION("""COMPUTED_VALUE"""),0.0)</f>
        <v>0</v>
      </c>
      <c r="Y44" s="1">
        <f>IFERROR(__xludf.DUMMYFUNCTION("""COMPUTED_VALUE"""),1900.0)</f>
        <v>1900</v>
      </c>
      <c r="Z44" s="1">
        <f>IFERROR(__xludf.DUMMYFUNCTION("""COMPUTED_VALUE"""),14.0)</f>
        <v>14</v>
      </c>
      <c r="AA44" s="1">
        <f>IFERROR(__xludf.DUMMYFUNCTION("""COMPUTED_VALUE"""),2170.0)</f>
        <v>2170</v>
      </c>
      <c r="AB44" s="1">
        <f>IFERROR(__xludf.DUMMYFUNCTION("""COMPUTED_VALUE"""),7117.0)</f>
        <v>7117</v>
      </c>
      <c r="AC44" s="1">
        <f>IFERROR(__xludf.DUMMYFUNCTION("""COMPUTED_VALUE"""),445.0)</f>
        <v>445</v>
      </c>
      <c r="AD44" s="1">
        <f>IFERROR(__xludf.DUMMYFUNCTION("""COMPUTED_VALUE"""),1900.0)</f>
        <v>1900</v>
      </c>
      <c r="AE44" s="1">
        <f>IFERROR(__xludf.DUMMYFUNCTION("""COMPUTED_VALUE"""),2629.0)</f>
        <v>2629</v>
      </c>
      <c r="AF44" s="1">
        <f>IFERROR(__xludf.DUMMYFUNCTION("""COMPUTED_VALUE"""),2300.0)</f>
        <v>2300</v>
      </c>
      <c r="AG44" s="1">
        <f>IFERROR(__xludf.DUMMYFUNCTION("""COMPUTED_VALUE"""),50.0)</f>
        <v>50</v>
      </c>
      <c r="AH44" s="1">
        <f>IFERROR(__xludf.DUMMYFUNCTION("""COMPUTED_VALUE"""),2500.0)</f>
        <v>2500</v>
      </c>
      <c r="AI44" s="1">
        <f>IFERROR(__xludf.DUMMYFUNCTION("""COMPUTED_VALUE"""),60.0)</f>
        <v>60</v>
      </c>
      <c r="AJ44" s="1"/>
      <c r="AK44" s="1"/>
      <c r="AL44" s="1">
        <f>IFERROR(__xludf.DUMMYFUNCTION("""COMPUTED_VALUE"""),0.0)</f>
        <v>0</v>
      </c>
      <c r="AM44" s="1">
        <f>IFERROR(__xludf.DUMMYFUNCTION("""COMPUTED_VALUE"""),2300.0)</f>
        <v>2300</v>
      </c>
      <c r="AN44" s="1">
        <f>IFERROR(__xludf.DUMMYFUNCTION("""COMPUTED_VALUE"""),135.0)</f>
        <v>135</v>
      </c>
      <c r="AO44" s="1">
        <f>IFERROR(__xludf.DUMMYFUNCTION("""COMPUTED_VALUE"""),2300.0)</f>
        <v>2300</v>
      </c>
      <c r="AP44" s="1">
        <f>IFERROR(__xludf.DUMMYFUNCTION("""COMPUTED_VALUE"""),1290.0)</f>
        <v>1290</v>
      </c>
      <c r="AQ44" s="1">
        <f>IFERROR(__xludf.DUMMYFUNCTION("""COMPUTED_VALUE"""),300.0)</f>
        <v>300</v>
      </c>
      <c r="AR44" s="1">
        <f>IFERROR(__xludf.DUMMYFUNCTION("""COMPUTED_VALUE"""),2050.0)</f>
        <v>2050</v>
      </c>
      <c r="AS44" s="1">
        <f>IFERROR(__xludf.DUMMYFUNCTION("""COMPUTED_VALUE"""),650.0)</f>
        <v>650</v>
      </c>
    </row>
    <row r="45">
      <c r="A45" s="1" t="str">
        <f>IFERROR(__xludf.DUMMYFUNCTION("""COMPUTED_VALUE"""),"BGS")</f>
        <v>BGS</v>
      </c>
      <c r="B45" s="1"/>
      <c r="C45" s="1"/>
      <c r="D45" s="1">
        <f>IFERROR(__xludf.DUMMYFUNCTION("""COMPUTED_VALUE"""),218000.0)</f>
        <v>218000</v>
      </c>
      <c r="E45" s="1">
        <f>IFERROR(__xludf.DUMMYFUNCTION("""COMPUTED_VALUE"""),1.0)</f>
        <v>1</v>
      </c>
      <c r="F45" s="1">
        <f>IFERROR(__xludf.DUMMYFUNCTION("""COMPUTED_VALUE"""),214000.0)</f>
        <v>214000</v>
      </c>
      <c r="G45" s="1">
        <f>IFERROR(__xludf.DUMMYFUNCTION("""COMPUTED_VALUE"""),14.0)</f>
        <v>14</v>
      </c>
      <c r="H45" s="1">
        <f>IFERROR(__xludf.DUMMYFUNCTION("""COMPUTED_VALUE"""),1.0)</f>
        <v>1</v>
      </c>
      <c r="I45" s="1">
        <f>IFERROR(__xludf.DUMMYFUNCTION("""COMPUTED_VALUE"""),160000.0)</f>
        <v>160000</v>
      </c>
      <c r="J45" s="1">
        <f>IFERROR(__xludf.DUMMYFUNCTION("""COMPUTED_VALUE"""),1.0)</f>
        <v>1</v>
      </c>
      <c r="K45" s="1">
        <f>IFERROR(__xludf.DUMMYFUNCTION("""COMPUTED_VALUE"""),198000.0)</f>
        <v>198000</v>
      </c>
      <c r="L45" s="1">
        <f>IFERROR(__xludf.DUMMYFUNCTION("""COMPUTED_VALUE"""),1.0)</f>
        <v>1</v>
      </c>
      <c r="M45" s="1">
        <f>IFERROR(__xludf.DUMMYFUNCTION("""COMPUTED_VALUE"""),198000.0)</f>
        <v>198000</v>
      </c>
      <c r="N45" s="1">
        <f>IFERROR(__xludf.DUMMYFUNCTION("""COMPUTED_VALUE"""),7.0)</f>
        <v>7</v>
      </c>
      <c r="O45" s="1"/>
      <c r="P45" s="1"/>
      <c r="Q45" s="1">
        <f>IFERROR(__xludf.DUMMYFUNCTION("""COMPUTED_VALUE"""),0.0)</f>
        <v>0</v>
      </c>
      <c r="R45" s="1">
        <f>IFERROR(__xludf.DUMMYFUNCTION("""COMPUTED_VALUE"""),87483.4765625)</f>
        <v>87483.47656</v>
      </c>
      <c r="S45" s="1"/>
      <c r="T45" s="1"/>
      <c r="U45" s="1">
        <f>IFERROR(__xludf.DUMMYFUNCTION("""COMPUTED_VALUE"""),0.0)</f>
        <v>0</v>
      </c>
      <c r="V45" s="1"/>
      <c r="W45" s="1"/>
      <c r="X45" s="1">
        <f>IFERROR(__xludf.DUMMYFUNCTION("""COMPUTED_VALUE"""),0.0)</f>
        <v>0</v>
      </c>
      <c r="Y45" s="1">
        <f>IFERROR(__xludf.DUMMYFUNCTION("""COMPUTED_VALUE"""),200000.0)</f>
        <v>200000</v>
      </c>
      <c r="Z45" s="1">
        <f>IFERROR(__xludf.DUMMYFUNCTION("""COMPUTED_VALUE"""),1.0)</f>
        <v>1</v>
      </c>
      <c r="AA45" s="1">
        <f>IFERROR(__xludf.DUMMYFUNCTION("""COMPUTED_VALUE"""),194000.0)</f>
        <v>194000</v>
      </c>
      <c r="AB45" s="1">
        <f>IFERROR(__xludf.DUMMYFUNCTION("""COMPUTED_VALUE"""),14.0)</f>
        <v>14</v>
      </c>
      <c r="AC45" s="1"/>
      <c r="AD45" s="1"/>
      <c r="AE45" s="1">
        <f>IFERROR(__xludf.DUMMYFUNCTION("""COMPUTED_VALUE"""),0.0)</f>
        <v>0</v>
      </c>
      <c r="AF45" s="1">
        <f>IFERROR(__xludf.DUMMYFUNCTION("""COMPUTED_VALUE"""),87483.4765625)</f>
        <v>87483.47656</v>
      </c>
      <c r="AG45" s="1"/>
      <c r="AH45" s="1"/>
      <c r="AI45" s="1">
        <f>IFERROR(__xludf.DUMMYFUNCTION("""COMPUTED_VALUE"""),0.0)</f>
        <v>0</v>
      </c>
      <c r="AJ45" s="1"/>
      <c r="AK45" s="1"/>
      <c r="AL45" s="1">
        <f>IFERROR(__xludf.DUMMYFUNCTION("""COMPUTED_VALUE"""),0.0)</f>
        <v>0</v>
      </c>
      <c r="AM45" s="1">
        <f>IFERROR(__xludf.DUMMYFUNCTION("""COMPUTED_VALUE"""),198000.0)</f>
        <v>198000</v>
      </c>
      <c r="AN45" s="1">
        <f>IFERROR(__xludf.DUMMYFUNCTION("""COMPUTED_VALUE"""),1.0)</f>
        <v>1</v>
      </c>
      <c r="AO45" s="1">
        <f>IFERROR(__xludf.DUMMYFUNCTION("""COMPUTED_VALUE"""),198000.0)</f>
        <v>198000</v>
      </c>
      <c r="AP45" s="1">
        <f>IFERROR(__xludf.DUMMYFUNCTION("""COMPUTED_VALUE"""),33.0)</f>
        <v>33</v>
      </c>
      <c r="AQ45" s="1">
        <f>IFERROR(__xludf.DUMMYFUNCTION("""COMPUTED_VALUE"""),1.0)</f>
        <v>1</v>
      </c>
      <c r="AR45" s="1">
        <f>IFERROR(__xludf.DUMMYFUNCTION("""COMPUTED_VALUE"""),1.0)</f>
        <v>1</v>
      </c>
      <c r="AS45" s="1">
        <f>IFERROR(__xludf.DUMMYFUNCTION("""COMPUTED_VALUE"""),1.0)</f>
        <v>1</v>
      </c>
    </row>
    <row r="46">
      <c r="A46" s="1" t="str">
        <f>IFERROR(__xludf.DUMMYFUNCTION("""COMPUTED_VALUE"""),"BHP")</f>
        <v>BHP</v>
      </c>
      <c r="B46" s="1"/>
      <c r="C46" s="1"/>
      <c r="D46" s="1">
        <f>IFERROR(__xludf.DUMMYFUNCTION("""COMPUTED_VALUE"""),4240.0)</f>
        <v>4240</v>
      </c>
      <c r="E46" s="1">
        <f>IFERROR(__xludf.DUMMYFUNCTION("""COMPUTED_VALUE"""),122.0)</f>
        <v>122</v>
      </c>
      <c r="F46" s="1">
        <f>IFERROR(__xludf.DUMMYFUNCTION("""COMPUTED_VALUE"""),4240.0)</f>
        <v>4240</v>
      </c>
      <c r="G46" s="1">
        <f>IFERROR(__xludf.DUMMYFUNCTION("""COMPUTED_VALUE"""),3851.0)</f>
        <v>3851</v>
      </c>
      <c r="H46" s="1">
        <f>IFERROR(__xludf.DUMMYFUNCTION("""COMPUTED_VALUE"""),30.0)</f>
        <v>30</v>
      </c>
      <c r="I46" s="1">
        <f>IFERROR(__xludf.DUMMYFUNCTION("""COMPUTED_VALUE"""),3250.0)</f>
        <v>3250</v>
      </c>
      <c r="J46" s="1">
        <f>IFERROR(__xludf.DUMMYFUNCTION("""COMPUTED_VALUE"""),1158.0)</f>
        <v>1158</v>
      </c>
      <c r="K46" s="1">
        <f>IFERROR(__xludf.DUMMYFUNCTION("""COMPUTED_VALUE"""),3780.0)</f>
        <v>3780</v>
      </c>
      <c r="L46" s="1">
        <f>IFERROR(__xludf.DUMMYFUNCTION("""COMPUTED_VALUE"""),53.0)</f>
        <v>53</v>
      </c>
      <c r="M46" s="1">
        <f>IFERROR(__xludf.DUMMYFUNCTION("""COMPUTED_VALUE"""),3780.0)</f>
        <v>3780</v>
      </c>
      <c r="N46" s="1">
        <f>IFERROR(__xludf.DUMMYFUNCTION("""COMPUTED_VALUE"""),1314.0)</f>
        <v>1314</v>
      </c>
      <c r="O46" s="1">
        <f>IFERROR(__xludf.DUMMYFUNCTION("""COMPUTED_VALUE"""),25.0)</f>
        <v>25</v>
      </c>
      <c r="P46" s="1">
        <f>IFERROR(__xludf.DUMMYFUNCTION("""COMPUTED_VALUE"""),3000.0)</f>
        <v>3000</v>
      </c>
      <c r="Q46" s="1">
        <f>IFERROR(__xludf.DUMMYFUNCTION("""COMPUTED_VALUE"""),256.0)</f>
        <v>256</v>
      </c>
      <c r="R46" s="1">
        <f>IFERROR(__xludf.DUMMYFUNCTION("""COMPUTED_VALUE"""),1500.0)</f>
        <v>1500</v>
      </c>
      <c r="S46" s="1"/>
      <c r="T46" s="1"/>
      <c r="U46" s="1">
        <f>IFERROR(__xludf.DUMMYFUNCTION("""COMPUTED_VALUE"""),0.0)</f>
        <v>0</v>
      </c>
      <c r="V46" s="1"/>
      <c r="W46" s="1"/>
      <c r="X46" s="1">
        <f>IFERROR(__xludf.DUMMYFUNCTION("""COMPUTED_VALUE"""),0.0)</f>
        <v>0</v>
      </c>
      <c r="Y46" s="1">
        <f>IFERROR(__xludf.DUMMYFUNCTION("""COMPUTED_VALUE"""),3610.0)</f>
        <v>3610</v>
      </c>
      <c r="Z46" s="1">
        <f>IFERROR(__xludf.DUMMYFUNCTION("""COMPUTED_VALUE"""),1176.0)</f>
        <v>1176</v>
      </c>
      <c r="AA46" s="1">
        <f>IFERROR(__xludf.DUMMYFUNCTION("""COMPUTED_VALUE"""),3610.0)</f>
        <v>3610</v>
      </c>
      <c r="AB46" s="1">
        <f>IFERROR(__xludf.DUMMYFUNCTION("""COMPUTED_VALUE"""),15235.0)</f>
        <v>15235</v>
      </c>
      <c r="AC46" s="1">
        <f>IFERROR(__xludf.DUMMYFUNCTION("""COMPUTED_VALUE"""),1.0)</f>
        <v>1</v>
      </c>
      <c r="AD46" s="1">
        <f>IFERROR(__xludf.DUMMYFUNCTION("""COMPUTED_VALUE"""),3010.0)</f>
        <v>3010</v>
      </c>
      <c r="AE46" s="1">
        <f>IFERROR(__xludf.DUMMYFUNCTION("""COMPUTED_VALUE"""),2325.0)</f>
        <v>2325</v>
      </c>
      <c r="AF46" s="1">
        <f>IFERROR(__xludf.DUMMYFUNCTION("""COMPUTED_VALUE"""),3700.0)</f>
        <v>3700</v>
      </c>
      <c r="AG46" s="1">
        <f>IFERROR(__xludf.DUMMYFUNCTION("""COMPUTED_VALUE"""),36.0)</f>
        <v>36</v>
      </c>
      <c r="AH46" s="1">
        <f>IFERROR(__xludf.DUMMYFUNCTION("""COMPUTED_VALUE"""),3700.0)</f>
        <v>3700</v>
      </c>
      <c r="AI46" s="1">
        <f>IFERROR(__xludf.DUMMYFUNCTION("""COMPUTED_VALUE"""),121.0)</f>
        <v>121</v>
      </c>
      <c r="AJ46" s="1"/>
      <c r="AK46" s="1"/>
      <c r="AL46" s="1">
        <f>IFERROR(__xludf.DUMMYFUNCTION("""COMPUTED_VALUE"""),0.0)</f>
        <v>0</v>
      </c>
      <c r="AM46" s="1">
        <f>IFERROR(__xludf.DUMMYFUNCTION("""COMPUTED_VALUE"""),4390.0)</f>
        <v>4390</v>
      </c>
      <c r="AN46" s="1">
        <f>IFERROR(__xludf.DUMMYFUNCTION("""COMPUTED_VALUE"""),50.0)</f>
        <v>50</v>
      </c>
      <c r="AO46" s="1">
        <f>IFERROR(__xludf.DUMMYFUNCTION("""COMPUTED_VALUE"""),4390.0)</f>
        <v>4390</v>
      </c>
      <c r="AP46" s="1">
        <f>IFERROR(__xludf.DUMMYFUNCTION("""COMPUTED_VALUE"""),1372.0)</f>
        <v>1372</v>
      </c>
      <c r="AQ46" s="1">
        <f>IFERROR(__xludf.DUMMYFUNCTION("""COMPUTED_VALUE"""),40.0)</f>
        <v>40</v>
      </c>
      <c r="AR46" s="1">
        <f>IFERROR(__xludf.DUMMYFUNCTION("""COMPUTED_VALUE"""),3840.0)</f>
        <v>3840</v>
      </c>
      <c r="AS46" s="1">
        <f>IFERROR(__xludf.DUMMYFUNCTION("""COMPUTED_VALUE"""),228.0)</f>
        <v>228</v>
      </c>
    </row>
    <row r="47">
      <c r="A47" s="1" t="str">
        <f>IFERROR(__xludf.DUMMYFUNCTION("""COMPUTED_VALUE"""),"BID")</f>
        <v>BID</v>
      </c>
      <c r="B47" s="1"/>
      <c r="C47" s="1"/>
      <c r="D47" s="1">
        <f>IFERROR(__xludf.DUMMYFUNCTION("""COMPUTED_VALUE"""),109000.0)</f>
        <v>109000</v>
      </c>
      <c r="E47" s="1">
        <f>IFERROR(__xludf.DUMMYFUNCTION("""COMPUTED_VALUE"""),14.0)</f>
        <v>14</v>
      </c>
      <c r="F47" s="1">
        <f>IFERROR(__xludf.DUMMYFUNCTION("""COMPUTED_VALUE"""),80000.0)</f>
        <v>80000</v>
      </c>
      <c r="G47" s="1">
        <f>IFERROR(__xludf.DUMMYFUNCTION("""COMPUTED_VALUE"""),147.0)</f>
        <v>147</v>
      </c>
      <c r="H47" s="1"/>
      <c r="I47" s="1"/>
      <c r="J47" s="1">
        <f>IFERROR(__xludf.DUMMYFUNCTION("""COMPUTED_VALUE"""),0.0)</f>
        <v>0</v>
      </c>
      <c r="K47" s="1">
        <f>IFERROR(__xludf.DUMMYFUNCTION("""COMPUTED_VALUE"""),3000.0)</f>
        <v>3000</v>
      </c>
      <c r="L47" s="1">
        <f>IFERROR(__xludf.DUMMYFUNCTION("""COMPUTED_VALUE"""),10.0)</f>
        <v>10</v>
      </c>
      <c r="M47" s="1">
        <f>IFERROR(__xludf.DUMMYFUNCTION("""COMPUTED_VALUE"""),100000.0)</f>
        <v>100000</v>
      </c>
      <c r="N47" s="1">
        <f>IFERROR(__xludf.DUMMYFUNCTION("""COMPUTED_VALUE"""),20.0)</f>
        <v>20</v>
      </c>
      <c r="O47" s="1"/>
      <c r="P47" s="1"/>
      <c r="Q47" s="1">
        <f>IFERROR(__xludf.DUMMYFUNCTION("""COMPUTED_VALUE"""),0.0)</f>
        <v>0</v>
      </c>
      <c r="R47" s="1">
        <f>IFERROR(__xludf.DUMMYFUNCTION("""COMPUTED_VALUE"""),24534.48046875)</f>
        <v>24534.48047</v>
      </c>
      <c r="S47" s="1"/>
      <c r="T47" s="1"/>
      <c r="U47" s="1">
        <f>IFERROR(__xludf.DUMMYFUNCTION("""COMPUTED_VALUE"""),0.0)</f>
        <v>0</v>
      </c>
      <c r="V47" s="1"/>
      <c r="W47" s="1"/>
      <c r="X47" s="1">
        <f>IFERROR(__xludf.DUMMYFUNCTION("""COMPUTED_VALUE"""),0.0)</f>
        <v>0</v>
      </c>
      <c r="Y47" s="1">
        <f>IFERROR(__xludf.DUMMYFUNCTION("""COMPUTED_VALUE"""),100000.0)</f>
        <v>100000</v>
      </c>
      <c r="Z47" s="1">
        <f>IFERROR(__xludf.DUMMYFUNCTION("""COMPUTED_VALUE"""),50.0)</f>
        <v>50</v>
      </c>
      <c r="AA47" s="1">
        <f>IFERROR(__xludf.DUMMYFUNCTION("""COMPUTED_VALUE"""),80000.0)</f>
        <v>80000</v>
      </c>
      <c r="AB47" s="1">
        <f>IFERROR(__xludf.DUMMYFUNCTION("""COMPUTED_VALUE"""),76.0)</f>
        <v>76</v>
      </c>
      <c r="AC47" s="1"/>
      <c r="AD47" s="1"/>
      <c r="AE47" s="1">
        <f>IFERROR(__xludf.DUMMYFUNCTION("""COMPUTED_VALUE"""),0.0)</f>
        <v>0</v>
      </c>
      <c r="AF47" s="1">
        <f>IFERROR(__xludf.DUMMYFUNCTION("""COMPUTED_VALUE"""),24534.48046875)</f>
        <v>24534.48047</v>
      </c>
      <c r="AG47" s="1"/>
      <c r="AH47" s="1"/>
      <c r="AI47" s="1">
        <f>IFERROR(__xludf.DUMMYFUNCTION("""COMPUTED_VALUE"""),0.0)</f>
        <v>0</v>
      </c>
      <c r="AJ47" s="1"/>
      <c r="AK47" s="1"/>
      <c r="AL47" s="1">
        <f>IFERROR(__xludf.DUMMYFUNCTION("""COMPUTED_VALUE"""),0.0)</f>
        <v>0</v>
      </c>
      <c r="AM47" s="1">
        <f>IFERROR(__xludf.DUMMYFUNCTION("""COMPUTED_VALUE"""),24534.48046875)</f>
        <v>24534.48047</v>
      </c>
      <c r="AN47" s="1">
        <f>IFERROR(__xludf.DUMMYFUNCTION("""COMPUTED_VALUE"""),10.0)</f>
        <v>10</v>
      </c>
      <c r="AO47" s="1">
        <f>IFERROR(__xludf.DUMMYFUNCTION("""COMPUTED_VALUE"""),100000.0)</f>
        <v>100000</v>
      </c>
      <c r="AP47" s="1">
        <f>IFERROR(__xludf.DUMMYFUNCTION("""COMPUTED_VALUE"""),10.0)</f>
        <v>10</v>
      </c>
      <c r="AQ47" s="1"/>
      <c r="AR47" s="1"/>
      <c r="AS47" s="1">
        <f>IFERROR(__xludf.DUMMYFUNCTION("""COMPUTED_VALUE"""),0.0)</f>
        <v>0</v>
      </c>
    </row>
    <row r="48">
      <c r="A48" s="1" t="str">
        <f>IFERROR(__xludf.DUMMYFUNCTION("""COMPUTED_VALUE"""),"BL")</f>
        <v>BL</v>
      </c>
      <c r="B48" s="1"/>
      <c r="C48" s="1"/>
      <c r="D48" s="1">
        <f>IFERROR(__xludf.DUMMYFUNCTION("""COMPUTED_VALUE"""),7980.0)</f>
        <v>7980</v>
      </c>
      <c r="E48" s="1">
        <f>IFERROR(__xludf.DUMMYFUNCTION("""COMPUTED_VALUE"""),257.0)</f>
        <v>257</v>
      </c>
      <c r="F48" s="1">
        <f>IFERROR(__xludf.DUMMYFUNCTION("""COMPUTED_VALUE"""),7960.0)</f>
        <v>7960</v>
      </c>
      <c r="G48" s="1">
        <f>IFERROR(__xludf.DUMMYFUNCTION("""COMPUTED_VALUE"""),1039.0)</f>
        <v>1039</v>
      </c>
      <c r="H48" s="1">
        <f>IFERROR(__xludf.DUMMYFUNCTION("""COMPUTED_VALUE"""),75.0)</f>
        <v>75</v>
      </c>
      <c r="I48" s="1">
        <f>IFERROR(__xludf.DUMMYFUNCTION("""COMPUTED_VALUE"""),6000.0)</f>
        <v>6000</v>
      </c>
      <c r="J48" s="1">
        <f>IFERROR(__xludf.DUMMYFUNCTION("""COMPUTED_VALUE"""),75.0)</f>
        <v>75</v>
      </c>
      <c r="K48" s="1">
        <f>IFERROR(__xludf.DUMMYFUNCTION("""COMPUTED_VALUE"""),5828.1201171875)</f>
        <v>5828.120117</v>
      </c>
      <c r="L48" s="1">
        <f>IFERROR(__xludf.DUMMYFUNCTION("""COMPUTED_VALUE"""),100.0)</f>
        <v>100</v>
      </c>
      <c r="M48" s="1">
        <f>IFERROR(__xludf.DUMMYFUNCTION("""COMPUTED_VALUE"""),7000.0)</f>
        <v>7000</v>
      </c>
      <c r="N48" s="1">
        <f>IFERROR(__xludf.DUMMYFUNCTION("""COMPUTED_VALUE"""),972.0)</f>
        <v>972</v>
      </c>
      <c r="O48" s="1">
        <f>IFERROR(__xludf.DUMMYFUNCTION("""COMPUTED_VALUE"""),100.0)</f>
        <v>100</v>
      </c>
      <c r="P48" s="1">
        <f>IFERROR(__xludf.DUMMYFUNCTION("""COMPUTED_VALUE"""),6000.0)</f>
        <v>6000</v>
      </c>
      <c r="Q48" s="1">
        <f>IFERROR(__xludf.DUMMYFUNCTION("""COMPUTED_VALUE"""),172.0)</f>
        <v>172</v>
      </c>
      <c r="R48" s="1">
        <f>IFERROR(__xludf.DUMMYFUNCTION("""COMPUTED_VALUE"""),4500.0)</f>
        <v>4500</v>
      </c>
      <c r="S48" s="1"/>
      <c r="T48" s="1"/>
      <c r="U48" s="1">
        <f>IFERROR(__xludf.DUMMYFUNCTION("""COMPUTED_VALUE"""),0.0)</f>
        <v>0</v>
      </c>
      <c r="V48" s="1"/>
      <c r="W48" s="1"/>
      <c r="X48" s="1">
        <f>IFERROR(__xludf.DUMMYFUNCTION("""COMPUTED_VALUE"""),0.0)</f>
        <v>0</v>
      </c>
      <c r="Y48" s="1">
        <f>IFERROR(__xludf.DUMMYFUNCTION("""COMPUTED_VALUE"""),5500.0)</f>
        <v>5500</v>
      </c>
      <c r="Z48" s="1">
        <f>IFERROR(__xludf.DUMMYFUNCTION("""COMPUTED_VALUE"""),4.0)</f>
        <v>4</v>
      </c>
      <c r="AA48" s="1">
        <f>IFERROR(__xludf.DUMMYFUNCTION("""COMPUTED_VALUE"""),8000.0)</f>
        <v>8000</v>
      </c>
      <c r="AB48" s="1">
        <f>IFERROR(__xludf.DUMMYFUNCTION("""COMPUTED_VALUE"""),363.0)</f>
        <v>363</v>
      </c>
      <c r="AC48" s="1">
        <f>IFERROR(__xludf.DUMMYFUNCTION("""COMPUTED_VALUE"""),92.0)</f>
        <v>92</v>
      </c>
      <c r="AD48" s="1">
        <f>IFERROR(__xludf.DUMMYFUNCTION("""COMPUTED_VALUE"""),5500.0)</f>
        <v>5500</v>
      </c>
      <c r="AE48" s="1">
        <f>IFERROR(__xludf.DUMMYFUNCTION("""COMPUTED_VALUE"""),312.0)</f>
        <v>312</v>
      </c>
      <c r="AF48" s="1">
        <f>IFERROR(__xludf.DUMMYFUNCTION("""COMPUTED_VALUE"""),2975.580078125)</f>
        <v>2975.580078</v>
      </c>
      <c r="AG48" s="1">
        <f>IFERROR(__xludf.DUMMYFUNCTION("""COMPUTED_VALUE"""),10.0)</f>
        <v>10</v>
      </c>
      <c r="AH48" s="1">
        <f>IFERROR(__xludf.DUMMYFUNCTION("""COMPUTED_VALUE"""),7500.0)</f>
        <v>7500</v>
      </c>
      <c r="AI48" s="1">
        <f>IFERROR(__xludf.DUMMYFUNCTION("""COMPUTED_VALUE"""),10.0)</f>
        <v>10</v>
      </c>
      <c r="AJ48" s="1"/>
      <c r="AK48" s="1"/>
      <c r="AL48" s="1">
        <f>IFERROR(__xludf.DUMMYFUNCTION("""COMPUTED_VALUE"""),0.0)</f>
        <v>0</v>
      </c>
      <c r="AM48" s="1">
        <f>IFERROR(__xludf.DUMMYFUNCTION("""COMPUTED_VALUE"""),8000.0)</f>
        <v>8000</v>
      </c>
      <c r="AN48" s="1">
        <f>IFERROR(__xludf.DUMMYFUNCTION("""COMPUTED_VALUE"""),22.0)</f>
        <v>22</v>
      </c>
      <c r="AO48" s="1">
        <f>IFERROR(__xludf.DUMMYFUNCTION("""COMPUTED_VALUE"""),8000.0)</f>
        <v>8000</v>
      </c>
      <c r="AP48" s="1">
        <f>IFERROR(__xludf.DUMMYFUNCTION("""COMPUTED_VALUE"""),75.0)</f>
        <v>75</v>
      </c>
      <c r="AQ48" s="1">
        <f>IFERROR(__xludf.DUMMYFUNCTION("""COMPUTED_VALUE"""),53.0)</f>
        <v>53</v>
      </c>
      <c r="AR48" s="1">
        <f>IFERROR(__xludf.DUMMYFUNCTION("""COMPUTED_VALUE"""),5500.0)</f>
        <v>5500</v>
      </c>
      <c r="AS48" s="1">
        <f>IFERROR(__xludf.DUMMYFUNCTION("""COMPUTED_VALUE"""),53.0)</f>
        <v>53</v>
      </c>
    </row>
    <row r="49">
      <c r="A49" s="1" t="str">
        <f>IFERROR(__xludf.DUMMYFUNCTION("""COMPUTED_VALUE"""),"BLE")</f>
        <v>BLE</v>
      </c>
      <c r="B49" s="1"/>
      <c r="C49" s="1"/>
      <c r="D49" s="1">
        <f>IFERROR(__xludf.DUMMYFUNCTION("""COMPUTED_VALUE"""),1820.33996582031)</f>
        <v>1820.339966</v>
      </c>
      <c r="E49" s="1">
        <f>IFERROR(__xludf.DUMMYFUNCTION("""COMPUTED_VALUE"""),398.0)</f>
        <v>398</v>
      </c>
      <c r="F49" s="1">
        <f>IFERROR(__xludf.DUMMYFUNCTION("""COMPUTED_VALUE"""),2550.0)</f>
        <v>2550</v>
      </c>
      <c r="G49" s="1">
        <f>IFERROR(__xludf.DUMMYFUNCTION("""COMPUTED_VALUE"""),3018.0)</f>
        <v>3018</v>
      </c>
      <c r="H49" s="1">
        <f>IFERROR(__xludf.DUMMYFUNCTION("""COMPUTED_VALUE"""),15.0)</f>
        <v>15</v>
      </c>
      <c r="I49" s="1">
        <f>IFERROR(__xludf.DUMMYFUNCTION("""COMPUTED_VALUE"""),1670.0)</f>
        <v>1670</v>
      </c>
      <c r="J49" s="1">
        <f>IFERROR(__xludf.DUMMYFUNCTION("""COMPUTED_VALUE"""),515.0)</f>
        <v>515</v>
      </c>
      <c r="K49" s="1">
        <f>IFERROR(__xludf.DUMMYFUNCTION("""COMPUTED_VALUE"""),2100.0)</f>
        <v>2100</v>
      </c>
      <c r="L49" s="1">
        <f>IFERROR(__xludf.DUMMYFUNCTION("""COMPUTED_VALUE"""),474.0)</f>
        <v>474</v>
      </c>
      <c r="M49" s="1">
        <f>IFERROR(__xludf.DUMMYFUNCTION("""COMPUTED_VALUE"""),2100.0)</f>
        <v>2100</v>
      </c>
      <c r="N49" s="1">
        <f>IFERROR(__xludf.DUMMYFUNCTION("""COMPUTED_VALUE"""),2877.0)</f>
        <v>2877</v>
      </c>
      <c r="O49" s="1">
        <f>IFERROR(__xludf.DUMMYFUNCTION("""COMPUTED_VALUE"""),100.0)</f>
        <v>100</v>
      </c>
      <c r="P49" s="1">
        <f>IFERROR(__xludf.DUMMYFUNCTION("""COMPUTED_VALUE"""),1650.0)</f>
        <v>1650</v>
      </c>
      <c r="Q49" s="1">
        <f>IFERROR(__xludf.DUMMYFUNCTION("""COMPUTED_VALUE"""),155.0)</f>
        <v>155</v>
      </c>
      <c r="R49" s="1">
        <f>IFERROR(__xludf.DUMMYFUNCTION("""COMPUTED_VALUE"""),1800.16003417968)</f>
        <v>1800.160034</v>
      </c>
      <c r="S49" s="1"/>
      <c r="T49" s="1"/>
      <c r="U49" s="1">
        <f>IFERROR(__xludf.DUMMYFUNCTION("""COMPUTED_VALUE"""),0.0)</f>
        <v>0</v>
      </c>
      <c r="V49" s="1"/>
      <c r="W49" s="1"/>
      <c r="X49" s="1">
        <f>IFERROR(__xludf.DUMMYFUNCTION("""COMPUTED_VALUE"""),0.0)</f>
        <v>0</v>
      </c>
      <c r="Y49" s="1">
        <f>IFERROR(__xludf.DUMMYFUNCTION("""COMPUTED_VALUE"""),2400.0)</f>
        <v>2400</v>
      </c>
      <c r="Z49" s="1">
        <f>IFERROR(__xludf.DUMMYFUNCTION("""COMPUTED_VALUE"""),3.0)</f>
        <v>3</v>
      </c>
      <c r="AA49" s="1">
        <f>IFERROR(__xludf.DUMMYFUNCTION("""COMPUTED_VALUE"""),2280.0)</f>
        <v>2280</v>
      </c>
      <c r="AB49" s="1">
        <f>IFERROR(__xludf.DUMMYFUNCTION("""COMPUTED_VALUE"""),1381.0)</f>
        <v>1381</v>
      </c>
      <c r="AC49" s="1">
        <f>IFERROR(__xludf.DUMMYFUNCTION("""COMPUTED_VALUE"""),200.0)</f>
        <v>200</v>
      </c>
      <c r="AD49" s="1">
        <f>IFERROR(__xludf.DUMMYFUNCTION("""COMPUTED_VALUE"""),1800.0)</f>
        <v>1800</v>
      </c>
      <c r="AE49" s="1">
        <f>IFERROR(__xludf.DUMMYFUNCTION("""COMPUTED_VALUE"""),400.0)</f>
        <v>400</v>
      </c>
      <c r="AF49" s="1">
        <f>IFERROR(__xludf.DUMMYFUNCTION("""COMPUTED_VALUE"""),1800.16003417968)</f>
        <v>1800.160034</v>
      </c>
      <c r="AG49" s="1">
        <f>IFERROR(__xludf.DUMMYFUNCTION("""COMPUTED_VALUE"""),10.0)</f>
        <v>10</v>
      </c>
      <c r="AH49" s="1">
        <f>IFERROR(__xludf.DUMMYFUNCTION("""COMPUTED_VALUE"""),2300.0)</f>
        <v>2300</v>
      </c>
      <c r="AI49" s="1">
        <f>IFERROR(__xludf.DUMMYFUNCTION("""COMPUTED_VALUE"""),10.0)</f>
        <v>10</v>
      </c>
      <c r="AJ49" s="1"/>
      <c r="AK49" s="1"/>
      <c r="AL49" s="1">
        <f>IFERROR(__xludf.DUMMYFUNCTION("""COMPUTED_VALUE"""),0.0)</f>
        <v>0</v>
      </c>
      <c r="AM49" s="1">
        <f>IFERROR(__xludf.DUMMYFUNCTION("""COMPUTED_VALUE"""),2300.0)</f>
        <v>2300</v>
      </c>
      <c r="AN49" s="1">
        <f>IFERROR(__xludf.DUMMYFUNCTION("""COMPUTED_VALUE"""),328.0)</f>
        <v>328</v>
      </c>
      <c r="AO49" s="1">
        <f>IFERROR(__xludf.DUMMYFUNCTION("""COMPUTED_VALUE"""),2300.0)</f>
        <v>2300</v>
      </c>
      <c r="AP49" s="1">
        <f>IFERROR(__xludf.DUMMYFUNCTION("""COMPUTED_VALUE"""),902.0)</f>
        <v>902</v>
      </c>
      <c r="AQ49" s="1">
        <f>IFERROR(__xludf.DUMMYFUNCTION("""COMPUTED_VALUE"""),500.0)</f>
        <v>500</v>
      </c>
      <c r="AR49" s="1">
        <f>IFERROR(__xludf.DUMMYFUNCTION("""COMPUTED_VALUE"""),501.0)</f>
        <v>501</v>
      </c>
      <c r="AS49" s="1">
        <f>IFERROR(__xludf.DUMMYFUNCTION("""COMPUTED_VALUE"""),549.0)</f>
        <v>549</v>
      </c>
    </row>
    <row r="50">
      <c r="A50" s="1" t="str">
        <f>IFERROR(__xludf.DUMMYFUNCTION("""COMPUTED_VALUE"""),"BMF")</f>
        <v>BMF</v>
      </c>
      <c r="B50" s="1"/>
      <c r="C50" s="1"/>
      <c r="D50" s="1">
        <f>IFERROR(__xludf.DUMMYFUNCTION("""COMPUTED_VALUE"""),33000.0)</f>
        <v>33000</v>
      </c>
      <c r="E50" s="1">
        <f>IFERROR(__xludf.DUMMYFUNCTION("""COMPUTED_VALUE"""),57.0)</f>
        <v>57</v>
      </c>
      <c r="F50" s="1">
        <f>IFERROR(__xludf.DUMMYFUNCTION("""COMPUTED_VALUE"""),33000.0)</f>
        <v>33000</v>
      </c>
      <c r="G50" s="1">
        <f>IFERROR(__xludf.DUMMYFUNCTION("""COMPUTED_VALUE"""),159.0)</f>
        <v>159</v>
      </c>
      <c r="H50" s="1">
        <f>IFERROR(__xludf.DUMMYFUNCTION("""COMPUTED_VALUE"""),3.0)</f>
        <v>3</v>
      </c>
      <c r="I50" s="1">
        <f>IFERROR(__xludf.DUMMYFUNCTION("""COMPUTED_VALUE"""),27200.0)</f>
        <v>27200</v>
      </c>
      <c r="J50" s="1">
        <f>IFERROR(__xludf.DUMMYFUNCTION("""COMPUTED_VALUE"""),314.0)</f>
        <v>314</v>
      </c>
      <c r="K50" s="1">
        <f>IFERROR(__xludf.DUMMYFUNCTION("""COMPUTED_VALUE"""),33800.0)</f>
        <v>33800</v>
      </c>
      <c r="L50" s="1">
        <f>IFERROR(__xludf.DUMMYFUNCTION("""COMPUTED_VALUE"""),3.0)</f>
        <v>3</v>
      </c>
      <c r="M50" s="1">
        <f>IFERROR(__xludf.DUMMYFUNCTION("""COMPUTED_VALUE"""),32500.0)</f>
        <v>32500</v>
      </c>
      <c r="N50" s="1">
        <f>IFERROR(__xludf.DUMMYFUNCTION("""COMPUTED_VALUE"""),46.0)</f>
        <v>46</v>
      </c>
      <c r="O50" s="1">
        <f>IFERROR(__xludf.DUMMYFUNCTION("""COMPUTED_VALUE"""),30.0)</f>
        <v>30</v>
      </c>
      <c r="P50" s="1">
        <f>IFERROR(__xludf.DUMMYFUNCTION("""COMPUTED_VALUE"""),24000.0)</f>
        <v>24000</v>
      </c>
      <c r="Q50" s="1">
        <f>IFERROR(__xludf.DUMMYFUNCTION("""COMPUTED_VALUE"""),30.0)</f>
        <v>30</v>
      </c>
      <c r="R50" s="1">
        <f>IFERROR(__xludf.DUMMYFUNCTION("""COMPUTED_VALUE"""),10932.1796875)</f>
        <v>10932.17969</v>
      </c>
      <c r="S50" s="1"/>
      <c r="T50" s="1"/>
      <c r="U50" s="1">
        <f>IFERROR(__xludf.DUMMYFUNCTION("""COMPUTED_VALUE"""),0.0)</f>
        <v>0</v>
      </c>
      <c r="V50" s="1">
        <f>IFERROR(__xludf.DUMMYFUNCTION("""COMPUTED_VALUE"""),5.0)</f>
        <v>5</v>
      </c>
      <c r="W50" s="1">
        <f>IFERROR(__xludf.DUMMYFUNCTION("""COMPUTED_VALUE"""),22000.0)</f>
        <v>22000</v>
      </c>
      <c r="X50" s="1">
        <f>IFERROR(__xludf.DUMMYFUNCTION("""COMPUTED_VALUE"""),5.0)</f>
        <v>5</v>
      </c>
      <c r="Y50" s="1">
        <f>IFERROR(__xludf.DUMMYFUNCTION("""COMPUTED_VALUE"""),31500.0)</f>
        <v>31500</v>
      </c>
      <c r="Z50" s="1">
        <f>IFERROR(__xludf.DUMMYFUNCTION("""COMPUTED_VALUE"""),16.0)</f>
        <v>16</v>
      </c>
      <c r="AA50" s="1">
        <f>IFERROR(__xludf.DUMMYFUNCTION("""COMPUTED_VALUE"""),31500.0)</f>
        <v>31500</v>
      </c>
      <c r="AB50" s="1">
        <f>IFERROR(__xludf.DUMMYFUNCTION("""COMPUTED_VALUE"""),621.0)</f>
        <v>621</v>
      </c>
      <c r="AC50" s="1">
        <f>IFERROR(__xludf.DUMMYFUNCTION("""COMPUTED_VALUE"""),18.0)</f>
        <v>18</v>
      </c>
      <c r="AD50" s="1">
        <f>IFERROR(__xludf.DUMMYFUNCTION("""COMPUTED_VALUE"""),27200.0)</f>
        <v>27200</v>
      </c>
      <c r="AE50" s="1">
        <f>IFERROR(__xludf.DUMMYFUNCTION("""COMPUTED_VALUE"""),242.0)</f>
        <v>242</v>
      </c>
      <c r="AF50" s="1">
        <f>IFERROR(__xludf.DUMMYFUNCTION("""COMPUTED_VALUE"""),10932.1796875)</f>
        <v>10932.17969</v>
      </c>
      <c r="AG50" s="1">
        <f>IFERROR(__xludf.DUMMYFUNCTION("""COMPUTED_VALUE"""),1.0)</f>
        <v>1</v>
      </c>
      <c r="AH50" s="1">
        <f>IFERROR(__xludf.DUMMYFUNCTION("""COMPUTED_VALUE"""),31000.0)</f>
        <v>31000</v>
      </c>
      <c r="AI50" s="1">
        <f>IFERROR(__xludf.DUMMYFUNCTION("""COMPUTED_VALUE"""),1.0)</f>
        <v>1</v>
      </c>
      <c r="AJ50" s="1"/>
      <c r="AK50" s="1"/>
      <c r="AL50" s="1">
        <f>IFERROR(__xludf.DUMMYFUNCTION("""COMPUTED_VALUE"""),0.0)</f>
        <v>0</v>
      </c>
      <c r="AM50" s="1">
        <f>IFERROR(__xludf.DUMMYFUNCTION("""COMPUTED_VALUE"""),32500.0)</f>
        <v>32500</v>
      </c>
      <c r="AN50" s="1">
        <f>IFERROR(__xludf.DUMMYFUNCTION("""COMPUTED_VALUE"""),49.0)</f>
        <v>49</v>
      </c>
      <c r="AO50" s="1">
        <f>IFERROR(__xludf.DUMMYFUNCTION("""COMPUTED_VALUE"""),32500.0)</f>
        <v>32500</v>
      </c>
      <c r="AP50" s="1">
        <f>IFERROR(__xludf.DUMMYFUNCTION("""COMPUTED_VALUE"""),49.0)</f>
        <v>49</v>
      </c>
      <c r="AQ50" s="1">
        <f>IFERROR(__xludf.DUMMYFUNCTION("""COMPUTED_VALUE"""),19.0)</f>
        <v>19</v>
      </c>
      <c r="AR50" s="1">
        <f>IFERROR(__xludf.DUMMYFUNCTION("""COMPUTED_VALUE"""),30000.0)</f>
        <v>30000</v>
      </c>
      <c r="AS50" s="1">
        <f>IFERROR(__xludf.DUMMYFUNCTION("""COMPUTED_VALUE"""),96.0)</f>
        <v>96</v>
      </c>
    </row>
    <row r="51">
      <c r="A51" s="1" t="str">
        <f>IFERROR(__xludf.DUMMYFUNCTION("""COMPUTED_VALUE"""),"BND")</f>
        <v>BND</v>
      </c>
      <c r="B51" s="1"/>
      <c r="C51" s="1"/>
      <c r="D51" s="1">
        <f>IFERROR(__xludf.DUMMYFUNCTION("""COMPUTED_VALUE"""),225.0)</f>
        <v>225</v>
      </c>
      <c r="E51" s="1">
        <f>IFERROR(__xludf.DUMMYFUNCTION("""COMPUTED_VALUE"""),1000.0)</f>
        <v>1000</v>
      </c>
      <c r="F51" s="1">
        <f>IFERROR(__xludf.DUMMYFUNCTION("""COMPUTED_VALUE"""),230.0)</f>
        <v>230</v>
      </c>
      <c r="G51" s="1">
        <f>IFERROR(__xludf.DUMMYFUNCTION("""COMPUTED_VALUE"""),1000.0)</f>
        <v>1000</v>
      </c>
      <c r="H51" s="1"/>
      <c r="I51" s="1"/>
      <c r="J51" s="1">
        <f>IFERROR(__xludf.DUMMYFUNCTION("""COMPUTED_VALUE"""),0.0)</f>
        <v>0</v>
      </c>
      <c r="K51" s="1">
        <f>IFERROR(__xludf.DUMMYFUNCTION("""COMPUTED_VALUE"""),300.0)</f>
        <v>300</v>
      </c>
      <c r="L51" s="1">
        <f>IFERROR(__xludf.DUMMYFUNCTION("""COMPUTED_VALUE"""),200.0)</f>
        <v>200</v>
      </c>
      <c r="M51" s="1">
        <f>IFERROR(__xludf.DUMMYFUNCTION("""COMPUTED_VALUE"""),325.0)</f>
        <v>325</v>
      </c>
      <c r="N51" s="1">
        <f>IFERROR(__xludf.DUMMYFUNCTION("""COMPUTED_VALUE"""),200.0)</f>
        <v>200</v>
      </c>
      <c r="O51" s="1"/>
      <c r="P51" s="1"/>
      <c r="Q51" s="1">
        <f>IFERROR(__xludf.DUMMYFUNCTION("""COMPUTED_VALUE"""),0.0)</f>
        <v>0</v>
      </c>
      <c r="R51" s="1">
        <f>IFERROR(__xludf.DUMMYFUNCTION("""COMPUTED_VALUE"""),269.899993896484)</f>
        <v>269.8999939</v>
      </c>
      <c r="S51" s="1"/>
      <c r="T51" s="1"/>
      <c r="U51" s="1">
        <f>IFERROR(__xludf.DUMMYFUNCTION("""COMPUTED_VALUE"""),0.0)</f>
        <v>0</v>
      </c>
      <c r="V51" s="1"/>
      <c r="W51" s="1"/>
      <c r="X51" s="1">
        <f>IFERROR(__xludf.DUMMYFUNCTION("""COMPUTED_VALUE"""),0.0)</f>
        <v>0</v>
      </c>
      <c r="Y51" s="1">
        <f>IFERROR(__xludf.DUMMYFUNCTION("""COMPUTED_VALUE"""),225.0)</f>
        <v>225</v>
      </c>
      <c r="Z51" s="1">
        <f>IFERROR(__xludf.DUMMYFUNCTION("""COMPUTED_VALUE"""),818.0)</f>
        <v>818</v>
      </c>
      <c r="AA51" s="1">
        <f>IFERROR(__xludf.DUMMYFUNCTION("""COMPUTED_VALUE"""),225.0)</f>
        <v>225</v>
      </c>
      <c r="AB51" s="1">
        <f>IFERROR(__xludf.DUMMYFUNCTION("""COMPUTED_VALUE"""),818.0)</f>
        <v>818</v>
      </c>
      <c r="AC51" s="1">
        <f>IFERROR(__xludf.DUMMYFUNCTION("""COMPUTED_VALUE"""),53.0)</f>
        <v>53</v>
      </c>
      <c r="AD51" s="1">
        <f>IFERROR(__xludf.DUMMYFUNCTION("""COMPUTED_VALUE"""),200.0)</f>
        <v>200</v>
      </c>
      <c r="AE51" s="1">
        <f>IFERROR(__xludf.DUMMYFUNCTION("""COMPUTED_VALUE"""),63.0)</f>
        <v>63</v>
      </c>
      <c r="AF51" s="1">
        <f>IFERROR(__xludf.DUMMYFUNCTION("""COMPUTED_VALUE"""),500.0)</f>
        <v>500</v>
      </c>
      <c r="AG51" s="1"/>
      <c r="AH51" s="1"/>
      <c r="AI51" s="1">
        <f>IFERROR(__xludf.DUMMYFUNCTION("""COMPUTED_VALUE"""),0.0)</f>
        <v>0</v>
      </c>
      <c r="AJ51" s="1"/>
      <c r="AK51" s="1"/>
      <c r="AL51" s="1">
        <f>IFERROR(__xludf.DUMMYFUNCTION("""COMPUTED_VALUE"""),0.0)</f>
        <v>0</v>
      </c>
      <c r="AM51" s="1">
        <f>IFERROR(__xludf.DUMMYFUNCTION("""COMPUTED_VALUE"""),190.0)</f>
        <v>190</v>
      </c>
      <c r="AN51" s="1">
        <f>IFERROR(__xludf.DUMMYFUNCTION("""COMPUTED_VALUE"""),5175.0)</f>
        <v>5175</v>
      </c>
      <c r="AO51" s="1">
        <f>IFERROR(__xludf.DUMMYFUNCTION("""COMPUTED_VALUE"""),190.0)</f>
        <v>190</v>
      </c>
      <c r="AP51" s="1">
        <f>IFERROR(__xludf.DUMMYFUNCTION("""COMPUTED_VALUE"""),5175.0)</f>
        <v>5175</v>
      </c>
      <c r="AQ51" s="1"/>
      <c r="AR51" s="1"/>
      <c r="AS51" s="1">
        <f>IFERROR(__xludf.DUMMYFUNCTION("""COMPUTED_VALUE"""),0.0)</f>
        <v>0</v>
      </c>
    </row>
    <row r="52">
      <c r="A52" s="1" t="str">
        <f>IFERROR(__xludf.DUMMYFUNCTION("""COMPUTED_VALUE"""),"BOR")</f>
        <v>BOR</v>
      </c>
      <c r="B52" s="1"/>
      <c r="C52" s="1"/>
      <c r="D52" s="1">
        <f>IFERROR(__xludf.DUMMYFUNCTION("""COMPUTED_VALUE"""),450.0)</f>
        <v>450</v>
      </c>
      <c r="E52" s="1">
        <f>IFERROR(__xludf.DUMMYFUNCTION("""COMPUTED_VALUE"""),5057.0)</f>
        <v>5057</v>
      </c>
      <c r="F52" s="1">
        <f>IFERROR(__xludf.DUMMYFUNCTION("""COMPUTED_VALUE"""),450.0)</f>
        <v>450</v>
      </c>
      <c r="G52" s="1">
        <f>IFERROR(__xludf.DUMMYFUNCTION("""COMPUTED_VALUE"""),25667.0)</f>
        <v>25667</v>
      </c>
      <c r="H52" s="1">
        <f>IFERROR(__xludf.DUMMYFUNCTION("""COMPUTED_VALUE"""),200.0)</f>
        <v>200</v>
      </c>
      <c r="I52" s="1">
        <f>IFERROR(__xludf.DUMMYFUNCTION("""COMPUTED_VALUE"""),261.0)</f>
        <v>261</v>
      </c>
      <c r="J52" s="1">
        <f>IFERROR(__xludf.DUMMYFUNCTION("""COMPUTED_VALUE"""),1946.0)</f>
        <v>1946</v>
      </c>
      <c r="K52" s="1">
        <f>IFERROR(__xludf.DUMMYFUNCTION("""COMPUTED_VALUE"""),550.0)</f>
        <v>550</v>
      </c>
      <c r="L52" s="1">
        <f>IFERROR(__xludf.DUMMYFUNCTION("""COMPUTED_VALUE"""),544.0)</f>
        <v>544</v>
      </c>
      <c r="M52" s="1">
        <f>IFERROR(__xludf.DUMMYFUNCTION("""COMPUTED_VALUE"""),550.0)</f>
        <v>550</v>
      </c>
      <c r="N52" s="1">
        <f>IFERROR(__xludf.DUMMYFUNCTION("""COMPUTED_VALUE"""),5497.0)</f>
        <v>5497</v>
      </c>
      <c r="O52" s="1">
        <f>IFERROR(__xludf.DUMMYFUNCTION("""COMPUTED_VALUE"""),20.0)</f>
        <v>20</v>
      </c>
      <c r="P52" s="1">
        <f>IFERROR(__xludf.DUMMYFUNCTION("""COMPUTED_VALUE"""),331.0)</f>
        <v>331</v>
      </c>
      <c r="Q52" s="1">
        <f>IFERROR(__xludf.DUMMYFUNCTION("""COMPUTED_VALUE"""),170.0)</f>
        <v>170</v>
      </c>
      <c r="R52" s="1">
        <f>IFERROR(__xludf.DUMMYFUNCTION("""COMPUTED_VALUE"""),300.0)</f>
        <v>300</v>
      </c>
      <c r="S52" s="1"/>
      <c r="T52" s="1"/>
      <c r="U52" s="1">
        <f>IFERROR(__xludf.DUMMYFUNCTION("""COMPUTED_VALUE"""),0.0)</f>
        <v>0</v>
      </c>
      <c r="V52" s="1">
        <f>IFERROR(__xludf.DUMMYFUNCTION("""COMPUTED_VALUE"""),300.0)</f>
        <v>300</v>
      </c>
      <c r="W52" s="1">
        <f>IFERROR(__xludf.DUMMYFUNCTION("""COMPUTED_VALUE"""),225.0)</f>
        <v>225</v>
      </c>
      <c r="X52" s="1">
        <f>IFERROR(__xludf.DUMMYFUNCTION("""COMPUTED_VALUE"""),300.0)</f>
        <v>300</v>
      </c>
      <c r="Y52" s="1">
        <f>IFERROR(__xludf.DUMMYFUNCTION("""COMPUTED_VALUE"""),425.0)</f>
        <v>425</v>
      </c>
      <c r="Z52" s="1">
        <f>IFERROR(__xludf.DUMMYFUNCTION("""COMPUTED_VALUE"""),95.0)</f>
        <v>95</v>
      </c>
      <c r="AA52" s="1">
        <f>IFERROR(__xludf.DUMMYFUNCTION("""COMPUTED_VALUE"""),425.0)</f>
        <v>425</v>
      </c>
      <c r="AB52" s="1">
        <f>IFERROR(__xludf.DUMMYFUNCTION("""COMPUTED_VALUE"""),35815.0)</f>
        <v>35815</v>
      </c>
      <c r="AC52" s="1">
        <f>IFERROR(__xludf.DUMMYFUNCTION("""COMPUTED_VALUE"""),60.0)</f>
        <v>60</v>
      </c>
      <c r="AD52" s="1">
        <f>IFERROR(__xludf.DUMMYFUNCTION("""COMPUTED_VALUE"""),302.0)</f>
        <v>302</v>
      </c>
      <c r="AE52" s="1">
        <f>IFERROR(__xludf.DUMMYFUNCTION("""COMPUTED_VALUE"""),5145.0)</f>
        <v>5145</v>
      </c>
      <c r="AF52" s="1">
        <f>IFERROR(__xludf.DUMMYFUNCTION("""COMPUTED_VALUE"""),550.0)</f>
        <v>550</v>
      </c>
      <c r="AG52" s="1"/>
      <c r="AH52" s="1"/>
      <c r="AI52" s="1">
        <f>IFERROR(__xludf.DUMMYFUNCTION("""COMPUTED_VALUE"""),0.0)</f>
        <v>0</v>
      </c>
      <c r="AJ52" s="1">
        <f>IFERROR(__xludf.DUMMYFUNCTION("""COMPUTED_VALUE"""),50.0)</f>
        <v>50</v>
      </c>
      <c r="AK52" s="1">
        <f>IFERROR(__xludf.DUMMYFUNCTION("""COMPUTED_VALUE"""),130.0)</f>
        <v>130</v>
      </c>
      <c r="AL52" s="1">
        <f>IFERROR(__xludf.DUMMYFUNCTION("""COMPUTED_VALUE"""),250.0)</f>
        <v>250</v>
      </c>
      <c r="AM52" s="1">
        <f>IFERROR(__xludf.DUMMYFUNCTION("""COMPUTED_VALUE"""),300.0)</f>
        <v>300</v>
      </c>
      <c r="AN52" s="1">
        <f>IFERROR(__xludf.DUMMYFUNCTION("""COMPUTED_VALUE"""),137.0)</f>
        <v>137</v>
      </c>
      <c r="AO52" s="1">
        <f>IFERROR(__xludf.DUMMYFUNCTION("""COMPUTED_VALUE"""),500.0)</f>
        <v>500</v>
      </c>
      <c r="AP52" s="1">
        <f>IFERROR(__xludf.DUMMYFUNCTION("""COMPUTED_VALUE"""),877.0)</f>
        <v>877</v>
      </c>
      <c r="AQ52" s="1"/>
      <c r="AR52" s="1"/>
      <c r="AS52" s="1">
        <f>IFERROR(__xludf.DUMMYFUNCTION("""COMPUTED_VALUE"""),0.0)</f>
        <v>0</v>
      </c>
    </row>
    <row r="53">
      <c r="A53" s="1" t="str">
        <f>IFERROR(__xludf.DUMMYFUNCTION("""COMPUTED_VALUE"""),"BOS")</f>
        <v>BOS</v>
      </c>
      <c r="B53" s="1"/>
      <c r="C53" s="1"/>
      <c r="D53" s="1">
        <f>IFERROR(__xludf.DUMMYFUNCTION("""COMPUTED_VALUE"""),5340.0)</f>
        <v>5340</v>
      </c>
      <c r="E53" s="1">
        <f>IFERROR(__xludf.DUMMYFUNCTION("""COMPUTED_VALUE"""),354.0)</f>
        <v>354</v>
      </c>
      <c r="F53" s="1">
        <f>IFERROR(__xludf.DUMMYFUNCTION("""COMPUTED_VALUE"""),5340.0)</f>
        <v>5340</v>
      </c>
      <c r="G53" s="1">
        <f>IFERROR(__xludf.DUMMYFUNCTION("""COMPUTED_VALUE"""),354.0)</f>
        <v>354</v>
      </c>
      <c r="H53" s="1">
        <f>IFERROR(__xludf.DUMMYFUNCTION("""COMPUTED_VALUE"""),60.0)</f>
        <v>60</v>
      </c>
      <c r="I53" s="1">
        <f>IFERROR(__xludf.DUMMYFUNCTION("""COMPUTED_VALUE"""),3270.0)</f>
        <v>3270</v>
      </c>
      <c r="J53" s="1">
        <f>IFERROR(__xludf.DUMMYFUNCTION("""COMPUTED_VALUE"""),602.0)</f>
        <v>602</v>
      </c>
      <c r="K53" s="1">
        <f>IFERROR(__xludf.DUMMYFUNCTION("""COMPUTED_VALUE"""),4500.0)</f>
        <v>4500</v>
      </c>
      <c r="L53" s="1">
        <f>IFERROR(__xludf.DUMMYFUNCTION("""COMPUTED_VALUE"""),200.0)</f>
        <v>200</v>
      </c>
      <c r="M53" s="1">
        <f>IFERROR(__xludf.DUMMYFUNCTION("""COMPUTED_VALUE"""),4250.0)</f>
        <v>4250</v>
      </c>
      <c r="N53" s="1">
        <f>IFERROR(__xludf.DUMMYFUNCTION("""COMPUTED_VALUE"""),251.0)</f>
        <v>251</v>
      </c>
      <c r="O53" s="1">
        <f>IFERROR(__xludf.DUMMYFUNCTION("""COMPUTED_VALUE"""),60.0)</f>
        <v>60</v>
      </c>
      <c r="P53" s="1">
        <f>IFERROR(__xludf.DUMMYFUNCTION("""COMPUTED_VALUE"""),3200.0)</f>
        <v>3200</v>
      </c>
      <c r="Q53" s="1">
        <f>IFERROR(__xludf.DUMMYFUNCTION("""COMPUTED_VALUE"""),60.0)</f>
        <v>60</v>
      </c>
      <c r="R53" s="1">
        <f>IFERROR(__xludf.DUMMYFUNCTION("""COMPUTED_VALUE"""),3250.0)</f>
        <v>3250</v>
      </c>
      <c r="S53" s="1"/>
      <c r="T53" s="1"/>
      <c r="U53" s="1">
        <f>IFERROR(__xludf.DUMMYFUNCTION("""COMPUTED_VALUE"""),0.0)</f>
        <v>0</v>
      </c>
      <c r="V53" s="1"/>
      <c r="W53" s="1"/>
      <c r="X53" s="1">
        <f>IFERROR(__xludf.DUMMYFUNCTION("""COMPUTED_VALUE"""),0.0)</f>
        <v>0</v>
      </c>
      <c r="Y53" s="1">
        <f>IFERROR(__xludf.DUMMYFUNCTION("""COMPUTED_VALUE"""),4500.0)</f>
        <v>4500</v>
      </c>
      <c r="Z53" s="1">
        <f>IFERROR(__xludf.DUMMYFUNCTION("""COMPUTED_VALUE"""),1295.0)</f>
        <v>1295</v>
      </c>
      <c r="AA53" s="1">
        <f>IFERROR(__xludf.DUMMYFUNCTION("""COMPUTED_VALUE"""),4500.0)</f>
        <v>4500</v>
      </c>
      <c r="AB53" s="1">
        <f>IFERROR(__xludf.DUMMYFUNCTION("""COMPUTED_VALUE"""),2831.0)</f>
        <v>2831</v>
      </c>
      <c r="AC53" s="1">
        <f>IFERROR(__xludf.DUMMYFUNCTION("""COMPUTED_VALUE"""),244.0)</f>
        <v>244</v>
      </c>
      <c r="AD53" s="1">
        <f>IFERROR(__xludf.DUMMYFUNCTION("""COMPUTED_VALUE"""),3810.0)</f>
        <v>3810</v>
      </c>
      <c r="AE53" s="1">
        <f>IFERROR(__xludf.DUMMYFUNCTION("""COMPUTED_VALUE"""),994.0)</f>
        <v>994</v>
      </c>
      <c r="AF53" s="1">
        <f>IFERROR(__xludf.DUMMYFUNCTION("""COMPUTED_VALUE"""),1907.81994628906)</f>
        <v>1907.819946</v>
      </c>
      <c r="AG53" s="1"/>
      <c r="AH53" s="1"/>
      <c r="AI53" s="1">
        <f>IFERROR(__xludf.DUMMYFUNCTION("""COMPUTED_VALUE"""),0.0)</f>
        <v>0</v>
      </c>
      <c r="AJ53" s="1"/>
      <c r="AK53" s="1"/>
      <c r="AL53" s="1">
        <f>IFERROR(__xludf.DUMMYFUNCTION("""COMPUTED_VALUE"""),0.0)</f>
        <v>0</v>
      </c>
      <c r="AM53" s="1">
        <f>IFERROR(__xludf.DUMMYFUNCTION("""COMPUTED_VALUE"""),4240.0)</f>
        <v>4240</v>
      </c>
      <c r="AN53" s="1">
        <f>IFERROR(__xludf.DUMMYFUNCTION("""COMPUTED_VALUE"""),1958.0)</f>
        <v>1958</v>
      </c>
      <c r="AO53" s="1">
        <f>IFERROR(__xludf.DUMMYFUNCTION("""COMPUTED_VALUE"""),4240.0)</f>
        <v>4240</v>
      </c>
      <c r="AP53" s="1">
        <f>IFERROR(__xludf.DUMMYFUNCTION("""COMPUTED_VALUE"""),2090.0)</f>
        <v>2090</v>
      </c>
      <c r="AQ53" s="1"/>
      <c r="AR53" s="1"/>
      <c r="AS53" s="1">
        <f>IFERROR(__xludf.DUMMYFUNCTION("""COMPUTED_VALUE"""),0.0)</f>
        <v>0</v>
      </c>
    </row>
    <row r="54">
      <c r="A54" s="1" t="str">
        <f>IFERROR(__xludf.DUMMYFUNCTION("""COMPUTED_VALUE"""),"BPT")</f>
        <v>BPT</v>
      </c>
      <c r="B54" s="1"/>
      <c r="C54" s="1"/>
      <c r="D54" s="1">
        <f>IFERROR(__xludf.DUMMYFUNCTION("""COMPUTED_VALUE"""),4000.0)</f>
        <v>4000</v>
      </c>
      <c r="E54" s="1">
        <f>IFERROR(__xludf.DUMMYFUNCTION("""COMPUTED_VALUE"""),100.0)</f>
        <v>100</v>
      </c>
      <c r="F54" s="1">
        <f>IFERROR(__xludf.DUMMYFUNCTION("""COMPUTED_VALUE"""),5000.0)</f>
        <v>5000</v>
      </c>
      <c r="G54" s="1">
        <f>IFERROR(__xludf.DUMMYFUNCTION("""COMPUTED_VALUE"""),106.0)</f>
        <v>106</v>
      </c>
      <c r="H54" s="1"/>
      <c r="I54" s="1"/>
      <c r="J54" s="1">
        <f>IFERROR(__xludf.DUMMYFUNCTION("""COMPUTED_VALUE"""),0.0)</f>
        <v>0</v>
      </c>
      <c r="K54" s="1">
        <f>IFERROR(__xludf.DUMMYFUNCTION("""COMPUTED_VALUE"""),8000.0)</f>
        <v>8000</v>
      </c>
      <c r="L54" s="1">
        <f>IFERROR(__xludf.DUMMYFUNCTION("""COMPUTED_VALUE"""),2.0)</f>
        <v>2</v>
      </c>
      <c r="M54" s="1">
        <f>IFERROR(__xludf.DUMMYFUNCTION("""COMPUTED_VALUE"""),8000.0)</f>
        <v>8000</v>
      </c>
      <c r="N54" s="1">
        <f>IFERROR(__xludf.DUMMYFUNCTION("""COMPUTED_VALUE"""),2.0)</f>
        <v>2</v>
      </c>
      <c r="O54" s="1"/>
      <c r="P54" s="1"/>
      <c r="Q54" s="1">
        <f>IFERROR(__xludf.DUMMYFUNCTION("""COMPUTED_VALUE"""),0.0)</f>
        <v>0</v>
      </c>
      <c r="R54" s="1">
        <f>IFERROR(__xludf.DUMMYFUNCTION("""COMPUTED_VALUE"""),2205.44995117187)</f>
        <v>2205.449951</v>
      </c>
      <c r="S54" s="1"/>
      <c r="T54" s="1"/>
      <c r="U54" s="1">
        <f>IFERROR(__xludf.DUMMYFUNCTION("""COMPUTED_VALUE"""),0.0)</f>
        <v>0</v>
      </c>
      <c r="V54" s="1"/>
      <c r="W54" s="1"/>
      <c r="X54" s="1">
        <f>IFERROR(__xludf.DUMMYFUNCTION("""COMPUTED_VALUE"""),0.0)</f>
        <v>0</v>
      </c>
      <c r="Y54" s="1">
        <f>IFERROR(__xludf.DUMMYFUNCTION("""COMPUTED_VALUE"""),8000.0)</f>
        <v>8000</v>
      </c>
      <c r="Z54" s="1">
        <f>IFERROR(__xludf.DUMMYFUNCTION("""COMPUTED_VALUE"""),65.0)</f>
        <v>65</v>
      </c>
      <c r="AA54" s="1">
        <f>IFERROR(__xludf.DUMMYFUNCTION("""COMPUTED_VALUE"""),8000.0)</f>
        <v>8000</v>
      </c>
      <c r="AB54" s="1">
        <f>IFERROR(__xludf.DUMMYFUNCTION("""COMPUTED_VALUE"""),2054.0)</f>
        <v>2054</v>
      </c>
      <c r="AC54" s="1"/>
      <c r="AD54" s="1"/>
      <c r="AE54" s="1">
        <f>IFERROR(__xludf.DUMMYFUNCTION("""COMPUTED_VALUE"""),0.0)</f>
        <v>0</v>
      </c>
      <c r="AF54" s="1">
        <f>IFERROR(__xludf.DUMMYFUNCTION("""COMPUTED_VALUE"""),2205.44995117187)</f>
        <v>2205.449951</v>
      </c>
      <c r="AG54" s="1"/>
      <c r="AH54" s="1"/>
      <c r="AI54" s="1">
        <f>IFERROR(__xludf.DUMMYFUNCTION("""COMPUTED_VALUE"""),0.0)</f>
        <v>0</v>
      </c>
      <c r="AJ54" s="1"/>
      <c r="AK54" s="1"/>
      <c r="AL54" s="1">
        <f>IFERROR(__xludf.DUMMYFUNCTION("""COMPUTED_VALUE"""),0.0)</f>
        <v>0</v>
      </c>
      <c r="AM54" s="1">
        <f>IFERROR(__xludf.DUMMYFUNCTION("""COMPUTED_VALUE"""),8000.0)</f>
        <v>8000</v>
      </c>
      <c r="AN54" s="1"/>
      <c r="AO54" s="1"/>
      <c r="AP54" s="1">
        <f>IFERROR(__xludf.DUMMYFUNCTION("""COMPUTED_VALUE"""),0.0)</f>
        <v>0</v>
      </c>
      <c r="AQ54" s="1"/>
      <c r="AR54" s="1"/>
      <c r="AS54" s="1">
        <f>IFERROR(__xludf.DUMMYFUNCTION("""COMPUTED_VALUE"""),0.0)</f>
        <v>0</v>
      </c>
    </row>
    <row r="55">
      <c r="A55" s="1" t="str">
        <f>IFERROR(__xludf.DUMMYFUNCTION("""COMPUTED_VALUE"""),"BR1")</f>
        <v>BR1</v>
      </c>
      <c r="B55" s="1"/>
      <c r="C55" s="1"/>
      <c r="D55" s="1">
        <f>IFERROR(__xludf.DUMMYFUNCTION("""COMPUTED_VALUE"""),930000.0)</f>
        <v>930000</v>
      </c>
      <c r="E55" s="1">
        <f>IFERROR(__xludf.DUMMYFUNCTION("""COMPUTED_VALUE"""),1.0)</f>
        <v>1</v>
      </c>
      <c r="F55" s="1">
        <f>IFERROR(__xludf.DUMMYFUNCTION("""COMPUTED_VALUE"""),929000.0)</f>
        <v>929000</v>
      </c>
      <c r="G55" s="1">
        <f>IFERROR(__xludf.DUMMYFUNCTION("""COMPUTED_VALUE"""),18.0)</f>
        <v>18</v>
      </c>
      <c r="H55" s="1">
        <f>IFERROR(__xludf.DUMMYFUNCTION("""COMPUTED_VALUE"""),1.0)</f>
        <v>1</v>
      </c>
      <c r="I55" s="1">
        <f>IFERROR(__xludf.DUMMYFUNCTION("""COMPUTED_VALUE"""),750000.0)</f>
        <v>750000</v>
      </c>
      <c r="J55" s="1">
        <f>IFERROR(__xludf.DUMMYFUNCTION("""COMPUTED_VALUE"""),6.0)</f>
        <v>6</v>
      </c>
      <c r="K55" s="1">
        <f>IFERROR(__xludf.DUMMYFUNCTION("""COMPUTED_VALUE"""),840000.0)</f>
        <v>840000</v>
      </c>
      <c r="L55" s="1">
        <f>IFERROR(__xludf.DUMMYFUNCTION("""COMPUTED_VALUE"""),1.0)</f>
        <v>1</v>
      </c>
      <c r="M55" s="1">
        <f>IFERROR(__xludf.DUMMYFUNCTION("""COMPUTED_VALUE"""),840000.0)</f>
        <v>840000</v>
      </c>
      <c r="N55" s="1">
        <f>IFERROR(__xludf.DUMMYFUNCTION("""COMPUTED_VALUE"""),14.0)</f>
        <v>14</v>
      </c>
      <c r="O55" s="1">
        <f>IFERROR(__xludf.DUMMYFUNCTION("""COMPUTED_VALUE"""),1.0)</f>
        <v>1</v>
      </c>
      <c r="P55" s="1">
        <f>IFERROR(__xludf.DUMMYFUNCTION("""COMPUTED_VALUE"""),700000.0)</f>
        <v>700000</v>
      </c>
      <c r="Q55" s="1">
        <f>IFERROR(__xludf.DUMMYFUNCTION("""COMPUTED_VALUE"""),3.0)</f>
        <v>3</v>
      </c>
      <c r="R55" s="1">
        <f>IFERROR(__xludf.DUMMYFUNCTION("""COMPUTED_VALUE"""),1300000.0)</f>
        <v>1300000</v>
      </c>
      <c r="S55" s="1"/>
      <c r="T55" s="1"/>
      <c r="U55" s="1">
        <f>IFERROR(__xludf.DUMMYFUNCTION("""COMPUTED_VALUE"""),0.0)</f>
        <v>0</v>
      </c>
      <c r="V55" s="1"/>
      <c r="W55" s="1"/>
      <c r="X55" s="1">
        <f>IFERROR(__xludf.DUMMYFUNCTION("""COMPUTED_VALUE"""),0.0)</f>
        <v>0</v>
      </c>
      <c r="Y55" s="1">
        <f>IFERROR(__xludf.DUMMYFUNCTION("""COMPUTED_VALUE"""),850000.0)</f>
        <v>850000</v>
      </c>
      <c r="Z55" s="1">
        <f>IFERROR(__xludf.DUMMYFUNCTION("""COMPUTED_VALUE"""),1.0)</f>
        <v>1</v>
      </c>
      <c r="AA55" s="1">
        <f>IFERROR(__xludf.DUMMYFUNCTION("""COMPUTED_VALUE"""),839000.0)</f>
        <v>839000</v>
      </c>
      <c r="AB55" s="1">
        <f>IFERROR(__xludf.DUMMYFUNCTION("""COMPUTED_VALUE"""),11.0)</f>
        <v>11</v>
      </c>
      <c r="AC55" s="1">
        <f>IFERROR(__xludf.DUMMYFUNCTION("""COMPUTED_VALUE"""),2.0)</f>
        <v>2</v>
      </c>
      <c r="AD55" s="1">
        <f>IFERROR(__xludf.DUMMYFUNCTION("""COMPUTED_VALUE"""),700000.0)</f>
        <v>700000</v>
      </c>
      <c r="AE55" s="1">
        <f>IFERROR(__xludf.DUMMYFUNCTION("""COMPUTED_VALUE"""),3.0)</f>
        <v>3</v>
      </c>
      <c r="AF55" s="1">
        <f>IFERROR(__xludf.DUMMYFUNCTION("""COMPUTED_VALUE"""),252956.640625)</f>
        <v>252956.6406</v>
      </c>
      <c r="AG55" s="1"/>
      <c r="AH55" s="1"/>
      <c r="AI55" s="1">
        <f>IFERROR(__xludf.DUMMYFUNCTION("""COMPUTED_VALUE"""),0.0)</f>
        <v>0</v>
      </c>
      <c r="AJ55" s="1"/>
      <c r="AK55" s="1"/>
      <c r="AL55" s="1">
        <f>IFERROR(__xludf.DUMMYFUNCTION("""COMPUTED_VALUE"""),0.0)</f>
        <v>0</v>
      </c>
      <c r="AM55" s="1">
        <f>IFERROR(__xludf.DUMMYFUNCTION("""COMPUTED_VALUE"""),849000.0)</f>
        <v>849000</v>
      </c>
      <c r="AN55" s="1">
        <f>IFERROR(__xludf.DUMMYFUNCTION("""COMPUTED_VALUE"""),1.0)</f>
        <v>1</v>
      </c>
      <c r="AO55" s="1">
        <f>IFERROR(__xludf.DUMMYFUNCTION("""COMPUTED_VALUE"""),839000.0)</f>
        <v>839000</v>
      </c>
      <c r="AP55" s="1">
        <f>IFERROR(__xludf.DUMMYFUNCTION("""COMPUTED_VALUE"""),9.0)</f>
        <v>9</v>
      </c>
      <c r="AQ55" s="1">
        <f>IFERROR(__xludf.DUMMYFUNCTION("""COMPUTED_VALUE"""),1.0)</f>
        <v>1</v>
      </c>
      <c r="AR55" s="1">
        <f>IFERROR(__xludf.DUMMYFUNCTION("""COMPUTED_VALUE"""),450000.0)</f>
        <v>450000</v>
      </c>
      <c r="AS55" s="1">
        <f>IFERROR(__xludf.DUMMYFUNCTION("""COMPUTED_VALUE"""),2.0)</f>
        <v>2</v>
      </c>
    </row>
    <row r="56">
      <c r="A56" s="1" t="str">
        <f>IFERROR(__xludf.DUMMYFUNCTION("""COMPUTED_VALUE"""),"BR2")</f>
        <v>BR2</v>
      </c>
      <c r="B56" s="1"/>
      <c r="C56" s="1"/>
      <c r="D56" s="1">
        <f>IFERROR(__xludf.DUMMYFUNCTION("""COMPUTED_VALUE"""),899000.0)</f>
        <v>899000</v>
      </c>
      <c r="E56" s="1">
        <f>IFERROR(__xludf.DUMMYFUNCTION("""COMPUTED_VALUE"""),1.0)</f>
        <v>1</v>
      </c>
      <c r="F56" s="1">
        <f>IFERROR(__xludf.DUMMYFUNCTION("""COMPUTED_VALUE"""),1490000.0)</f>
        <v>1490000</v>
      </c>
      <c r="G56" s="1">
        <f>IFERROR(__xludf.DUMMYFUNCTION("""COMPUTED_VALUE"""),5.0)</f>
        <v>5</v>
      </c>
      <c r="H56" s="1"/>
      <c r="I56" s="1"/>
      <c r="J56" s="1">
        <f>IFERROR(__xludf.DUMMYFUNCTION("""COMPUTED_VALUE"""),0.0)</f>
        <v>0</v>
      </c>
      <c r="K56" s="1">
        <f>IFERROR(__xludf.DUMMYFUNCTION("""COMPUTED_VALUE"""),948000.0)</f>
        <v>948000</v>
      </c>
      <c r="L56" s="1">
        <f>IFERROR(__xludf.DUMMYFUNCTION("""COMPUTED_VALUE"""),1.0)</f>
        <v>1</v>
      </c>
      <c r="M56" s="1">
        <f>IFERROR(__xludf.DUMMYFUNCTION("""COMPUTED_VALUE"""),948000.0)</f>
        <v>948000</v>
      </c>
      <c r="N56" s="1">
        <f>IFERROR(__xludf.DUMMYFUNCTION("""COMPUTED_VALUE"""),7.0)</f>
        <v>7</v>
      </c>
      <c r="O56" s="1">
        <f>IFERROR(__xludf.DUMMYFUNCTION("""COMPUTED_VALUE"""),1.0)</f>
        <v>1</v>
      </c>
      <c r="P56" s="1">
        <f>IFERROR(__xludf.DUMMYFUNCTION("""COMPUTED_VALUE"""),900000.0)</f>
        <v>900000</v>
      </c>
      <c r="Q56" s="1">
        <f>IFERROR(__xludf.DUMMYFUNCTION("""COMPUTED_VALUE"""),1.0)</f>
        <v>1</v>
      </c>
      <c r="R56" s="1">
        <f>IFERROR(__xludf.DUMMYFUNCTION("""COMPUTED_VALUE"""),1300000.0)</f>
        <v>1300000</v>
      </c>
      <c r="S56" s="1"/>
      <c r="T56" s="1"/>
      <c r="U56" s="1">
        <f>IFERROR(__xludf.DUMMYFUNCTION("""COMPUTED_VALUE"""),0.0)</f>
        <v>0</v>
      </c>
      <c r="V56" s="1"/>
      <c r="W56" s="1"/>
      <c r="X56" s="1">
        <f>IFERROR(__xludf.DUMMYFUNCTION("""COMPUTED_VALUE"""),0.0)</f>
        <v>0</v>
      </c>
      <c r="Y56" s="1">
        <f>IFERROR(__xludf.DUMMYFUNCTION("""COMPUTED_VALUE"""),900000.0)</f>
        <v>900000</v>
      </c>
      <c r="Z56" s="1">
        <f>IFERROR(__xludf.DUMMYFUNCTION("""COMPUTED_VALUE"""),1.0)</f>
        <v>1</v>
      </c>
      <c r="AA56" s="1">
        <f>IFERROR(__xludf.DUMMYFUNCTION("""COMPUTED_VALUE"""),1050000.0)</f>
        <v>1050000</v>
      </c>
      <c r="AB56" s="1">
        <f>IFERROR(__xludf.DUMMYFUNCTION("""COMPUTED_VALUE"""),1.0)</f>
        <v>1</v>
      </c>
      <c r="AC56" s="1"/>
      <c r="AD56" s="1"/>
      <c r="AE56" s="1">
        <f>IFERROR(__xludf.DUMMYFUNCTION("""COMPUTED_VALUE"""),0.0)</f>
        <v>0</v>
      </c>
      <c r="AF56" s="1">
        <f>IFERROR(__xludf.DUMMYFUNCTION("""COMPUTED_VALUE"""),339977.96875)</f>
        <v>339977.9688</v>
      </c>
      <c r="AG56" s="1"/>
      <c r="AH56" s="1"/>
      <c r="AI56" s="1">
        <f>IFERROR(__xludf.DUMMYFUNCTION("""COMPUTED_VALUE"""),0.0)</f>
        <v>0</v>
      </c>
      <c r="AJ56" s="1"/>
      <c r="AK56" s="1"/>
      <c r="AL56" s="1">
        <f>IFERROR(__xludf.DUMMYFUNCTION("""COMPUTED_VALUE"""),0.0)</f>
        <v>0</v>
      </c>
      <c r="AM56" s="1">
        <f>IFERROR(__xludf.DUMMYFUNCTION("""COMPUTED_VALUE"""),1490000.0)</f>
        <v>1490000</v>
      </c>
      <c r="AN56" s="1">
        <f>IFERROR(__xludf.DUMMYFUNCTION("""COMPUTED_VALUE"""),1.0)</f>
        <v>1</v>
      </c>
      <c r="AO56" s="1">
        <f>IFERROR(__xludf.DUMMYFUNCTION("""COMPUTED_VALUE"""),1490000.0)</f>
        <v>1490000</v>
      </c>
      <c r="AP56" s="1">
        <f>IFERROR(__xludf.DUMMYFUNCTION("""COMPUTED_VALUE"""),6.0)</f>
        <v>6</v>
      </c>
      <c r="AQ56" s="1"/>
      <c r="AR56" s="1"/>
      <c r="AS56" s="1">
        <f>IFERROR(__xludf.DUMMYFUNCTION("""COMPUTED_VALUE"""),0.0)</f>
        <v>0</v>
      </c>
    </row>
    <row r="57">
      <c r="A57" s="1" t="str">
        <f>IFERROR(__xludf.DUMMYFUNCTION("""COMPUTED_VALUE"""),"BRM")</f>
        <v>BRM</v>
      </c>
      <c r="B57" s="1"/>
      <c r="C57" s="1"/>
      <c r="D57" s="1">
        <f>IFERROR(__xludf.DUMMYFUNCTION("""COMPUTED_VALUE"""),190.0)</f>
        <v>190</v>
      </c>
      <c r="E57" s="1">
        <f>IFERROR(__xludf.DUMMYFUNCTION("""COMPUTED_VALUE"""),127.0)</f>
        <v>127</v>
      </c>
      <c r="F57" s="1">
        <f>IFERROR(__xludf.DUMMYFUNCTION("""COMPUTED_VALUE"""),190.0)</f>
        <v>190</v>
      </c>
      <c r="G57" s="1">
        <f>IFERROR(__xludf.DUMMYFUNCTION("""COMPUTED_VALUE"""),8175.0)</f>
        <v>8175</v>
      </c>
      <c r="H57" s="1">
        <f>IFERROR(__xludf.DUMMYFUNCTION("""COMPUTED_VALUE"""),500.0)</f>
        <v>500</v>
      </c>
      <c r="I57" s="1">
        <f>IFERROR(__xludf.DUMMYFUNCTION("""COMPUTED_VALUE"""),160.0)</f>
        <v>160</v>
      </c>
      <c r="J57" s="1">
        <f>IFERROR(__xludf.DUMMYFUNCTION("""COMPUTED_VALUE"""),1254.0)</f>
        <v>1254</v>
      </c>
      <c r="K57" s="1">
        <f>IFERROR(__xludf.DUMMYFUNCTION("""COMPUTED_VALUE"""),699.0)</f>
        <v>699</v>
      </c>
      <c r="L57" s="1">
        <f>IFERROR(__xludf.DUMMYFUNCTION("""COMPUTED_VALUE"""),172.0)</f>
        <v>172</v>
      </c>
      <c r="M57" s="1">
        <f>IFERROR(__xludf.DUMMYFUNCTION("""COMPUTED_VALUE"""),699.0)</f>
        <v>699</v>
      </c>
      <c r="N57" s="1">
        <f>IFERROR(__xludf.DUMMYFUNCTION("""COMPUTED_VALUE"""),7892.0)</f>
        <v>7892</v>
      </c>
      <c r="O57" s="1">
        <f>IFERROR(__xludf.DUMMYFUNCTION("""COMPUTED_VALUE"""),510.0)</f>
        <v>510</v>
      </c>
      <c r="P57" s="1">
        <f>IFERROR(__xludf.DUMMYFUNCTION("""COMPUTED_VALUE"""),150.0)</f>
        <v>150</v>
      </c>
      <c r="Q57" s="1">
        <f>IFERROR(__xludf.DUMMYFUNCTION("""COMPUTED_VALUE"""),510.0)</f>
        <v>510</v>
      </c>
      <c r="R57" s="1">
        <f>IFERROR(__xludf.DUMMYFUNCTION("""COMPUTED_VALUE"""),270.0)</f>
        <v>270</v>
      </c>
      <c r="S57" s="1">
        <f>IFERROR(__xludf.DUMMYFUNCTION("""COMPUTED_VALUE"""),3165.0)</f>
        <v>3165</v>
      </c>
      <c r="T57" s="1">
        <f>IFERROR(__xludf.DUMMYFUNCTION("""COMPUTED_VALUE"""),200.0)</f>
        <v>200</v>
      </c>
      <c r="U57" s="1">
        <f>IFERROR(__xludf.DUMMYFUNCTION("""COMPUTED_VALUE"""),16907.0)</f>
        <v>16907</v>
      </c>
      <c r="V57" s="1">
        <f>IFERROR(__xludf.DUMMYFUNCTION("""COMPUTED_VALUE"""),1000.0)</f>
        <v>1000</v>
      </c>
      <c r="W57" s="1">
        <f>IFERROR(__xludf.DUMMYFUNCTION("""COMPUTED_VALUE"""),91.0)</f>
        <v>91</v>
      </c>
      <c r="X57" s="1">
        <f>IFERROR(__xludf.DUMMYFUNCTION("""COMPUTED_VALUE"""),1000.0)</f>
        <v>1000</v>
      </c>
      <c r="Y57" s="1">
        <f>IFERROR(__xludf.DUMMYFUNCTION("""COMPUTED_VALUE"""),229.619995117187)</f>
        <v>229.6199951</v>
      </c>
      <c r="Z57" s="1">
        <f>IFERROR(__xludf.DUMMYFUNCTION("""COMPUTED_VALUE"""),100.0)</f>
        <v>100</v>
      </c>
      <c r="AA57" s="1">
        <f>IFERROR(__xludf.DUMMYFUNCTION("""COMPUTED_VALUE"""),229.0)</f>
        <v>229</v>
      </c>
      <c r="AB57" s="1">
        <f>IFERROR(__xludf.DUMMYFUNCTION("""COMPUTED_VALUE"""),71295.0)</f>
        <v>71295</v>
      </c>
      <c r="AC57" s="1">
        <f>IFERROR(__xludf.DUMMYFUNCTION("""COMPUTED_VALUE"""),7308.0)</f>
        <v>7308</v>
      </c>
      <c r="AD57" s="1">
        <f>IFERROR(__xludf.DUMMYFUNCTION("""COMPUTED_VALUE"""),120.0)</f>
        <v>120</v>
      </c>
      <c r="AE57" s="1">
        <f>IFERROR(__xludf.DUMMYFUNCTION("""COMPUTED_VALUE"""),17308.0)</f>
        <v>17308</v>
      </c>
      <c r="AF57" s="1">
        <f>IFERROR(__xludf.DUMMYFUNCTION("""COMPUTED_VALUE"""),200.0)</f>
        <v>200</v>
      </c>
      <c r="AG57" s="1">
        <f>IFERROR(__xludf.DUMMYFUNCTION("""COMPUTED_VALUE"""),87.0)</f>
        <v>87</v>
      </c>
      <c r="AH57" s="1">
        <f>IFERROR(__xludf.DUMMYFUNCTION("""COMPUTED_VALUE"""),250.0)</f>
        <v>250</v>
      </c>
      <c r="AI57" s="1">
        <f>IFERROR(__xludf.DUMMYFUNCTION("""COMPUTED_VALUE"""),287.0)</f>
        <v>287</v>
      </c>
      <c r="AJ57" s="1"/>
      <c r="AK57" s="1"/>
      <c r="AL57" s="1">
        <f>IFERROR(__xludf.DUMMYFUNCTION("""COMPUTED_VALUE"""),0.0)</f>
        <v>0</v>
      </c>
      <c r="AM57" s="1">
        <f>IFERROR(__xludf.DUMMYFUNCTION("""COMPUTED_VALUE"""),210.0)</f>
        <v>210</v>
      </c>
      <c r="AN57" s="1">
        <f>IFERROR(__xludf.DUMMYFUNCTION("""COMPUTED_VALUE"""),432.0)</f>
        <v>432</v>
      </c>
      <c r="AO57" s="1">
        <f>IFERROR(__xludf.DUMMYFUNCTION("""COMPUTED_VALUE"""),210.0)</f>
        <v>210</v>
      </c>
      <c r="AP57" s="1">
        <f>IFERROR(__xludf.DUMMYFUNCTION("""COMPUTED_VALUE"""),7045.0)</f>
        <v>7045</v>
      </c>
      <c r="AQ57" s="1">
        <f>IFERROR(__xludf.DUMMYFUNCTION("""COMPUTED_VALUE"""),500.0)</f>
        <v>500</v>
      </c>
      <c r="AR57" s="1">
        <f>IFERROR(__xludf.DUMMYFUNCTION("""COMPUTED_VALUE"""),50.0)</f>
        <v>50</v>
      </c>
      <c r="AS57" s="1">
        <f>IFERROR(__xludf.DUMMYFUNCTION("""COMPUTED_VALUE"""),500.0)</f>
        <v>500</v>
      </c>
    </row>
    <row r="58">
      <c r="A58" s="1" t="str">
        <f>IFERROR(__xludf.DUMMYFUNCTION("""COMPUTED_VALUE"""),"BRO")</f>
        <v>BRO</v>
      </c>
      <c r="B58" s="1"/>
      <c r="C58" s="1"/>
      <c r="D58" s="1">
        <f>IFERROR(__xludf.DUMMYFUNCTION("""COMPUTED_VALUE"""),3740.0)</f>
        <v>3740</v>
      </c>
      <c r="E58" s="1">
        <f>IFERROR(__xludf.DUMMYFUNCTION("""COMPUTED_VALUE"""),100.0)</f>
        <v>100</v>
      </c>
      <c r="F58" s="1">
        <f>IFERROR(__xludf.DUMMYFUNCTION("""COMPUTED_VALUE"""),3730.0)</f>
        <v>3730</v>
      </c>
      <c r="G58" s="1">
        <f>IFERROR(__xludf.DUMMYFUNCTION("""COMPUTED_VALUE"""),2474.0)</f>
        <v>2474</v>
      </c>
      <c r="H58" s="1">
        <f>IFERROR(__xludf.DUMMYFUNCTION("""COMPUTED_VALUE"""),81.0)</f>
        <v>81</v>
      </c>
      <c r="I58" s="1">
        <f>IFERROR(__xludf.DUMMYFUNCTION("""COMPUTED_VALUE"""),2200.0)</f>
        <v>2200</v>
      </c>
      <c r="J58" s="1">
        <f>IFERROR(__xludf.DUMMYFUNCTION("""COMPUTED_VALUE"""),585.0)</f>
        <v>585</v>
      </c>
      <c r="K58" s="1">
        <f>IFERROR(__xludf.DUMMYFUNCTION("""COMPUTED_VALUE"""),2750.0)</f>
        <v>2750</v>
      </c>
      <c r="L58" s="1">
        <f>IFERROR(__xludf.DUMMYFUNCTION("""COMPUTED_VALUE"""),22.0)</f>
        <v>22</v>
      </c>
      <c r="M58" s="1">
        <f>IFERROR(__xludf.DUMMYFUNCTION("""COMPUTED_VALUE"""),2700.0)</f>
        <v>2700</v>
      </c>
      <c r="N58" s="1">
        <f>IFERROR(__xludf.DUMMYFUNCTION("""COMPUTED_VALUE"""),482.0)</f>
        <v>482</v>
      </c>
      <c r="O58" s="1">
        <f>IFERROR(__xludf.DUMMYFUNCTION("""COMPUTED_VALUE"""),23.0)</f>
        <v>23</v>
      </c>
      <c r="P58" s="1">
        <f>IFERROR(__xludf.DUMMYFUNCTION("""COMPUTED_VALUE"""),2000.0)</f>
        <v>2000</v>
      </c>
      <c r="Q58" s="1">
        <f>IFERROR(__xludf.DUMMYFUNCTION("""COMPUTED_VALUE"""),23.0)</f>
        <v>23</v>
      </c>
      <c r="R58" s="1">
        <f>IFERROR(__xludf.DUMMYFUNCTION("""COMPUTED_VALUE"""),829.989990234375)</f>
        <v>829.9899902</v>
      </c>
      <c r="S58" s="1">
        <f>IFERROR(__xludf.DUMMYFUNCTION("""COMPUTED_VALUE"""),7.0)</f>
        <v>7</v>
      </c>
      <c r="T58" s="1">
        <f>IFERROR(__xludf.DUMMYFUNCTION("""COMPUTED_VALUE"""),2500.0)</f>
        <v>2500</v>
      </c>
      <c r="U58" s="1">
        <f>IFERROR(__xludf.DUMMYFUNCTION("""COMPUTED_VALUE"""),7.0)</f>
        <v>7</v>
      </c>
      <c r="V58" s="1"/>
      <c r="W58" s="1"/>
      <c r="X58" s="1">
        <f>IFERROR(__xludf.DUMMYFUNCTION("""COMPUTED_VALUE"""),0.0)</f>
        <v>0</v>
      </c>
      <c r="Y58" s="1">
        <f>IFERROR(__xludf.DUMMYFUNCTION("""COMPUTED_VALUE"""),2338.1298828125)</f>
        <v>2338.129883</v>
      </c>
      <c r="Z58" s="1">
        <f>IFERROR(__xludf.DUMMYFUNCTION("""COMPUTED_VALUE"""),149.0)</f>
        <v>149</v>
      </c>
      <c r="AA58" s="1">
        <f>IFERROR(__xludf.DUMMYFUNCTION("""COMPUTED_VALUE"""),2350.0)</f>
        <v>2350</v>
      </c>
      <c r="AB58" s="1">
        <f>IFERROR(__xludf.DUMMYFUNCTION("""COMPUTED_VALUE"""),2224.0)</f>
        <v>2224</v>
      </c>
      <c r="AC58" s="1">
        <f>IFERROR(__xludf.DUMMYFUNCTION("""COMPUTED_VALUE"""),1000.0)</f>
        <v>1000</v>
      </c>
      <c r="AD58" s="1">
        <f>IFERROR(__xludf.DUMMYFUNCTION("""COMPUTED_VALUE"""),1930.0)</f>
        <v>1930</v>
      </c>
      <c r="AE58" s="1">
        <f>IFERROR(__xludf.DUMMYFUNCTION("""COMPUTED_VALUE"""),2062.0)</f>
        <v>2062</v>
      </c>
      <c r="AF58" s="1">
        <f>IFERROR(__xludf.DUMMYFUNCTION("""COMPUTED_VALUE"""),829.989990234375)</f>
        <v>829.9899902</v>
      </c>
      <c r="AG58" s="1"/>
      <c r="AH58" s="1"/>
      <c r="AI58" s="1">
        <f>IFERROR(__xludf.DUMMYFUNCTION("""COMPUTED_VALUE"""),0.0)</f>
        <v>0</v>
      </c>
      <c r="AJ58" s="1"/>
      <c r="AK58" s="1"/>
      <c r="AL58" s="1">
        <f>IFERROR(__xludf.DUMMYFUNCTION("""COMPUTED_VALUE"""),0.0)</f>
        <v>0</v>
      </c>
      <c r="AM58" s="1">
        <f>IFERROR(__xludf.DUMMYFUNCTION("""COMPUTED_VALUE"""),1500.0)</f>
        <v>1500</v>
      </c>
      <c r="AN58" s="1">
        <f>IFERROR(__xludf.DUMMYFUNCTION("""COMPUTED_VALUE"""),50.0)</f>
        <v>50</v>
      </c>
      <c r="AO58" s="1">
        <f>IFERROR(__xludf.DUMMYFUNCTION("""COMPUTED_VALUE"""),2700.0)</f>
        <v>2700</v>
      </c>
      <c r="AP58" s="1">
        <f>IFERROR(__xludf.DUMMYFUNCTION("""COMPUTED_VALUE"""),1238.0)</f>
        <v>1238</v>
      </c>
      <c r="AQ58" s="1">
        <f>IFERROR(__xludf.DUMMYFUNCTION("""COMPUTED_VALUE"""),100.0)</f>
        <v>100</v>
      </c>
      <c r="AR58" s="1">
        <f>IFERROR(__xludf.DUMMYFUNCTION("""COMPUTED_VALUE"""),1010.0)</f>
        <v>1010</v>
      </c>
      <c r="AS58" s="1">
        <f>IFERROR(__xludf.DUMMYFUNCTION("""COMPUTED_VALUE"""),109.0)</f>
        <v>109</v>
      </c>
    </row>
    <row r="59">
      <c r="A59" s="1" t="str">
        <f>IFERROR(__xludf.DUMMYFUNCTION("""COMPUTED_VALUE"""),"BRP")</f>
        <v>BRP</v>
      </c>
      <c r="B59" s="1"/>
      <c r="C59" s="1"/>
      <c r="D59" s="1">
        <f>IFERROR(__xludf.DUMMYFUNCTION("""COMPUTED_VALUE"""),5600.0)</f>
        <v>5600</v>
      </c>
      <c r="E59" s="1">
        <f>IFERROR(__xludf.DUMMYFUNCTION("""COMPUTED_VALUE"""),45.0)</f>
        <v>45</v>
      </c>
      <c r="F59" s="1">
        <f>IFERROR(__xludf.DUMMYFUNCTION("""COMPUTED_VALUE"""),5600.0)</f>
        <v>5600</v>
      </c>
      <c r="G59" s="1">
        <f>IFERROR(__xludf.DUMMYFUNCTION("""COMPUTED_VALUE"""),141.0)</f>
        <v>141</v>
      </c>
      <c r="H59" s="1">
        <f>IFERROR(__xludf.DUMMYFUNCTION("""COMPUTED_VALUE"""),30.0)</f>
        <v>30</v>
      </c>
      <c r="I59" s="1">
        <f>IFERROR(__xludf.DUMMYFUNCTION("""COMPUTED_VALUE"""),4000.0)</f>
        <v>4000</v>
      </c>
      <c r="J59" s="1">
        <f>IFERROR(__xludf.DUMMYFUNCTION("""COMPUTED_VALUE"""),30.0)</f>
        <v>30</v>
      </c>
      <c r="K59" s="1">
        <f>IFERROR(__xludf.DUMMYFUNCTION("""COMPUTED_VALUE"""),6000.0)</f>
        <v>6000</v>
      </c>
      <c r="L59" s="1">
        <f>IFERROR(__xludf.DUMMYFUNCTION("""COMPUTED_VALUE"""),5.0)</f>
        <v>5</v>
      </c>
      <c r="M59" s="1">
        <f>IFERROR(__xludf.DUMMYFUNCTION("""COMPUTED_VALUE"""),6000.0)</f>
        <v>6000</v>
      </c>
      <c r="N59" s="1">
        <f>IFERROR(__xludf.DUMMYFUNCTION("""COMPUTED_VALUE"""),5.0)</f>
        <v>5</v>
      </c>
      <c r="O59" s="1"/>
      <c r="P59" s="1"/>
      <c r="Q59" s="1">
        <f>IFERROR(__xludf.DUMMYFUNCTION("""COMPUTED_VALUE"""),0.0)</f>
        <v>0</v>
      </c>
      <c r="R59" s="1">
        <f>IFERROR(__xludf.DUMMYFUNCTION("""COMPUTED_VALUE"""),2656.76000976562)</f>
        <v>2656.76001</v>
      </c>
      <c r="S59" s="1"/>
      <c r="T59" s="1"/>
      <c r="U59" s="1">
        <f>IFERROR(__xludf.DUMMYFUNCTION("""COMPUTED_VALUE"""),0.0)</f>
        <v>0</v>
      </c>
      <c r="V59" s="1"/>
      <c r="W59" s="1"/>
      <c r="X59" s="1">
        <f>IFERROR(__xludf.DUMMYFUNCTION("""COMPUTED_VALUE"""),0.0)</f>
        <v>0</v>
      </c>
      <c r="Y59" s="1">
        <f>IFERROR(__xludf.DUMMYFUNCTION("""COMPUTED_VALUE"""),5200.0)</f>
        <v>5200</v>
      </c>
      <c r="Z59" s="1">
        <f>IFERROR(__xludf.DUMMYFUNCTION("""COMPUTED_VALUE"""),234.0)</f>
        <v>234</v>
      </c>
      <c r="AA59" s="1">
        <f>IFERROR(__xludf.DUMMYFUNCTION("""COMPUTED_VALUE"""),5200.0)</f>
        <v>5200</v>
      </c>
      <c r="AB59" s="1">
        <f>IFERROR(__xludf.DUMMYFUNCTION("""COMPUTED_VALUE"""),237.0)</f>
        <v>237</v>
      </c>
      <c r="AC59" s="1"/>
      <c r="AD59" s="1"/>
      <c r="AE59" s="1">
        <f>IFERROR(__xludf.DUMMYFUNCTION("""COMPUTED_VALUE"""),0.0)</f>
        <v>0</v>
      </c>
      <c r="AF59" s="1">
        <f>IFERROR(__xludf.DUMMYFUNCTION("""COMPUTED_VALUE"""),2656.76000976562)</f>
        <v>2656.76001</v>
      </c>
      <c r="AG59" s="1"/>
      <c r="AH59" s="1"/>
      <c r="AI59" s="1">
        <f>IFERROR(__xludf.DUMMYFUNCTION("""COMPUTED_VALUE"""),0.0)</f>
        <v>0</v>
      </c>
      <c r="AJ59" s="1"/>
      <c r="AK59" s="1"/>
      <c r="AL59" s="1">
        <f>IFERROR(__xludf.DUMMYFUNCTION("""COMPUTED_VALUE"""),0.0)</f>
        <v>0</v>
      </c>
      <c r="AM59" s="1">
        <f>IFERROR(__xludf.DUMMYFUNCTION("""COMPUTED_VALUE"""),2656.76000976562)</f>
        <v>2656.76001</v>
      </c>
      <c r="AN59" s="1">
        <f>IFERROR(__xludf.DUMMYFUNCTION("""COMPUTED_VALUE"""),276.0)</f>
        <v>276</v>
      </c>
      <c r="AO59" s="1">
        <f>IFERROR(__xludf.DUMMYFUNCTION("""COMPUTED_VALUE"""),5000.0)</f>
        <v>5000</v>
      </c>
      <c r="AP59" s="1">
        <f>IFERROR(__xludf.DUMMYFUNCTION("""COMPUTED_VALUE"""),276.0)</f>
        <v>276</v>
      </c>
      <c r="AQ59" s="1"/>
      <c r="AR59" s="1"/>
      <c r="AS59" s="1">
        <f>IFERROR(__xludf.DUMMYFUNCTION("""COMPUTED_VALUE"""),0.0)</f>
        <v>0</v>
      </c>
    </row>
    <row r="60">
      <c r="A60" s="1" t="str">
        <f>IFERROR(__xludf.DUMMYFUNCTION("""COMPUTED_VALUE"""),"BRS")</f>
        <v>BRS</v>
      </c>
      <c r="B60" s="1"/>
      <c r="C60" s="1"/>
      <c r="D60" s="1">
        <f>IFERROR(__xludf.DUMMYFUNCTION("""COMPUTED_VALUE"""),600000.0)</f>
        <v>600000</v>
      </c>
      <c r="E60" s="1">
        <f>IFERROR(__xludf.DUMMYFUNCTION("""COMPUTED_VALUE"""),1.0)</f>
        <v>1</v>
      </c>
      <c r="F60" s="1">
        <f>IFERROR(__xludf.DUMMYFUNCTION("""COMPUTED_VALUE"""),600000.0)</f>
        <v>600000</v>
      </c>
      <c r="G60" s="1">
        <f>IFERROR(__xludf.DUMMYFUNCTION("""COMPUTED_VALUE"""),1.0)</f>
        <v>1</v>
      </c>
      <c r="H60" s="1">
        <f>IFERROR(__xludf.DUMMYFUNCTION("""COMPUTED_VALUE"""),4.0)</f>
        <v>4</v>
      </c>
      <c r="I60" s="1">
        <f>IFERROR(__xludf.DUMMYFUNCTION("""COMPUTED_VALUE"""),200000.0)</f>
        <v>200000</v>
      </c>
      <c r="J60" s="1">
        <f>IFERROR(__xludf.DUMMYFUNCTION("""COMPUTED_VALUE"""),4.0)</f>
        <v>4</v>
      </c>
      <c r="K60" s="1">
        <f>IFERROR(__xludf.DUMMYFUNCTION("""COMPUTED_VALUE"""),420000.0)</f>
        <v>420000</v>
      </c>
      <c r="L60" s="1">
        <f>IFERROR(__xludf.DUMMYFUNCTION("""COMPUTED_VALUE"""),1.0)</f>
        <v>1</v>
      </c>
      <c r="M60" s="1">
        <f>IFERROR(__xludf.DUMMYFUNCTION("""COMPUTED_VALUE"""),600000.0)</f>
        <v>600000</v>
      </c>
      <c r="N60" s="1">
        <f>IFERROR(__xludf.DUMMYFUNCTION("""COMPUTED_VALUE"""),1.0)</f>
        <v>1</v>
      </c>
      <c r="O60" s="1">
        <f>IFERROR(__xludf.DUMMYFUNCTION("""COMPUTED_VALUE"""),1.0)</f>
        <v>1</v>
      </c>
      <c r="P60" s="1">
        <f>IFERROR(__xludf.DUMMYFUNCTION("""COMPUTED_VALUE"""),400000.0)</f>
        <v>400000</v>
      </c>
      <c r="Q60" s="1">
        <f>IFERROR(__xludf.DUMMYFUNCTION("""COMPUTED_VALUE"""),5.0)</f>
        <v>5</v>
      </c>
      <c r="R60" s="1">
        <f>IFERROR(__xludf.DUMMYFUNCTION("""COMPUTED_VALUE"""),126513.0703125)</f>
        <v>126513.0703</v>
      </c>
      <c r="S60" s="1"/>
      <c r="T60" s="1"/>
      <c r="U60" s="1">
        <f>IFERROR(__xludf.DUMMYFUNCTION("""COMPUTED_VALUE"""),0.0)</f>
        <v>0</v>
      </c>
      <c r="V60" s="1"/>
      <c r="W60" s="1"/>
      <c r="X60" s="1">
        <f>IFERROR(__xludf.DUMMYFUNCTION("""COMPUTED_VALUE"""),0.0)</f>
        <v>0</v>
      </c>
      <c r="Y60" s="1">
        <f>IFERROR(__xludf.DUMMYFUNCTION("""COMPUTED_VALUE"""),1000000.0)</f>
        <v>1000000</v>
      </c>
      <c r="Z60" s="1">
        <f>IFERROR(__xludf.DUMMYFUNCTION("""COMPUTED_VALUE"""),1.0)</f>
        <v>1</v>
      </c>
      <c r="AA60" s="1">
        <f>IFERROR(__xludf.DUMMYFUNCTION("""COMPUTED_VALUE"""),1000000.0)</f>
        <v>1000000</v>
      </c>
      <c r="AB60" s="1">
        <f>IFERROR(__xludf.DUMMYFUNCTION("""COMPUTED_VALUE"""),1.0)</f>
        <v>1</v>
      </c>
      <c r="AC60" s="1">
        <f>IFERROR(__xludf.DUMMYFUNCTION("""COMPUTED_VALUE"""),1.0)</f>
        <v>1</v>
      </c>
      <c r="AD60" s="1">
        <f>IFERROR(__xludf.DUMMYFUNCTION("""COMPUTED_VALUE"""),150000.0)</f>
        <v>150000</v>
      </c>
      <c r="AE60" s="1">
        <f>IFERROR(__xludf.DUMMYFUNCTION("""COMPUTED_VALUE"""),1.0)</f>
        <v>1</v>
      </c>
      <c r="AF60" s="1">
        <f>IFERROR(__xludf.DUMMYFUNCTION("""COMPUTED_VALUE"""),126513.0703125)</f>
        <v>126513.0703</v>
      </c>
      <c r="AG60" s="1"/>
      <c r="AH60" s="1"/>
      <c r="AI60" s="1">
        <f>IFERROR(__xludf.DUMMYFUNCTION("""COMPUTED_VALUE"""),0.0)</f>
        <v>0</v>
      </c>
      <c r="AJ60" s="1"/>
      <c r="AK60" s="1"/>
      <c r="AL60" s="1">
        <f>IFERROR(__xludf.DUMMYFUNCTION("""COMPUTED_VALUE"""),0.0)</f>
        <v>0</v>
      </c>
      <c r="AM60" s="1">
        <f>IFERROR(__xludf.DUMMYFUNCTION("""COMPUTED_VALUE"""),450000.0)</f>
        <v>450000</v>
      </c>
      <c r="AN60" s="1">
        <f>IFERROR(__xludf.DUMMYFUNCTION("""COMPUTED_VALUE"""),1.0)</f>
        <v>1</v>
      </c>
      <c r="AO60" s="1">
        <f>IFERROR(__xludf.DUMMYFUNCTION("""COMPUTED_VALUE"""),1000000.0)</f>
        <v>1000000</v>
      </c>
      <c r="AP60" s="1">
        <f>IFERROR(__xludf.DUMMYFUNCTION("""COMPUTED_VALUE"""),1.0)</f>
        <v>1</v>
      </c>
      <c r="AQ60" s="1"/>
      <c r="AR60" s="1"/>
      <c r="AS60" s="1">
        <f>IFERROR(__xludf.DUMMYFUNCTION("""COMPUTED_VALUE"""),0.0)</f>
        <v>0</v>
      </c>
    </row>
    <row r="61">
      <c r="A61" s="1" t="str">
        <f>IFERROR(__xludf.DUMMYFUNCTION("""COMPUTED_VALUE"""),"BSC")</f>
        <v>BSC</v>
      </c>
      <c r="B61" s="1"/>
      <c r="C61" s="1"/>
      <c r="D61" s="1">
        <f>IFERROR(__xludf.DUMMYFUNCTION("""COMPUTED_VALUE"""),53900.0)</f>
        <v>53900</v>
      </c>
      <c r="E61" s="1">
        <f>IFERROR(__xludf.DUMMYFUNCTION("""COMPUTED_VALUE"""),10.0)</f>
        <v>10</v>
      </c>
      <c r="F61" s="1">
        <f>IFERROR(__xludf.DUMMYFUNCTION("""COMPUTED_VALUE"""),53900.0)</f>
        <v>53900</v>
      </c>
      <c r="G61" s="1">
        <f>IFERROR(__xludf.DUMMYFUNCTION("""COMPUTED_VALUE"""),110.0)</f>
        <v>110</v>
      </c>
      <c r="H61" s="1">
        <f>IFERROR(__xludf.DUMMYFUNCTION("""COMPUTED_VALUE"""),50.0)</f>
        <v>50</v>
      </c>
      <c r="I61" s="1">
        <f>IFERROR(__xludf.DUMMYFUNCTION("""COMPUTED_VALUE"""),49000.0)</f>
        <v>49000</v>
      </c>
      <c r="J61" s="1">
        <f>IFERROR(__xludf.DUMMYFUNCTION("""COMPUTED_VALUE"""),169.0)</f>
        <v>169</v>
      </c>
      <c r="K61" s="1">
        <f>IFERROR(__xludf.DUMMYFUNCTION("""COMPUTED_VALUE"""),52000.0)</f>
        <v>52000</v>
      </c>
      <c r="L61" s="1"/>
      <c r="M61" s="1"/>
      <c r="N61" s="1">
        <f>IFERROR(__xludf.DUMMYFUNCTION("""COMPUTED_VALUE"""),0.0)</f>
        <v>0</v>
      </c>
      <c r="O61" s="1">
        <f>IFERROR(__xludf.DUMMYFUNCTION("""COMPUTED_VALUE"""),100.0)</f>
        <v>100</v>
      </c>
      <c r="P61" s="1">
        <f>IFERROR(__xludf.DUMMYFUNCTION("""COMPUTED_VALUE"""),46000.0)</f>
        <v>46000</v>
      </c>
      <c r="Q61" s="1">
        <f>IFERROR(__xludf.DUMMYFUNCTION("""COMPUTED_VALUE"""),123.0)</f>
        <v>123</v>
      </c>
      <c r="R61" s="1">
        <f>IFERROR(__xludf.DUMMYFUNCTION("""COMPUTED_VALUE"""),14471.7197265625)</f>
        <v>14471.71973</v>
      </c>
      <c r="S61" s="1"/>
      <c r="T61" s="1"/>
      <c r="U61" s="1">
        <f>IFERROR(__xludf.DUMMYFUNCTION("""COMPUTED_VALUE"""),0.0)</f>
        <v>0</v>
      </c>
      <c r="V61" s="1"/>
      <c r="W61" s="1"/>
      <c r="X61" s="1">
        <f>IFERROR(__xludf.DUMMYFUNCTION("""COMPUTED_VALUE"""),0.0)</f>
        <v>0</v>
      </c>
      <c r="Y61" s="1">
        <f>IFERROR(__xludf.DUMMYFUNCTION("""COMPUTED_VALUE"""),46900.0)</f>
        <v>46900</v>
      </c>
      <c r="Z61" s="1">
        <f>IFERROR(__xludf.DUMMYFUNCTION("""COMPUTED_VALUE"""),98.0)</f>
        <v>98</v>
      </c>
      <c r="AA61" s="1">
        <f>IFERROR(__xludf.DUMMYFUNCTION("""COMPUTED_VALUE"""),52000.0)</f>
        <v>52000</v>
      </c>
      <c r="AB61" s="1">
        <f>IFERROR(__xludf.DUMMYFUNCTION("""COMPUTED_VALUE"""),98.0)</f>
        <v>98</v>
      </c>
      <c r="AC61" s="1"/>
      <c r="AD61" s="1"/>
      <c r="AE61" s="1">
        <f>IFERROR(__xludf.DUMMYFUNCTION("""COMPUTED_VALUE"""),0.0)</f>
        <v>0</v>
      </c>
      <c r="AF61" s="1">
        <f>IFERROR(__xludf.DUMMYFUNCTION("""COMPUTED_VALUE"""),14471.7197265625)</f>
        <v>14471.71973</v>
      </c>
      <c r="AG61" s="1">
        <f>IFERROR(__xludf.DUMMYFUNCTION("""COMPUTED_VALUE"""),1.0)</f>
        <v>1</v>
      </c>
      <c r="AH61" s="1">
        <f>IFERROR(__xludf.DUMMYFUNCTION("""COMPUTED_VALUE"""),52000.0)</f>
        <v>52000</v>
      </c>
      <c r="AI61" s="1">
        <f>IFERROR(__xludf.DUMMYFUNCTION("""COMPUTED_VALUE"""),1.0)</f>
        <v>1</v>
      </c>
      <c r="AJ61" s="1"/>
      <c r="AK61" s="1"/>
      <c r="AL61" s="1">
        <f>IFERROR(__xludf.DUMMYFUNCTION("""COMPUTED_VALUE"""),0.0)</f>
        <v>0</v>
      </c>
      <c r="AM61" s="1">
        <f>IFERROR(__xludf.DUMMYFUNCTION("""COMPUTED_VALUE"""),50000.0)</f>
        <v>50000</v>
      </c>
      <c r="AN61" s="1">
        <f>IFERROR(__xludf.DUMMYFUNCTION("""COMPUTED_VALUE"""),40.0)</f>
        <v>40</v>
      </c>
      <c r="AO61" s="1">
        <f>IFERROR(__xludf.DUMMYFUNCTION("""COMPUTED_VALUE"""),55000.0)</f>
        <v>55000</v>
      </c>
      <c r="AP61" s="1">
        <f>IFERROR(__xludf.DUMMYFUNCTION("""COMPUTED_VALUE"""),40.0)</f>
        <v>40</v>
      </c>
      <c r="AQ61" s="1"/>
      <c r="AR61" s="1"/>
      <c r="AS61" s="1">
        <f>IFERROR(__xludf.DUMMYFUNCTION("""COMPUTED_VALUE"""),0.0)</f>
        <v>0</v>
      </c>
    </row>
    <row r="62">
      <c r="A62" s="1" t="str">
        <f>IFERROR(__xludf.DUMMYFUNCTION("""COMPUTED_VALUE"""),"BSE")</f>
        <v>BSE</v>
      </c>
      <c r="B62" s="1">
        <f>IFERROR(__xludf.DUMMYFUNCTION("""COMPUTED_VALUE"""),425.0)</f>
        <v>425</v>
      </c>
      <c r="C62" s="1">
        <f>IFERROR(__xludf.DUMMYFUNCTION("""COMPUTED_VALUE"""),1900.0)</f>
        <v>1900</v>
      </c>
      <c r="D62" s="1">
        <f>IFERROR(__xludf.DUMMYFUNCTION("""COMPUTED_VALUE"""),1900.0)</f>
        <v>1900</v>
      </c>
      <c r="E62" s="1">
        <f>IFERROR(__xludf.DUMMYFUNCTION("""COMPUTED_VALUE"""),100.0)</f>
        <v>100</v>
      </c>
      <c r="F62" s="1">
        <f>IFERROR(__xludf.DUMMYFUNCTION("""COMPUTED_VALUE"""),1900.0)</f>
        <v>1900</v>
      </c>
      <c r="G62" s="1">
        <f>IFERROR(__xludf.DUMMYFUNCTION("""COMPUTED_VALUE"""),108.0)</f>
        <v>108</v>
      </c>
      <c r="H62" s="1">
        <f>IFERROR(__xludf.DUMMYFUNCTION("""COMPUTED_VALUE"""),4.0)</f>
        <v>4</v>
      </c>
      <c r="I62" s="1">
        <f>IFERROR(__xludf.DUMMYFUNCTION("""COMPUTED_VALUE"""),1890.0)</f>
        <v>1890</v>
      </c>
      <c r="J62" s="1">
        <f>IFERROR(__xludf.DUMMYFUNCTION("""COMPUTED_VALUE"""),7208.0)</f>
        <v>7208</v>
      </c>
      <c r="K62" s="1">
        <f>IFERROR(__xludf.DUMMYFUNCTION("""COMPUTED_VALUE"""),1900.0)</f>
        <v>1900</v>
      </c>
      <c r="L62" s="1">
        <f>IFERROR(__xludf.DUMMYFUNCTION("""COMPUTED_VALUE"""),100.0)</f>
        <v>100</v>
      </c>
      <c r="M62" s="1">
        <f>IFERROR(__xludf.DUMMYFUNCTION("""COMPUTED_VALUE"""),1900.0)</f>
        <v>1900</v>
      </c>
      <c r="N62" s="1">
        <f>IFERROR(__xludf.DUMMYFUNCTION("""COMPUTED_VALUE"""),108.0)</f>
        <v>108</v>
      </c>
      <c r="O62" s="1">
        <f>IFERROR(__xludf.DUMMYFUNCTION("""COMPUTED_VALUE"""),3.0)</f>
        <v>3</v>
      </c>
      <c r="P62" s="1">
        <f>IFERROR(__xludf.DUMMYFUNCTION("""COMPUTED_VALUE"""),1850.0)</f>
        <v>1850</v>
      </c>
      <c r="Q62" s="1">
        <f>IFERROR(__xludf.DUMMYFUNCTION("""COMPUTED_VALUE"""),2847.0)</f>
        <v>2847</v>
      </c>
      <c r="R62" s="1">
        <f>IFERROR(__xludf.DUMMYFUNCTION("""COMPUTED_VALUE"""),2000.0)</f>
        <v>2000</v>
      </c>
      <c r="S62" s="1">
        <f>IFERROR(__xludf.DUMMYFUNCTION("""COMPUTED_VALUE"""),61.0)</f>
        <v>61</v>
      </c>
      <c r="T62" s="1">
        <f>IFERROR(__xludf.DUMMYFUNCTION("""COMPUTED_VALUE"""),2000.0)</f>
        <v>2000</v>
      </c>
      <c r="U62" s="1">
        <f>IFERROR(__xludf.DUMMYFUNCTION("""COMPUTED_VALUE"""),61.0)</f>
        <v>61</v>
      </c>
      <c r="V62" s="1">
        <f>IFERROR(__xludf.DUMMYFUNCTION("""COMPUTED_VALUE"""),11.0)</f>
        <v>11</v>
      </c>
      <c r="W62" s="1">
        <f>IFERROR(__xludf.DUMMYFUNCTION("""COMPUTED_VALUE"""),1900.0)</f>
        <v>1900</v>
      </c>
      <c r="X62" s="1">
        <f>IFERROR(__xludf.DUMMYFUNCTION("""COMPUTED_VALUE"""),262.0)</f>
        <v>262</v>
      </c>
      <c r="Y62" s="1">
        <f>IFERROR(__xludf.DUMMYFUNCTION("""COMPUTED_VALUE"""),1900.0)</f>
        <v>1900</v>
      </c>
      <c r="Z62" s="1">
        <f>IFERROR(__xludf.DUMMYFUNCTION("""COMPUTED_VALUE"""),100.0)</f>
        <v>100</v>
      </c>
      <c r="AA62" s="1">
        <f>IFERROR(__xludf.DUMMYFUNCTION("""COMPUTED_VALUE"""),1900.0)</f>
        <v>1900</v>
      </c>
      <c r="AB62" s="1">
        <f>IFERROR(__xludf.DUMMYFUNCTION("""COMPUTED_VALUE"""),202.0)</f>
        <v>202</v>
      </c>
      <c r="AC62" s="1">
        <f>IFERROR(__xludf.DUMMYFUNCTION("""COMPUTED_VALUE"""),10.0)</f>
        <v>10</v>
      </c>
      <c r="AD62" s="1">
        <f>IFERROR(__xludf.DUMMYFUNCTION("""COMPUTED_VALUE"""),1890.0)</f>
        <v>1890</v>
      </c>
      <c r="AE62" s="1">
        <f>IFERROR(__xludf.DUMMYFUNCTION("""COMPUTED_VALUE"""),7661.0)</f>
        <v>7661</v>
      </c>
      <c r="AF62" s="1">
        <f>IFERROR(__xludf.DUMMYFUNCTION("""COMPUTED_VALUE"""),1800.0)</f>
        <v>1800</v>
      </c>
      <c r="AG62" s="1">
        <f>IFERROR(__xludf.DUMMYFUNCTION("""COMPUTED_VALUE"""),282.0)</f>
        <v>282</v>
      </c>
      <c r="AH62" s="1">
        <f>IFERROR(__xludf.DUMMYFUNCTION("""COMPUTED_VALUE"""),1800.0)</f>
        <v>1800</v>
      </c>
      <c r="AI62" s="1">
        <f>IFERROR(__xludf.DUMMYFUNCTION("""COMPUTED_VALUE"""),1762.0)</f>
        <v>1762</v>
      </c>
      <c r="AJ62" s="1"/>
      <c r="AK62" s="1"/>
      <c r="AL62" s="1">
        <f>IFERROR(__xludf.DUMMYFUNCTION("""COMPUTED_VALUE"""),0.0)</f>
        <v>0</v>
      </c>
      <c r="AM62" s="1">
        <f>IFERROR(__xludf.DUMMYFUNCTION("""COMPUTED_VALUE"""),1900.0)</f>
        <v>1900</v>
      </c>
      <c r="AN62" s="1">
        <f>IFERROR(__xludf.DUMMYFUNCTION("""COMPUTED_VALUE"""),100.0)</f>
        <v>100</v>
      </c>
      <c r="AO62" s="1">
        <f>IFERROR(__xludf.DUMMYFUNCTION("""COMPUTED_VALUE"""),1900.0)</f>
        <v>1900</v>
      </c>
      <c r="AP62" s="1">
        <f>IFERROR(__xludf.DUMMYFUNCTION("""COMPUTED_VALUE"""),100.0)</f>
        <v>100</v>
      </c>
      <c r="AQ62" s="1">
        <f>IFERROR(__xludf.DUMMYFUNCTION("""COMPUTED_VALUE"""),6.0)</f>
        <v>6</v>
      </c>
      <c r="AR62" s="1">
        <f>IFERROR(__xludf.DUMMYFUNCTION("""COMPUTED_VALUE"""),1800.0)</f>
        <v>1800</v>
      </c>
      <c r="AS62" s="1">
        <f>IFERROR(__xludf.DUMMYFUNCTION("""COMPUTED_VALUE"""),3860.0)</f>
        <v>3860</v>
      </c>
    </row>
    <row r="63">
      <c r="A63" s="1" t="str">
        <f>IFERROR(__xludf.DUMMYFUNCTION("""COMPUTED_VALUE"""),"BSU")</f>
        <v>BSU</v>
      </c>
      <c r="B63" s="1"/>
      <c r="C63" s="1"/>
      <c r="D63" s="1">
        <f>IFERROR(__xludf.DUMMYFUNCTION("""COMPUTED_VALUE"""),555194.0)</f>
        <v>555194</v>
      </c>
      <c r="E63" s="1"/>
      <c r="F63" s="1"/>
      <c r="G63" s="1">
        <f>IFERROR(__xludf.DUMMYFUNCTION("""COMPUTED_VALUE"""),0.0)</f>
        <v>0</v>
      </c>
      <c r="H63" s="1"/>
      <c r="I63" s="1"/>
      <c r="J63" s="1">
        <f>IFERROR(__xludf.DUMMYFUNCTION("""COMPUTED_VALUE"""),0.0)</f>
        <v>0</v>
      </c>
      <c r="K63" s="1">
        <f>IFERROR(__xludf.DUMMYFUNCTION("""COMPUTED_VALUE"""),555194.0)</f>
        <v>555194</v>
      </c>
      <c r="L63" s="1"/>
      <c r="M63" s="1"/>
      <c r="N63" s="1">
        <f>IFERROR(__xludf.DUMMYFUNCTION("""COMPUTED_VALUE"""),0.0)</f>
        <v>0</v>
      </c>
      <c r="O63" s="1"/>
      <c r="P63" s="1"/>
      <c r="Q63" s="1">
        <f>IFERROR(__xludf.DUMMYFUNCTION("""COMPUTED_VALUE"""),0.0)</f>
        <v>0</v>
      </c>
      <c r="R63" s="1">
        <f>IFERROR(__xludf.DUMMYFUNCTION("""COMPUTED_VALUE"""),555194.0)</f>
        <v>555194</v>
      </c>
      <c r="S63" s="1"/>
      <c r="T63" s="1"/>
      <c r="U63" s="1">
        <f>IFERROR(__xludf.DUMMYFUNCTION("""COMPUTED_VALUE"""),0.0)</f>
        <v>0</v>
      </c>
      <c r="V63" s="1"/>
      <c r="W63" s="1"/>
      <c r="X63" s="1">
        <f>IFERROR(__xludf.DUMMYFUNCTION("""COMPUTED_VALUE"""),0.0)</f>
        <v>0</v>
      </c>
      <c r="Y63" s="1">
        <f>IFERROR(__xludf.DUMMYFUNCTION("""COMPUTED_VALUE"""),555194.0)</f>
        <v>555194</v>
      </c>
      <c r="Z63" s="1"/>
      <c r="AA63" s="1"/>
      <c r="AB63" s="1">
        <f>IFERROR(__xludf.DUMMYFUNCTION("""COMPUTED_VALUE"""),0.0)</f>
        <v>0</v>
      </c>
      <c r="AC63" s="1"/>
      <c r="AD63" s="1"/>
      <c r="AE63" s="1">
        <f>IFERROR(__xludf.DUMMYFUNCTION("""COMPUTED_VALUE"""),0.0)</f>
        <v>0</v>
      </c>
      <c r="AF63" s="1">
        <f>IFERROR(__xludf.DUMMYFUNCTION("""COMPUTED_VALUE"""),555194.0)</f>
        <v>555194</v>
      </c>
      <c r="AG63" s="1"/>
      <c r="AH63" s="1"/>
      <c r="AI63" s="1">
        <f>IFERROR(__xludf.DUMMYFUNCTION("""COMPUTED_VALUE"""),0.0)</f>
        <v>0</v>
      </c>
      <c r="AJ63" s="1"/>
      <c r="AK63" s="1"/>
      <c r="AL63" s="1">
        <f>IFERROR(__xludf.DUMMYFUNCTION("""COMPUTED_VALUE"""),0.0)</f>
        <v>0</v>
      </c>
      <c r="AM63" s="1">
        <f>IFERROR(__xludf.DUMMYFUNCTION("""COMPUTED_VALUE"""),555194.0)</f>
        <v>555194</v>
      </c>
      <c r="AN63" s="1"/>
      <c r="AO63" s="1"/>
      <c r="AP63" s="1">
        <f>IFERROR(__xludf.DUMMYFUNCTION("""COMPUTED_VALUE"""),0.0)</f>
        <v>0</v>
      </c>
      <c r="AQ63" s="1"/>
      <c r="AR63" s="1"/>
      <c r="AS63" s="1">
        <f>IFERROR(__xludf.DUMMYFUNCTION("""COMPUTED_VALUE"""),0.0)</f>
        <v>0</v>
      </c>
    </row>
    <row r="64">
      <c r="A64" s="1" t="str">
        <f>IFERROR(__xludf.DUMMYFUNCTION("""COMPUTED_VALUE"""),"BTA")</f>
        <v>BTA</v>
      </c>
      <c r="B64" s="1">
        <f>IFERROR(__xludf.DUMMYFUNCTION("""COMPUTED_VALUE"""),500.0)</f>
        <v>500</v>
      </c>
      <c r="C64" s="1">
        <f>IFERROR(__xludf.DUMMYFUNCTION("""COMPUTED_VALUE"""),1800.0)</f>
        <v>1800</v>
      </c>
      <c r="D64" s="1">
        <f>IFERROR(__xludf.DUMMYFUNCTION("""COMPUTED_VALUE"""),1800.0)</f>
        <v>1800</v>
      </c>
      <c r="E64" s="1">
        <f>IFERROR(__xludf.DUMMYFUNCTION("""COMPUTED_VALUE"""),100.0)</f>
        <v>100</v>
      </c>
      <c r="F64" s="1">
        <f>IFERROR(__xludf.DUMMYFUNCTION("""COMPUTED_VALUE"""),1800.0)</f>
        <v>1800</v>
      </c>
      <c r="G64" s="1">
        <f>IFERROR(__xludf.DUMMYFUNCTION("""COMPUTED_VALUE"""),100.0)</f>
        <v>100</v>
      </c>
      <c r="H64" s="1">
        <f>IFERROR(__xludf.DUMMYFUNCTION("""COMPUTED_VALUE"""),1.0)</f>
        <v>1</v>
      </c>
      <c r="I64" s="1">
        <f>IFERROR(__xludf.DUMMYFUNCTION("""COMPUTED_VALUE"""),1510.0)</f>
        <v>1510</v>
      </c>
      <c r="J64" s="1">
        <f>IFERROR(__xludf.DUMMYFUNCTION("""COMPUTED_VALUE"""),1521.0)</f>
        <v>1521</v>
      </c>
      <c r="K64" s="1">
        <f>IFERROR(__xludf.DUMMYFUNCTION("""COMPUTED_VALUE"""),1790.0)</f>
        <v>1790</v>
      </c>
      <c r="L64" s="1">
        <f>IFERROR(__xludf.DUMMYFUNCTION("""COMPUTED_VALUE"""),541.0)</f>
        <v>541</v>
      </c>
      <c r="M64" s="1">
        <f>IFERROR(__xludf.DUMMYFUNCTION("""COMPUTED_VALUE"""),1790.0)</f>
        <v>1790</v>
      </c>
      <c r="N64" s="1">
        <f>IFERROR(__xludf.DUMMYFUNCTION("""COMPUTED_VALUE"""),641.0)</f>
        <v>641</v>
      </c>
      <c r="O64" s="1">
        <f>IFERROR(__xludf.DUMMYFUNCTION("""COMPUTED_VALUE"""),2.0)</f>
        <v>2</v>
      </c>
      <c r="P64" s="1">
        <f>IFERROR(__xludf.DUMMYFUNCTION("""COMPUTED_VALUE"""),1610.0)</f>
        <v>1610</v>
      </c>
      <c r="Q64" s="1">
        <f>IFERROR(__xludf.DUMMYFUNCTION("""COMPUTED_VALUE"""),1894.0)</f>
        <v>1894</v>
      </c>
      <c r="R64" s="1">
        <f>IFERROR(__xludf.DUMMYFUNCTION("""COMPUTED_VALUE"""),1580.0)</f>
        <v>1580</v>
      </c>
      <c r="S64" s="1">
        <f>IFERROR(__xludf.DUMMYFUNCTION("""COMPUTED_VALUE"""),6.0)</f>
        <v>6</v>
      </c>
      <c r="T64" s="1">
        <f>IFERROR(__xludf.DUMMYFUNCTION("""COMPUTED_VALUE"""),1580.0)</f>
        <v>1580</v>
      </c>
      <c r="U64" s="1">
        <f>IFERROR(__xludf.DUMMYFUNCTION("""COMPUTED_VALUE"""),523.0)</f>
        <v>523</v>
      </c>
      <c r="V64" s="1"/>
      <c r="W64" s="1"/>
      <c r="X64" s="1">
        <f>IFERROR(__xludf.DUMMYFUNCTION("""COMPUTED_VALUE"""),0.0)</f>
        <v>0</v>
      </c>
      <c r="Y64" s="1">
        <f>IFERROR(__xludf.DUMMYFUNCTION("""COMPUTED_VALUE"""),1700.0)</f>
        <v>1700</v>
      </c>
      <c r="Z64" s="1">
        <f>IFERROR(__xludf.DUMMYFUNCTION("""COMPUTED_VALUE"""),46.0)</f>
        <v>46</v>
      </c>
      <c r="AA64" s="1">
        <f>IFERROR(__xludf.DUMMYFUNCTION("""COMPUTED_VALUE"""),1700.0)</f>
        <v>1700</v>
      </c>
      <c r="AB64" s="1">
        <f>IFERROR(__xludf.DUMMYFUNCTION("""COMPUTED_VALUE"""),748.0)</f>
        <v>748</v>
      </c>
      <c r="AC64" s="1">
        <f>IFERROR(__xludf.DUMMYFUNCTION("""COMPUTED_VALUE"""),237.0)</f>
        <v>237</v>
      </c>
      <c r="AD64" s="1">
        <f>IFERROR(__xludf.DUMMYFUNCTION("""COMPUTED_VALUE"""),1400.0)</f>
        <v>1400</v>
      </c>
      <c r="AE64" s="1">
        <f>IFERROR(__xludf.DUMMYFUNCTION("""COMPUTED_VALUE"""),1752.0)</f>
        <v>1752</v>
      </c>
      <c r="AF64" s="1">
        <f>IFERROR(__xludf.DUMMYFUNCTION("""COMPUTED_VALUE"""),1600.0)</f>
        <v>1600</v>
      </c>
      <c r="AG64" s="1">
        <f>IFERROR(__xludf.DUMMYFUNCTION("""COMPUTED_VALUE"""),13.0)</f>
        <v>13</v>
      </c>
      <c r="AH64" s="1">
        <f>IFERROR(__xludf.DUMMYFUNCTION("""COMPUTED_VALUE"""),1600.0)</f>
        <v>1600</v>
      </c>
      <c r="AI64" s="1">
        <f>IFERROR(__xludf.DUMMYFUNCTION("""COMPUTED_VALUE"""),463.0)</f>
        <v>463</v>
      </c>
      <c r="AJ64" s="1">
        <f>IFERROR(__xludf.DUMMYFUNCTION("""COMPUTED_VALUE"""),40.0)</f>
        <v>40</v>
      </c>
      <c r="AK64" s="1">
        <f>IFERROR(__xludf.DUMMYFUNCTION("""COMPUTED_VALUE"""),1100.0)</f>
        <v>1100</v>
      </c>
      <c r="AL64" s="1">
        <f>IFERROR(__xludf.DUMMYFUNCTION("""COMPUTED_VALUE"""),40.0)</f>
        <v>40</v>
      </c>
      <c r="AM64" s="1">
        <f>IFERROR(__xludf.DUMMYFUNCTION("""COMPUTED_VALUE"""),1780.0)</f>
        <v>1780</v>
      </c>
      <c r="AN64" s="1">
        <f>IFERROR(__xludf.DUMMYFUNCTION("""COMPUTED_VALUE"""),69.0)</f>
        <v>69</v>
      </c>
      <c r="AO64" s="1">
        <f>IFERROR(__xludf.DUMMYFUNCTION("""COMPUTED_VALUE"""),1790.0)</f>
        <v>1790</v>
      </c>
      <c r="AP64" s="1">
        <f>IFERROR(__xludf.DUMMYFUNCTION("""COMPUTED_VALUE"""),169.0)</f>
        <v>169</v>
      </c>
      <c r="AQ64" s="1">
        <f>IFERROR(__xludf.DUMMYFUNCTION("""COMPUTED_VALUE"""),2.0)</f>
        <v>2</v>
      </c>
      <c r="AR64" s="1">
        <f>IFERROR(__xludf.DUMMYFUNCTION("""COMPUTED_VALUE"""),1450.0)</f>
        <v>1450</v>
      </c>
      <c r="AS64" s="1">
        <f>IFERROR(__xludf.DUMMYFUNCTION("""COMPUTED_VALUE"""),484.0)</f>
        <v>484</v>
      </c>
    </row>
    <row r="65">
      <c r="A65" s="1" t="str">
        <f>IFERROR(__xludf.DUMMYFUNCTION("""COMPUTED_VALUE"""),"BTS")</f>
        <v>BTS</v>
      </c>
      <c r="B65" s="1"/>
      <c r="C65" s="1"/>
      <c r="D65" s="1">
        <f>IFERROR(__xludf.DUMMYFUNCTION("""COMPUTED_VALUE"""),415.0)</f>
        <v>415</v>
      </c>
      <c r="E65" s="1">
        <f>IFERROR(__xludf.DUMMYFUNCTION("""COMPUTED_VALUE"""),128.0)</f>
        <v>128</v>
      </c>
      <c r="F65" s="1">
        <f>IFERROR(__xludf.DUMMYFUNCTION("""COMPUTED_VALUE"""),415.0)</f>
        <v>415</v>
      </c>
      <c r="G65" s="1">
        <f>IFERROR(__xludf.DUMMYFUNCTION("""COMPUTED_VALUE"""),47118.0)</f>
        <v>47118</v>
      </c>
      <c r="H65" s="1">
        <f>IFERROR(__xludf.DUMMYFUNCTION("""COMPUTED_VALUE"""),1000.0)</f>
        <v>1000</v>
      </c>
      <c r="I65" s="1">
        <f>IFERROR(__xludf.DUMMYFUNCTION("""COMPUTED_VALUE"""),370.0)</f>
        <v>370</v>
      </c>
      <c r="J65" s="1">
        <f>IFERROR(__xludf.DUMMYFUNCTION("""COMPUTED_VALUE"""),5369.0)</f>
        <v>5369</v>
      </c>
      <c r="K65" s="1">
        <f>IFERROR(__xludf.DUMMYFUNCTION("""COMPUTED_VALUE"""),490.0)</f>
        <v>490</v>
      </c>
      <c r="L65" s="1">
        <f>IFERROR(__xludf.DUMMYFUNCTION("""COMPUTED_VALUE"""),944.0)</f>
        <v>944</v>
      </c>
      <c r="M65" s="1">
        <f>IFERROR(__xludf.DUMMYFUNCTION("""COMPUTED_VALUE"""),490.0)</f>
        <v>490</v>
      </c>
      <c r="N65" s="1">
        <f>IFERROR(__xludf.DUMMYFUNCTION("""COMPUTED_VALUE"""),35399.0)</f>
        <v>35399</v>
      </c>
      <c r="O65" s="1">
        <f>IFERROR(__xludf.DUMMYFUNCTION("""COMPUTED_VALUE"""),520.0)</f>
        <v>520</v>
      </c>
      <c r="P65" s="1">
        <f>IFERROR(__xludf.DUMMYFUNCTION("""COMPUTED_VALUE"""),349.0)</f>
        <v>349</v>
      </c>
      <c r="Q65" s="1">
        <f>IFERROR(__xludf.DUMMYFUNCTION("""COMPUTED_VALUE"""),520.0)</f>
        <v>520</v>
      </c>
      <c r="R65" s="1">
        <f>IFERROR(__xludf.DUMMYFUNCTION("""COMPUTED_VALUE"""),100.349998474121)</f>
        <v>100.3499985</v>
      </c>
      <c r="S65" s="1"/>
      <c r="T65" s="1"/>
      <c r="U65" s="1">
        <f>IFERROR(__xludf.DUMMYFUNCTION("""COMPUTED_VALUE"""),0.0)</f>
        <v>0</v>
      </c>
      <c r="V65" s="1"/>
      <c r="W65" s="1"/>
      <c r="X65" s="1">
        <f>IFERROR(__xludf.DUMMYFUNCTION("""COMPUTED_VALUE"""),0.0)</f>
        <v>0</v>
      </c>
      <c r="Y65" s="1">
        <f>IFERROR(__xludf.DUMMYFUNCTION("""COMPUTED_VALUE"""),246.0)</f>
        <v>246</v>
      </c>
      <c r="Z65" s="1">
        <f>IFERROR(__xludf.DUMMYFUNCTION("""COMPUTED_VALUE"""),929.0)</f>
        <v>929</v>
      </c>
      <c r="AA65" s="1">
        <f>IFERROR(__xludf.DUMMYFUNCTION("""COMPUTED_VALUE"""),350.0)</f>
        <v>350</v>
      </c>
      <c r="AB65" s="1">
        <f>IFERROR(__xludf.DUMMYFUNCTION("""COMPUTED_VALUE"""),41120.0)</f>
        <v>41120</v>
      </c>
      <c r="AC65" s="1">
        <f>IFERROR(__xludf.DUMMYFUNCTION("""COMPUTED_VALUE"""),999.0)</f>
        <v>999</v>
      </c>
      <c r="AD65" s="1">
        <f>IFERROR(__xludf.DUMMYFUNCTION("""COMPUTED_VALUE"""),246.0)</f>
        <v>246</v>
      </c>
      <c r="AE65" s="1">
        <f>IFERROR(__xludf.DUMMYFUNCTION("""COMPUTED_VALUE"""),12999.0)</f>
        <v>12999</v>
      </c>
      <c r="AF65" s="1">
        <f>IFERROR(__xludf.DUMMYFUNCTION("""COMPUTED_VALUE"""),100.349998474121)</f>
        <v>100.3499985</v>
      </c>
      <c r="AG65" s="1">
        <f>IFERROR(__xludf.DUMMYFUNCTION("""COMPUTED_VALUE"""),100.0)</f>
        <v>100</v>
      </c>
      <c r="AH65" s="1">
        <f>IFERROR(__xludf.DUMMYFUNCTION("""COMPUTED_VALUE"""),529.0)</f>
        <v>529</v>
      </c>
      <c r="AI65" s="1">
        <f>IFERROR(__xludf.DUMMYFUNCTION("""COMPUTED_VALUE"""),100.0)</f>
        <v>100</v>
      </c>
      <c r="AJ65" s="1"/>
      <c r="AK65" s="1"/>
      <c r="AL65" s="1">
        <f>IFERROR(__xludf.DUMMYFUNCTION("""COMPUTED_VALUE"""),0.0)</f>
        <v>0</v>
      </c>
      <c r="AM65" s="1">
        <f>IFERROR(__xludf.DUMMYFUNCTION("""COMPUTED_VALUE"""),345.0)</f>
        <v>345</v>
      </c>
      <c r="AN65" s="1">
        <f>IFERROR(__xludf.DUMMYFUNCTION("""COMPUTED_VALUE"""),5096.0)</f>
        <v>5096</v>
      </c>
      <c r="AO65" s="1">
        <f>IFERROR(__xludf.DUMMYFUNCTION("""COMPUTED_VALUE"""),345.0)</f>
        <v>345</v>
      </c>
      <c r="AP65" s="1">
        <f>IFERROR(__xludf.DUMMYFUNCTION("""COMPUTED_VALUE"""),13507.0)</f>
        <v>13507</v>
      </c>
      <c r="AQ65" s="1">
        <f>IFERROR(__xludf.DUMMYFUNCTION("""COMPUTED_VALUE"""),1000.0)</f>
        <v>1000</v>
      </c>
      <c r="AR65" s="1">
        <f>IFERROR(__xludf.DUMMYFUNCTION("""COMPUTED_VALUE"""),305.0)</f>
        <v>305</v>
      </c>
      <c r="AS65" s="1">
        <f>IFERROR(__xludf.DUMMYFUNCTION("""COMPUTED_VALUE"""),2500.0)</f>
        <v>2500</v>
      </c>
    </row>
    <row r="66">
      <c r="A66" s="1" t="str">
        <f>IFERROR(__xludf.DUMMYFUNCTION("""COMPUTED_VALUE"""),"BWH")</f>
        <v>BWH</v>
      </c>
      <c r="B66" s="1"/>
      <c r="C66" s="1"/>
      <c r="D66" s="1">
        <f>IFERROR(__xludf.DUMMYFUNCTION("""COMPUTED_VALUE"""),9500.0)</f>
        <v>9500</v>
      </c>
      <c r="E66" s="1">
        <f>IFERROR(__xludf.DUMMYFUNCTION("""COMPUTED_VALUE"""),100.0)</f>
        <v>100</v>
      </c>
      <c r="F66" s="1">
        <f>IFERROR(__xludf.DUMMYFUNCTION("""COMPUTED_VALUE"""),9490.0)</f>
        <v>9490</v>
      </c>
      <c r="G66" s="1">
        <f>IFERROR(__xludf.DUMMYFUNCTION("""COMPUTED_VALUE"""),220.0)</f>
        <v>220</v>
      </c>
      <c r="H66" s="1"/>
      <c r="I66" s="1"/>
      <c r="J66" s="1">
        <f>IFERROR(__xludf.DUMMYFUNCTION("""COMPUTED_VALUE"""),0.0)</f>
        <v>0</v>
      </c>
      <c r="K66" s="1">
        <f>IFERROR(__xludf.DUMMYFUNCTION("""COMPUTED_VALUE"""),6400.0)</f>
        <v>6400</v>
      </c>
      <c r="L66" s="1">
        <f>IFERROR(__xludf.DUMMYFUNCTION("""COMPUTED_VALUE"""),23.0)</f>
        <v>23</v>
      </c>
      <c r="M66" s="1">
        <f>IFERROR(__xludf.DUMMYFUNCTION("""COMPUTED_VALUE"""),6400.0)</f>
        <v>6400</v>
      </c>
      <c r="N66" s="1">
        <f>IFERROR(__xludf.DUMMYFUNCTION("""COMPUTED_VALUE"""),147.0)</f>
        <v>147</v>
      </c>
      <c r="O66" s="1"/>
      <c r="P66" s="1"/>
      <c r="Q66" s="1">
        <f>IFERROR(__xludf.DUMMYFUNCTION("""COMPUTED_VALUE"""),0.0)</f>
        <v>0</v>
      </c>
      <c r="R66" s="1">
        <f>IFERROR(__xludf.DUMMYFUNCTION("""COMPUTED_VALUE"""),3002.35009765625)</f>
        <v>3002.350098</v>
      </c>
      <c r="S66" s="1"/>
      <c r="T66" s="1"/>
      <c r="U66" s="1">
        <f>IFERROR(__xludf.DUMMYFUNCTION("""COMPUTED_VALUE"""),0.0)</f>
        <v>0</v>
      </c>
      <c r="V66" s="1"/>
      <c r="W66" s="1"/>
      <c r="X66" s="1">
        <f>IFERROR(__xludf.DUMMYFUNCTION("""COMPUTED_VALUE"""),0.0)</f>
        <v>0</v>
      </c>
      <c r="Y66" s="1">
        <f>IFERROR(__xludf.DUMMYFUNCTION("""COMPUTED_VALUE"""),3250.0)</f>
        <v>3250</v>
      </c>
      <c r="Z66" s="1"/>
      <c r="AA66" s="1"/>
      <c r="AB66" s="1">
        <f>IFERROR(__xludf.DUMMYFUNCTION("""COMPUTED_VALUE"""),0.0)</f>
        <v>0</v>
      </c>
      <c r="AC66" s="1">
        <f>IFERROR(__xludf.DUMMYFUNCTION("""COMPUTED_VALUE"""),2.0)</f>
        <v>2</v>
      </c>
      <c r="AD66" s="1">
        <f>IFERROR(__xludf.DUMMYFUNCTION("""COMPUTED_VALUE"""),5000.0)</f>
        <v>5000</v>
      </c>
      <c r="AE66" s="1">
        <f>IFERROR(__xludf.DUMMYFUNCTION("""COMPUTED_VALUE"""),195.0)</f>
        <v>195</v>
      </c>
      <c r="AF66" s="1">
        <f>IFERROR(__xludf.DUMMYFUNCTION("""COMPUTED_VALUE"""),3002.35009765625)</f>
        <v>3002.350098</v>
      </c>
      <c r="AG66" s="1"/>
      <c r="AH66" s="1"/>
      <c r="AI66" s="1">
        <f>IFERROR(__xludf.DUMMYFUNCTION("""COMPUTED_VALUE"""),0.0)</f>
        <v>0</v>
      </c>
      <c r="AJ66" s="1"/>
      <c r="AK66" s="1"/>
      <c r="AL66" s="1">
        <f>IFERROR(__xludf.DUMMYFUNCTION("""COMPUTED_VALUE"""),0.0)</f>
        <v>0</v>
      </c>
      <c r="AM66" s="1">
        <f>IFERROR(__xludf.DUMMYFUNCTION("""COMPUTED_VALUE"""),4250.0)</f>
        <v>4250</v>
      </c>
      <c r="AN66" s="1"/>
      <c r="AO66" s="1"/>
      <c r="AP66" s="1">
        <f>IFERROR(__xludf.DUMMYFUNCTION("""COMPUTED_VALUE"""),0.0)</f>
        <v>0</v>
      </c>
      <c r="AQ66" s="1"/>
      <c r="AR66" s="1"/>
      <c r="AS66" s="1">
        <f>IFERROR(__xludf.DUMMYFUNCTION("""COMPUTED_VALUE"""),0.0)</f>
        <v>0</v>
      </c>
    </row>
    <row r="67">
      <c r="A67" s="1" t="str">
        <f>IFERROR(__xludf.DUMMYFUNCTION("""COMPUTED_VALUE"""),"BWS")</f>
        <v>BWS</v>
      </c>
      <c r="B67" s="1"/>
      <c r="C67" s="1"/>
      <c r="D67" s="1">
        <f>IFERROR(__xludf.DUMMYFUNCTION("""COMPUTED_VALUE"""),24000.0)</f>
        <v>24000</v>
      </c>
      <c r="E67" s="1">
        <f>IFERROR(__xludf.DUMMYFUNCTION("""COMPUTED_VALUE"""),204.0)</f>
        <v>204</v>
      </c>
      <c r="F67" s="1">
        <f>IFERROR(__xludf.DUMMYFUNCTION("""COMPUTED_VALUE"""),24000.0)</f>
        <v>24000</v>
      </c>
      <c r="G67" s="1">
        <f>IFERROR(__xludf.DUMMYFUNCTION("""COMPUTED_VALUE"""),690.0)</f>
        <v>690</v>
      </c>
      <c r="H67" s="1">
        <f>IFERROR(__xludf.DUMMYFUNCTION("""COMPUTED_VALUE"""),7.0)</f>
        <v>7</v>
      </c>
      <c r="I67" s="1">
        <f>IFERROR(__xludf.DUMMYFUNCTION("""COMPUTED_VALUE"""),22600.0)</f>
        <v>22600</v>
      </c>
      <c r="J67" s="1">
        <f>IFERROR(__xludf.DUMMYFUNCTION("""COMPUTED_VALUE"""),591.0)</f>
        <v>591</v>
      </c>
      <c r="K67" s="1">
        <f>IFERROR(__xludf.DUMMYFUNCTION("""COMPUTED_VALUE"""),22750.0)</f>
        <v>22750</v>
      </c>
      <c r="L67" s="1">
        <f>IFERROR(__xludf.DUMMYFUNCTION("""COMPUTED_VALUE"""),2.0)</f>
        <v>2</v>
      </c>
      <c r="M67" s="1">
        <f>IFERROR(__xludf.DUMMYFUNCTION("""COMPUTED_VALUE"""),22800.0)</f>
        <v>22800</v>
      </c>
      <c r="N67" s="1">
        <f>IFERROR(__xludf.DUMMYFUNCTION("""COMPUTED_VALUE"""),84.0)</f>
        <v>84</v>
      </c>
      <c r="O67" s="1">
        <f>IFERROR(__xludf.DUMMYFUNCTION("""COMPUTED_VALUE"""),50.0)</f>
        <v>50</v>
      </c>
      <c r="P67" s="1">
        <f>IFERROR(__xludf.DUMMYFUNCTION("""COMPUTED_VALUE"""),20000.0)</f>
        <v>20000</v>
      </c>
      <c r="Q67" s="1">
        <f>IFERROR(__xludf.DUMMYFUNCTION("""COMPUTED_VALUE"""),50.0)</f>
        <v>50</v>
      </c>
      <c r="R67" s="1">
        <f>IFERROR(__xludf.DUMMYFUNCTION("""COMPUTED_VALUE"""),30000.0)</f>
        <v>30000</v>
      </c>
      <c r="S67" s="1"/>
      <c r="T67" s="1"/>
      <c r="U67" s="1">
        <f>IFERROR(__xludf.DUMMYFUNCTION("""COMPUTED_VALUE"""),0.0)</f>
        <v>0</v>
      </c>
      <c r="V67" s="1">
        <f>IFERROR(__xludf.DUMMYFUNCTION("""COMPUTED_VALUE"""),5.0)</f>
        <v>5</v>
      </c>
      <c r="W67" s="1">
        <f>IFERROR(__xludf.DUMMYFUNCTION("""COMPUTED_VALUE"""),22000.0)</f>
        <v>22000</v>
      </c>
      <c r="X67" s="1">
        <f>IFERROR(__xludf.DUMMYFUNCTION("""COMPUTED_VALUE"""),5.0)</f>
        <v>5</v>
      </c>
      <c r="Y67" s="1">
        <f>IFERROR(__xludf.DUMMYFUNCTION("""COMPUTED_VALUE"""),24000.0)</f>
        <v>24000</v>
      </c>
      <c r="Z67" s="1">
        <f>IFERROR(__xludf.DUMMYFUNCTION("""COMPUTED_VALUE"""),211.0)</f>
        <v>211</v>
      </c>
      <c r="AA67" s="1">
        <f>IFERROR(__xludf.DUMMYFUNCTION("""COMPUTED_VALUE"""),24000.0)</f>
        <v>24000</v>
      </c>
      <c r="AB67" s="1">
        <f>IFERROR(__xludf.DUMMYFUNCTION("""COMPUTED_VALUE"""),941.0)</f>
        <v>941</v>
      </c>
      <c r="AC67" s="1">
        <f>IFERROR(__xludf.DUMMYFUNCTION("""COMPUTED_VALUE"""),18.0)</f>
        <v>18</v>
      </c>
      <c r="AD67" s="1">
        <f>IFERROR(__xludf.DUMMYFUNCTION("""COMPUTED_VALUE"""),20100.0)</f>
        <v>20100</v>
      </c>
      <c r="AE67" s="1">
        <f>IFERROR(__xludf.DUMMYFUNCTION("""COMPUTED_VALUE"""),219.0)</f>
        <v>219</v>
      </c>
      <c r="AF67" s="1">
        <f>IFERROR(__xludf.DUMMYFUNCTION("""COMPUTED_VALUE"""),8590.1298828125)</f>
        <v>8590.129883</v>
      </c>
      <c r="AG67" s="1">
        <f>IFERROR(__xludf.DUMMYFUNCTION("""COMPUTED_VALUE"""),1.0)</f>
        <v>1</v>
      </c>
      <c r="AH67" s="1">
        <f>IFERROR(__xludf.DUMMYFUNCTION("""COMPUTED_VALUE"""),23000.0)</f>
        <v>23000</v>
      </c>
      <c r="AI67" s="1">
        <f>IFERROR(__xludf.DUMMYFUNCTION("""COMPUTED_VALUE"""),1.0)</f>
        <v>1</v>
      </c>
      <c r="AJ67" s="1"/>
      <c r="AK67" s="1"/>
      <c r="AL67" s="1">
        <f>IFERROR(__xludf.DUMMYFUNCTION("""COMPUTED_VALUE"""),0.0)</f>
        <v>0</v>
      </c>
      <c r="AM67" s="1">
        <f>IFERROR(__xludf.DUMMYFUNCTION("""COMPUTED_VALUE"""),22000.0)</f>
        <v>22000</v>
      </c>
      <c r="AN67" s="1">
        <f>IFERROR(__xludf.DUMMYFUNCTION("""COMPUTED_VALUE"""),2.0)</f>
        <v>2</v>
      </c>
      <c r="AO67" s="1">
        <f>IFERROR(__xludf.DUMMYFUNCTION("""COMPUTED_VALUE"""),22000.0)</f>
        <v>22000</v>
      </c>
      <c r="AP67" s="1">
        <f>IFERROR(__xludf.DUMMYFUNCTION("""COMPUTED_VALUE"""),2.0)</f>
        <v>2</v>
      </c>
      <c r="AQ67" s="1"/>
      <c r="AR67" s="1"/>
      <c r="AS67" s="1">
        <f>IFERROR(__xludf.DUMMYFUNCTION("""COMPUTED_VALUE"""),0.0)</f>
        <v>0</v>
      </c>
    </row>
    <row r="68">
      <c r="A68" s="1" t="str">
        <f>IFERROR(__xludf.DUMMYFUNCTION("""COMPUTED_VALUE"""),"C")</f>
        <v>C</v>
      </c>
      <c r="B68" s="1">
        <f>IFERROR(__xludf.DUMMYFUNCTION("""COMPUTED_VALUE"""),225.0)</f>
        <v>225</v>
      </c>
      <c r="C68" s="1"/>
      <c r="D68" s="1">
        <f>IFERROR(__xludf.DUMMYFUNCTION("""COMPUTED_VALUE"""),934.419982910156)</f>
        <v>934.4199829</v>
      </c>
      <c r="E68" s="1">
        <f>IFERROR(__xludf.DUMMYFUNCTION("""COMPUTED_VALUE"""),208.0)</f>
        <v>208</v>
      </c>
      <c r="F68" s="1">
        <f>IFERROR(__xludf.DUMMYFUNCTION("""COMPUTED_VALUE"""),935.0)</f>
        <v>935</v>
      </c>
      <c r="G68" s="1">
        <f>IFERROR(__xludf.DUMMYFUNCTION("""COMPUTED_VALUE"""),111992.0)</f>
        <v>111992</v>
      </c>
      <c r="H68" s="1">
        <f>IFERROR(__xludf.DUMMYFUNCTION("""COMPUTED_VALUE"""),20.0)</f>
        <v>20</v>
      </c>
      <c r="I68" s="1">
        <f>IFERROR(__xludf.DUMMYFUNCTION("""COMPUTED_VALUE"""),860.0)</f>
        <v>860</v>
      </c>
      <c r="J68" s="1">
        <f>IFERROR(__xludf.DUMMYFUNCTION("""COMPUTED_VALUE"""),37631.0)</f>
        <v>37631</v>
      </c>
      <c r="K68" s="1">
        <f>IFERROR(__xludf.DUMMYFUNCTION("""COMPUTED_VALUE"""),853.0)</f>
        <v>853</v>
      </c>
      <c r="L68" s="1">
        <f>IFERROR(__xludf.DUMMYFUNCTION("""COMPUTED_VALUE"""),21.0)</f>
        <v>21</v>
      </c>
      <c r="M68" s="1">
        <f>IFERROR(__xludf.DUMMYFUNCTION("""COMPUTED_VALUE"""),950.0)</f>
        <v>950</v>
      </c>
      <c r="N68" s="1">
        <f>IFERROR(__xludf.DUMMYFUNCTION("""COMPUTED_VALUE"""),29258.0)</f>
        <v>29258</v>
      </c>
      <c r="O68" s="1">
        <f>IFERROR(__xludf.DUMMYFUNCTION("""COMPUTED_VALUE"""),100.0)</f>
        <v>100</v>
      </c>
      <c r="P68" s="1">
        <f>IFERROR(__xludf.DUMMYFUNCTION("""COMPUTED_VALUE"""),854.0)</f>
        <v>854</v>
      </c>
      <c r="Q68" s="1">
        <f>IFERROR(__xludf.DUMMYFUNCTION("""COMPUTED_VALUE"""),26414.0)</f>
        <v>26414</v>
      </c>
      <c r="R68" s="1">
        <f>IFERROR(__xludf.DUMMYFUNCTION("""COMPUTED_VALUE"""),900.0)</f>
        <v>900</v>
      </c>
      <c r="S68" s="1">
        <f>IFERROR(__xludf.DUMMYFUNCTION("""COMPUTED_VALUE"""),492.0)</f>
        <v>492</v>
      </c>
      <c r="T68" s="1">
        <f>IFERROR(__xludf.DUMMYFUNCTION("""COMPUTED_VALUE"""),1500.0)</f>
        <v>1500</v>
      </c>
      <c r="U68" s="1">
        <f>IFERROR(__xludf.DUMMYFUNCTION("""COMPUTED_VALUE"""),928.0)</f>
        <v>928</v>
      </c>
      <c r="V68" s="1">
        <f>IFERROR(__xludf.DUMMYFUNCTION("""COMPUTED_VALUE"""),2000.0)</f>
        <v>2000</v>
      </c>
      <c r="W68" s="1">
        <f>IFERROR(__xludf.DUMMYFUNCTION("""COMPUTED_VALUE"""),850.0)</f>
        <v>850</v>
      </c>
      <c r="X68" s="1">
        <f>IFERROR(__xludf.DUMMYFUNCTION("""COMPUTED_VALUE"""),3100.0)</f>
        <v>3100</v>
      </c>
      <c r="Y68" s="1">
        <f>IFERROR(__xludf.DUMMYFUNCTION("""COMPUTED_VALUE"""),910.0)</f>
        <v>910</v>
      </c>
      <c r="Z68" s="1">
        <f>IFERROR(__xludf.DUMMYFUNCTION("""COMPUTED_VALUE"""),140.0)</f>
        <v>140</v>
      </c>
      <c r="AA68" s="1">
        <f>IFERROR(__xludf.DUMMYFUNCTION("""COMPUTED_VALUE"""),900.0)</f>
        <v>900</v>
      </c>
      <c r="AB68" s="1">
        <f>IFERROR(__xludf.DUMMYFUNCTION("""COMPUTED_VALUE"""),85453.0)</f>
        <v>85453</v>
      </c>
      <c r="AC68" s="1">
        <f>IFERROR(__xludf.DUMMYFUNCTION("""COMPUTED_VALUE"""),20.0)</f>
        <v>20</v>
      </c>
      <c r="AD68" s="1">
        <f>IFERROR(__xludf.DUMMYFUNCTION("""COMPUTED_VALUE"""),800.0)</f>
        <v>800</v>
      </c>
      <c r="AE68" s="1">
        <f>IFERROR(__xludf.DUMMYFUNCTION("""COMPUTED_VALUE"""),62824.0)</f>
        <v>62824</v>
      </c>
      <c r="AF68" s="1">
        <f>IFERROR(__xludf.DUMMYFUNCTION("""COMPUTED_VALUE"""),905.0)</f>
        <v>905</v>
      </c>
      <c r="AG68" s="1">
        <f>IFERROR(__xludf.DUMMYFUNCTION("""COMPUTED_VALUE"""),153.0)</f>
        <v>153</v>
      </c>
      <c r="AH68" s="1">
        <f>IFERROR(__xludf.DUMMYFUNCTION("""COMPUTED_VALUE"""),905.0)</f>
        <v>905</v>
      </c>
      <c r="AI68" s="1">
        <f>IFERROR(__xludf.DUMMYFUNCTION("""COMPUTED_VALUE"""),153.0)</f>
        <v>153</v>
      </c>
      <c r="AJ68" s="1">
        <f>IFERROR(__xludf.DUMMYFUNCTION("""COMPUTED_VALUE"""),647.0)</f>
        <v>647</v>
      </c>
      <c r="AK68" s="1">
        <f>IFERROR(__xludf.DUMMYFUNCTION("""COMPUTED_VALUE"""),700.0)</f>
        <v>700</v>
      </c>
      <c r="AL68" s="1">
        <f>IFERROR(__xludf.DUMMYFUNCTION("""COMPUTED_VALUE"""),662.0)</f>
        <v>662</v>
      </c>
      <c r="AM68" s="1">
        <f>IFERROR(__xludf.DUMMYFUNCTION("""COMPUTED_VALUE"""),740.0)</f>
        <v>740</v>
      </c>
      <c r="AN68" s="1">
        <f>IFERROR(__xludf.DUMMYFUNCTION("""COMPUTED_VALUE"""),222.0)</f>
        <v>222</v>
      </c>
      <c r="AO68" s="1">
        <f>IFERROR(__xludf.DUMMYFUNCTION("""COMPUTED_VALUE"""),770.0)</f>
        <v>770</v>
      </c>
      <c r="AP68" s="1">
        <f>IFERROR(__xludf.DUMMYFUNCTION("""COMPUTED_VALUE"""),86845.0)</f>
        <v>86845</v>
      </c>
      <c r="AQ68" s="1">
        <f>IFERROR(__xludf.DUMMYFUNCTION("""COMPUTED_VALUE"""),4929.0)</f>
        <v>4929</v>
      </c>
      <c r="AR68" s="1">
        <f>IFERROR(__xludf.DUMMYFUNCTION("""COMPUTED_VALUE"""),740.0)</f>
        <v>740</v>
      </c>
      <c r="AS68" s="1">
        <f>IFERROR(__xludf.DUMMYFUNCTION("""COMPUTED_VALUE"""),17435.0)</f>
        <v>17435</v>
      </c>
    </row>
    <row r="69">
      <c r="A69" s="1" t="str">
        <f>IFERROR(__xludf.DUMMYFUNCTION("""COMPUTED_VALUE"""),"CA")</f>
        <v>CA</v>
      </c>
      <c r="B69" s="1"/>
      <c r="C69" s="1"/>
      <c r="D69" s="1">
        <f>IFERROR(__xludf.DUMMYFUNCTION("""COMPUTED_VALUE"""),600.0)</f>
        <v>600</v>
      </c>
      <c r="E69" s="1">
        <f>IFERROR(__xludf.DUMMYFUNCTION("""COMPUTED_VALUE"""),68.0)</f>
        <v>68</v>
      </c>
      <c r="F69" s="1">
        <f>IFERROR(__xludf.DUMMYFUNCTION("""COMPUTED_VALUE"""),600.0)</f>
        <v>600</v>
      </c>
      <c r="G69" s="1">
        <f>IFERROR(__xludf.DUMMYFUNCTION("""COMPUTED_VALUE"""),216.0)</f>
        <v>216</v>
      </c>
      <c r="H69" s="1"/>
      <c r="I69" s="1"/>
      <c r="J69" s="1">
        <f>IFERROR(__xludf.DUMMYFUNCTION("""COMPUTED_VALUE"""),0.0)</f>
        <v>0</v>
      </c>
      <c r="K69" s="1">
        <f>IFERROR(__xludf.DUMMYFUNCTION("""COMPUTED_VALUE"""),300.0)</f>
        <v>300</v>
      </c>
      <c r="L69" s="1">
        <f>IFERROR(__xludf.DUMMYFUNCTION("""COMPUTED_VALUE"""),79.0)</f>
        <v>79</v>
      </c>
      <c r="M69" s="1">
        <f>IFERROR(__xludf.DUMMYFUNCTION("""COMPUTED_VALUE"""),730.0)</f>
        <v>730</v>
      </c>
      <c r="N69" s="1">
        <f>IFERROR(__xludf.DUMMYFUNCTION("""COMPUTED_VALUE"""),89.0)</f>
        <v>89</v>
      </c>
      <c r="O69" s="1">
        <f>IFERROR(__xludf.DUMMYFUNCTION("""COMPUTED_VALUE"""),200.0)</f>
        <v>200</v>
      </c>
      <c r="P69" s="1">
        <f>IFERROR(__xludf.DUMMYFUNCTION("""COMPUTED_VALUE"""),300.0)</f>
        <v>300</v>
      </c>
      <c r="Q69" s="1">
        <f>IFERROR(__xludf.DUMMYFUNCTION("""COMPUTED_VALUE"""),1970.0)</f>
        <v>1970</v>
      </c>
      <c r="R69" s="1">
        <f>IFERROR(__xludf.DUMMYFUNCTION("""COMPUTED_VALUE"""),101.0)</f>
        <v>101</v>
      </c>
      <c r="S69" s="1"/>
      <c r="T69" s="1"/>
      <c r="U69" s="1">
        <f>IFERROR(__xludf.DUMMYFUNCTION("""COMPUTED_VALUE"""),0.0)</f>
        <v>0</v>
      </c>
      <c r="V69" s="1"/>
      <c r="W69" s="1"/>
      <c r="X69" s="1">
        <f>IFERROR(__xludf.DUMMYFUNCTION("""COMPUTED_VALUE"""),0.0)</f>
        <v>0</v>
      </c>
      <c r="Y69" s="1">
        <f>IFERROR(__xludf.DUMMYFUNCTION("""COMPUTED_VALUE"""),207.0)</f>
        <v>207</v>
      </c>
      <c r="Z69" s="1">
        <f>IFERROR(__xludf.DUMMYFUNCTION("""COMPUTED_VALUE"""),104.0)</f>
        <v>104</v>
      </c>
      <c r="AA69" s="1">
        <f>IFERROR(__xludf.DUMMYFUNCTION("""COMPUTED_VALUE"""),898.0)</f>
        <v>898</v>
      </c>
      <c r="AB69" s="1">
        <f>IFERROR(__xludf.DUMMYFUNCTION("""COMPUTED_VALUE"""),751.0)</f>
        <v>751</v>
      </c>
      <c r="AC69" s="1">
        <f>IFERROR(__xludf.DUMMYFUNCTION("""COMPUTED_VALUE"""),1471.0)</f>
        <v>1471</v>
      </c>
      <c r="AD69" s="1">
        <f>IFERROR(__xludf.DUMMYFUNCTION("""COMPUTED_VALUE"""),207.0)</f>
        <v>207</v>
      </c>
      <c r="AE69" s="1">
        <f>IFERROR(__xludf.DUMMYFUNCTION("""COMPUTED_VALUE"""),1671.0)</f>
        <v>1671</v>
      </c>
      <c r="AF69" s="1">
        <f>IFERROR(__xludf.DUMMYFUNCTION("""COMPUTED_VALUE"""),991.179992675781)</f>
        <v>991.1799927</v>
      </c>
      <c r="AG69" s="1">
        <f>IFERROR(__xludf.DUMMYFUNCTION("""COMPUTED_VALUE"""),15.0)</f>
        <v>15</v>
      </c>
      <c r="AH69" s="1">
        <f>IFERROR(__xludf.DUMMYFUNCTION("""COMPUTED_VALUE"""),1000.0)</f>
        <v>1000</v>
      </c>
      <c r="AI69" s="1">
        <f>IFERROR(__xludf.DUMMYFUNCTION("""COMPUTED_VALUE"""),15.0)</f>
        <v>15</v>
      </c>
      <c r="AJ69" s="1"/>
      <c r="AK69" s="1"/>
      <c r="AL69" s="1">
        <f>IFERROR(__xludf.DUMMYFUNCTION("""COMPUTED_VALUE"""),0.0)</f>
        <v>0</v>
      </c>
      <c r="AM69" s="1">
        <f>IFERROR(__xludf.DUMMYFUNCTION("""COMPUTED_VALUE"""),650.0)</f>
        <v>650</v>
      </c>
      <c r="AN69" s="1">
        <f>IFERROR(__xludf.DUMMYFUNCTION("""COMPUTED_VALUE"""),297.0)</f>
        <v>297</v>
      </c>
      <c r="AO69" s="1">
        <f>IFERROR(__xludf.DUMMYFUNCTION("""COMPUTED_VALUE"""),650.0)</f>
        <v>650</v>
      </c>
      <c r="AP69" s="1">
        <f>IFERROR(__xludf.DUMMYFUNCTION("""COMPUTED_VALUE"""),1190.0)</f>
        <v>1190</v>
      </c>
      <c r="AQ69" s="1">
        <f>IFERROR(__xludf.DUMMYFUNCTION("""COMPUTED_VALUE"""),97.0)</f>
        <v>97</v>
      </c>
      <c r="AR69" s="1">
        <f>IFERROR(__xludf.DUMMYFUNCTION("""COMPUTED_VALUE"""),101.0)</f>
        <v>101</v>
      </c>
      <c r="AS69" s="1">
        <f>IFERROR(__xludf.DUMMYFUNCTION("""COMPUTED_VALUE"""),195.0)</f>
        <v>195</v>
      </c>
    </row>
    <row r="70">
      <c r="A70" s="1" t="str">
        <f>IFERROR(__xludf.DUMMYFUNCTION("""COMPUTED_VALUE"""),"CAF")</f>
        <v>CAF</v>
      </c>
      <c r="B70" s="1"/>
      <c r="C70" s="1"/>
      <c r="D70" s="1">
        <f>IFERROR(__xludf.DUMMYFUNCTION("""COMPUTED_VALUE"""),1100.0)</f>
        <v>1100</v>
      </c>
      <c r="E70" s="1">
        <f>IFERROR(__xludf.DUMMYFUNCTION("""COMPUTED_VALUE"""),19.0)</f>
        <v>19</v>
      </c>
      <c r="F70" s="1">
        <f>IFERROR(__xludf.DUMMYFUNCTION("""COMPUTED_VALUE"""),1200.0)</f>
        <v>1200</v>
      </c>
      <c r="G70" s="1">
        <f>IFERROR(__xludf.DUMMYFUNCTION("""COMPUTED_VALUE"""),11946.0)</f>
        <v>11946</v>
      </c>
      <c r="H70" s="1">
        <f>IFERROR(__xludf.DUMMYFUNCTION("""COMPUTED_VALUE"""),878.0)</f>
        <v>878</v>
      </c>
      <c r="I70" s="1">
        <f>IFERROR(__xludf.DUMMYFUNCTION("""COMPUTED_VALUE"""),1100.0)</f>
        <v>1100</v>
      </c>
      <c r="J70" s="1">
        <f>IFERROR(__xludf.DUMMYFUNCTION("""COMPUTED_VALUE"""),1382.0)</f>
        <v>1382</v>
      </c>
      <c r="K70" s="1">
        <f>IFERROR(__xludf.DUMMYFUNCTION("""COMPUTED_VALUE"""),1600.0)</f>
        <v>1600</v>
      </c>
      <c r="L70" s="1">
        <f>IFERROR(__xludf.DUMMYFUNCTION("""COMPUTED_VALUE"""),429.0)</f>
        <v>429</v>
      </c>
      <c r="M70" s="1">
        <f>IFERROR(__xludf.DUMMYFUNCTION("""COMPUTED_VALUE"""),1600.0)</f>
        <v>1600</v>
      </c>
      <c r="N70" s="1">
        <f>IFERROR(__xludf.DUMMYFUNCTION("""COMPUTED_VALUE"""),5789.0)</f>
        <v>5789</v>
      </c>
      <c r="O70" s="1">
        <f>IFERROR(__xludf.DUMMYFUNCTION("""COMPUTED_VALUE"""),50.0)</f>
        <v>50</v>
      </c>
      <c r="P70" s="1">
        <f>IFERROR(__xludf.DUMMYFUNCTION("""COMPUTED_VALUE"""),875.0)</f>
        <v>875</v>
      </c>
      <c r="Q70" s="1">
        <f>IFERROR(__xludf.DUMMYFUNCTION("""COMPUTED_VALUE"""),816.0)</f>
        <v>816</v>
      </c>
      <c r="R70" s="1">
        <f>IFERROR(__xludf.DUMMYFUNCTION("""COMPUTED_VALUE"""),1000.0)</f>
        <v>1000</v>
      </c>
      <c r="S70" s="1"/>
      <c r="T70" s="1"/>
      <c r="U70" s="1">
        <f>IFERROR(__xludf.DUMMYFUNCTION("""COMPUTED_VALUE"""),0.0)</f>
        <v>0</v>
      </c>
      <c r="V70" s="1"/>
      <c r="W70" s="1"/>
      <c r="X70" s="1">
        <f>IFERROR(__xludf.DUMMYFUNCTION("""COMPUTED_VALUE"""),0.0)</f>
        <v>0</v>
      </c>
      <c r="Y70" s="1">
        <f>IFERROR(__xludf.DUMMYFUNCTION("""COMPUTED_VALUE"""),1300.0)</f>
        <v>1300</v>
      </c>
      <c r="Z70" s="1">
        <f>IFERROR(__xludf.DUMMYFUNCTION("""COMPUTED_VALUE"""),994.0)</f>
        <v>994</v>
      </c>
      <c r="AA70" s="1">
        <f>IFERROR(__xludf.DUMMYFUNCTION("""COMPUTED_VALUE"""),1300.0)</f>
        <v>1300</v>
      </c>
      <c r="AB70" s="1">
        <f>IFERROR(__xludf.DUMMYFUNCTION("""COMPUTED_VALUE"""),7111.0)</f>
        <v>7111</v>
      </c>
      <c r="AC70" s="1">
        <f>IFERROR(__xludf.DUMMYFUNCTION("""COMPUTED_VALUE"""),1000.0)</f>
        <v>1000</v>
      </c>
      <c r="AD70" s="1">
        <f>IFERROR(__xludf.DUMMYFUNCTION("""COMPUTED_VALUE"""),1210.0)</f>
        <v>1210</v>
      </c>
      <c r="AE70" s="1">
        <f>IFERROR(__xludf.DUMMYFUNCTION("""COMPUTED_VALUE"""),3611.0)</f>
        <v>3611</v>
      </c>
      <c r="AF70" s="1">
        <f>IFERROR(__xludf.DUMMYFUNCTION("""COMPUTED_VALUE"""),776.280029296875)</f>
        <v>776.2800293</v>
      </c>
      <c r="AG70" s="1">
        <f>IFERROR(__xludf.DUMMYFUNCTION("""COMPUTED_VALUE"""),18.0)</f>
        <v>18</v>
      </c>
      <c r="AH70" s="1">
        <f>IFERROR(__xludf.DUMMYFUNCTION("""COMPUTED_VALUE"""),1300.0)</f>
        <v>1300</v>
      </c>
      <c r="AI70" s="1">
        <f>IFERROR(__xludf.DUMMYFUNCTION("""COMPUTED_VALUE"""),18.0)</f>
        <v>18</v>
      </c>
      <c r="AJ70" s="1">
        <f>IFERROR(__xludf.DUMMYFUNCTION("""COMPUTED_VALUE"""),500.0)</f>
        <v>500</v>
      </c>
      <c r="AK70" s="1">
        <f>IFERROR(__xludf.DUMMYFUNCTION("""COMPUTED_VALUE"""),1000.0)</f>
        <v>1000</v>
      </c>
      <c r="AL70" s="1">
        <f>IFERROR(__xludf.DUMMYFUNCTION("""COMPUTED_VALUE"""),500.0)</f>
        <v>500</v>
      </c>
      <c r="AM70" s="1">
        <f>IFERROR(__xludf.DUMMYFUNCTION("""COMPUTED_VALUE"""),1200.0)</f>
        <v>1200</v>
      </c>
      <c r="AN70" s="1">
        <f>IFERROR(__xludf.DUMMYFUNCTION("""COMPUTED_VALUE"""),133.0)</f>
        <v>133</v>
      </c>
      <c r="AO70" s="1">
        <f>IFERROR(__xludf.DUMMYFUNCTION("""COMPUTED_VALUE"""),1200.0)</f>
        <v>1200</v>
      </c>
      <c r="AP70" s="1">
        <f>IFERROR(__xludf.DUMMYFUNCTION("""COMPUTED_VALUE"""),21022.0)</f>
        <v>21022</v>
      </c>
      <c r="AQ70" s="1">
        <f>IFERROR(__xludf.DUMMYFUNCTION("""COMPUTED_VALUE"""),300.0)</f>
        <v>300</v>
      </c>
      <c r="AR70" s="1">
        <f>IFERROR(__xludf.DUMMYFUNCTION("""COMPUTED_VALUE"""),1110.0)</f>
        <v>1110</v>
      </c>
      <c r="AS70" s="1">
        <f>IFERROR(__xludf.DUMMYFUNCTION("""COMPUTED_VALUE"""),2322.0)</f>
        <v>2322</v>
      </c>
    </row>
    <row r="71">
      <c r="A71" s="1" t="str">
        <f>IFERROR(__xludf.DUMMYFUNCTION("""COMPUTED_VALUE"""),"CAP")</f>
        <v>CAP</v>
      </c>
      <c r="B71" s="1"/>
      <c r="C71" s="1"/>
      <c r="D71" s="1">
        <f>IFERROR(__xludf.DUMMYFUNCTION("""COMPUTED_VALUE"""),297.049987792968)</f>
        <v>297.0499878</v>
      </c>
      <c r="E71" s="1">
        <f>IFERROR(__xludf.DUMMYFUNCTION("""COMPUTED_VALUE"""),786.0)</f>
        <v>786</v>
      </c>
      <c r="F71" s="1">
        <f>IFERROR(__xludf.DUMMYFUNCTION("""COMPUTED_VALUE"""),298.0)</f>
        <v>298</v>
      </c>
      <c r="G71" s="1">
        <f>IFERROR(__xludf.DUMMYFUNCTION("""COMPUTED_VALUE"""),7868.0)</f>
        <v>7868</v>
      </c>
      <c r="H71" s="1">
        <f>IFERROR(__xludf.DUMMYFUNCTION("""COMPUTED_VALUE"""),307.0)</f>
        <v>307</v>
      </c>
      <c r="I71" s="1">
        <f>IFERROR(__xludf.DUMMYFUNCTION("""COMPUTED_VALUE"""),126.0)</f>
        <v>126</v>
      </c>
      <c r="J71" s="1">
        <f>IFERROR(__xludf.DUMMYFUNCTION("""COMPUTED_VALUE"""),1307.0)</f>
        <v>1307</v>
      </c>
      <c r="K71" s="1">
        <f>IFERROR(__xludf.DUMMYFUNCTION("""COMPUTED_VALUE"""),317.0)</f>
        <v>317</v>
      </c>
      <c r="L71" s="1">
        <f>IFERROR(__xludf.DUMMYFUNCTION("""COMPUTED_VALUE"""),7.0)</f>
        <v>7</v>
      </c>
      <c r="M71" s="1">
        <f>IFERROR(__xludf.DUMMYFUNCTION("""COMPUTED_VALUE"""),317.0)</f>
        <v>317</v>
      </c>
      <c r="N71" s="1">
        <f>IFERROR(__xludf.DUMMYFUNCTION("""COMPUTED_VALUE"""),617.0)</f>
        <v>617</v>
      </c>
      <c r="O71" s="1"/>
      <c r="P71" s="1"/>
      <c r="Q71" s="1">
        <f>IFERROR(__xludf.DUMMYFUNCTION("""COMPUTED_VALUE"""),0.0)</f>
        <v>0</v>
      </c>
      <c r="R71" s="1">
        <f>IFERROR(__xludf.DUMMYFUNCTION("""COMPUTED_VALUE"""),141.970001220703)</f>
        <v>141.9700012</v>
      </c>
      <c r="S71" s="1"/>
      <c r="T71" s="1"/>
      <c r="U71" s="1">
        <f>IFERROR(__xludf.DUMMYFUNCTION("""COMPUTED_VALUE"""),0.0)</f>
        <v>0</v>
      </c>
      <c r="V71" s="1"/>
      <c r="W71" s="1"/>
      <c r="X71" s="1">
        <f>IFERROR(__xludf.DUMMYFUNCTION("""COMPUTED_VALUE"""),0.0)</f>
        <v>0</v>
      </c>
      <c r="Y71" s="1">
        <f>IFERROR(__xludf.DUMMYFUNCTION("""COMPUTED_VALUE"""),319.0)</f>
        <v>319</v>
      </c>
      <c r="Z71" s="1">
        <f>IFERROR(__xludf.DUMMYFUNCTION("""COMPUTED_VALUE"""),154.0)</f>
        <v>154</v>
      </c>
      <c r="AA71" s="1">
        <f>IFERROR(__xludf.DUMMYFUNCTION("""COMPUTED_VALUE"""),319.0)</f>
        <v>319</v>
      </c>
      <c r="AB71" s="1">
        <f>IFERROR(__xludf.DUMMYFUNCTION("""COMPUTED_VALUE"""),14036.0)</f>
        <v>14036</v>
      </c>
      <c r="AC71" s="1">
        <f>IFERROR(__xludf.DUMMYFUNCTION("""COMPUTED_VALUE"""),1872.0)</f>
        <v>1872</v>
      </c>
      <c r="AD71" s="1">
        <f>IFERROR(__xludf.DUMMYFUNCTION("""COMPUTED_VALUE"""),240.0)</f>
        <v>240</v>
      </c>
      <c r="AE71" s="1">
        <f>IFERROR(__xludf.DUMMYFUNCTION("""COMPUTED_VALUE"""),3872.0)</f>
        <v>3872</v>
      </c>
      <c r="AF71" s="1">
        <f>IFERROR(__xludf.DUMMYFUNCTION("""COMPUTED_VALUE"""),141.970001220703)</f>
        <v>141.9700012</v>
      </c>
      <c r="AG71" s="1">
        <f>IFERROR(__xludf.DUMMYFUNCTION("""COMPUTED_VALUE"""),100.0)</f>
        <v>100</v>
      </c>
      <c r="AH71" s="1">
        <f>IFERROR(__xludf.DUMMYFUNCTION("""COMPUTED_VALUE"""),250.0)</f>
        <v>250</v>
      </c>
      <c r="AI71" s="1">
        <f>IFERROR(__xludf.DUMMYFUNCTION("""COMPUTED_VALUE"""),100.0)</f>
        <v>100</v>
      </c>
      <c r="AJ71" s="1"/>
      <c r="AK71" s="1"/>
      <c r="AL71" s="1">
        <f>IFERROR(__xludf.DUMMYFUNCTION("""COMPUTED_VALUE"""),0.0)</f>
        <v>0</v>
      </c>
      <c r="AM71" s="1">
        <f>IFERROR(__xludf.DUMMYFUNCTION("""COMPUTED_VALUE"""),300.0)</f>
        <v>300</v>
      </c>
      <c r="AN71" s="1">
        <f>IFERROR(__xludf.DUMMYFUNCTION("""COMPUTED_VALUE"""),816.0)</f>
        <v>816</v>
      </c>
      <c r="AO71" s="1">
        <f>IFERROR(__xludf.DUMMYFUNCTION("""COMPUTED_VALUE"""),300.0)</f>
        <v>300</v>
      </c>
      <c r="AP71" s="1">
        <f>IFERROR(__xludf.DUMMYFUNCTION("""COMPUTED_VALUE"""),1562.0)</f>
        <v>1562</v>
      </c>
      <c r="AQ71" s="1">
        <f>IFERROR(__xludf.DUMMYFUNCTION("""COMPUTED_VALUE"""),100.0)</f>
        <v>100</v>
      </c>
      <c r="AR71" s="1">
        <f>IFERROR(__xludf.DUMMYFUNCTION("""COMPUTED_VALUE"""),100.0)</f>
        <v>100</v>
      </c>
      <c r="AS71" s="1">
        <f>IFERROR(__xludf.DUMMYFUNCTION("""COMPUTED_VALUE"""),100.0)</f>
        <v>100</v>
      </c>
    </row>
    <row r="72">
      <c r="A72" s="1" t="str">
        <f>IFERROR(__xludf.DUMMYFUNCTION("""COMPUTED_VALUE"""),"CBL")</f>
        <v>CBL</v>
      </c>
      <c r="B72" s="1">
        <f>IFERROR(__xludf.DUMMYFUNCTION("""COMPUTED_VALUE"""),91000.0)</f>
        <v>91000</v>
      </c>
      <c r="C72" s="1"/>
      <c r="D72" s="1">
        <f>IFERROR(__xludf.DUMMYFUNCTION("""COMPUTED_VALUE"""),95000.0)</f>
        <v>95000</v>
      </c>
      <c r="E72" s="1">
        <f>IFERROR(__xludf.DUMMYFUNCTION("""COMPUTED_VALUE"""),1.0)</f>
        <v>1</v>
      </c>
      <c r="F72" s="1">
        <f>IFERROR(__xludf.DUMMYFUNCTION("""COMPUTED_VALUE"""),95000.0)</f>
        <v>95000</v>
      </c>
      <c r="G72" s="1">
        <f>IFERROR(__xludf.DUMMYFUNCTION("""COMPUTED_VALUE"""),1.0)</f>
        <v>1</v>
      </c>
      <c r="H72" s="1">
        <f>IFERROR(__xludf.DUMMYFUNCTION("""COMPUTED_VALUE"""),11.0)</f>
        <v>11</v>
      </c>
      <c r="I72" s="1">
        <f>IFERROR(__xludf.DUMMYFUNCTION("""COMPUTED_VALUE"""),91200.0)</f>
        <v>91200</v>
      </c>
      <c r="J72" s="1">
        <f>IFERROR(__xludf.DUMMYFUNCTION("""COMPUTED_VALUE"""),131.0)</f>
        <v>131</v>
      </c>
      <c r="K72" s="1">
        <f>IFERROR(__xludf.DUMMYFUNCTION("""COMPUTED_VALUE"""),92000.0)</f>
        <v>92000</v>
      </c>
      <c r="L72" s="1"/>
      <c r="M72" s="1"/>
      <c r="N72" s="1">
        <f>IFERROR(__xludf.DUMMYFUNCTION("""COMPUTED_VALUE"""),0.0)</f>
        <v>0</v>
      </c>
      <c r="O72" s="1">
        <f>IFERROR(__xludf.DUMMYFUNCTION("""COMPUTED_VALUE"""),3.0)</f>
        <v>3</v>
      </c>
      <c r="P72" s="1">
        <f>IFERROR(__xludf.DUMMYFUNCTION("""COMPUTED_VALUE"""),91200.0)</f>
        <v>91200</v>
      </c>
      <c r="Q72" s="1">
        <f>IFERROR(__xludf.DUMMYFUNCTION("""COMPUTED_VALUE"""),103.0)</f>
        <v>103</v>
      </c>
      <c r="R72" s="1">
        <f>IFERROR(__xludf.DUMMYFUNCTION("""COMPUTED_VALUE"""),91000.0)</f>
        <v>91000</v>
      </c>
      <c r="S72" s="1"/>
      <c r="T72" s="1"/>
      <c r="U72" s="1">
        <f>IFERROR(__xludf.DUMMYFUNCTION("""COMPUTED_VALUE"""),0.0)</f>
        <v>0</v>
      </c>
      <c r="V72" s="1"/>
      <c r="W72" s="1"/>
      <c r="X72" s="1">
        <f>IFERROR(__xludf.DUMMYFUNCTION("""COMPUTED_VALUE"""),0.0)</f>
        <v>0</v>
      </c>
      <c r="Y72" s="1">
        <f>IFERROR(__xludf.DUMMYFUNCTION("""COMPUTED_VALUE"""),98000.0)</f>
        <v>98000</v>
      </c>
      <c r="Z72" s="1">
        <f>IFERROR(__xludf.DUMMYFUNCTION("""COMPUTED_VALUE"""),1.0)</f>
        <v>1</v>
      </c>
      <c r="AA72" s="1">
        <f>IFERROR(__xludf.DUMMYFUNCTION("""COMPUTED_VALUE"""),98000.0)</f>
        <v>98000</v>
      </c>
      <c r="AB72" s="1">
        <f>IFERROR(__xludf.DUMMYFUNCTION("""COMPUTED_VALUE"""),6.0)</f>
        <v>6</v>
      </c>
      <c r="AC72" s="1">
        <f>IFERROR(__xludf.DUMMYFUNCTION("""COMPUTED_VALUE"""),60.0)</f>
        <v>60</v>
      </c>
      <c r="AD72" s="1">
        <f>IFERROR(__xludf.DUMMYFUNCTION("""COMPUTED_VALUE"""),91100.0)</f>
        <v>91100</v>
      </c>
      <c r="AE72" s="1">
        <f>IFERROR(__xludf.DUMMYFUNCTION("""COMPUTED_VALUE"""),220.0)</f>
        <v>220</v>
      </c>
      <c r="AF72" s="1">
        <f>IFERROR(__xludf.DUMMYFUNCTION("""COMPUTED_VALUE"""),43652.0703125)</f>
        <v>43652.07031</v>
      </c>
      <c r="AG72" s="1">
        <f>IFERROR(__xludf.DUMMYFUNCTION("""COMPUTED_VALUE"""),5.0)</f>
        <v>5</v>
      </c>
      <c r="AH72" s="1">
        <f>IFERROR(__xludf.DUMMYFUNCTION("""COMPUTED_VALUE"""),92000.0)</f>
        <v>92000</v>
      </c>
      <c r="AI72" s="1">
        <f>IFERROR(__xludf.DUMMYFUNCTION("""COMPUTED_VALUE"""),5.0)</f>
        <v>5</v>
      </c>
      <c r="AJ72" s="1"/>
      <c r="AK72" s="1"/>
      <c r="AL72" s="1">
        <f>IFERROR(__xludf.DUMMYFUNCTION("""COMPUTED_VALUE"""),0.0)</f>
        <v>0</v>
      </c>
      <c r="AM72" s="1">
        <f>IFERROR(__xludf.DUMMYFUNCTION("""COMPUTED_VALUE"""),91100.0)</f>
        <v>91100</v>
      </c>
      <c r="AN72" s="1">
        <f>IFERROR(__xludf.DUMMYFUNCTION("""COMPUTED_VALUE"""),14.0)</f>
        <v>14</v>
      </c>
      <c r="AO72" s="1">
        <f>IFERROR(__xludf.DUMMYFUNCTION("""COMPUTED_VALUE"""),100000.0)</f>
        <v>100000</v>
      </c>
      <c r="AP72" s="1">
        <f>IFERROR(__xludf.DUMMYFUNCTION("""COMPUTED_VALUE"""),58.0)</f>
        <v>58</v>
      </c>
      <c r="AQ72" s="1">
        <f>IFERROR(__xludf.DUMMYFUNCTION("""COMPUTED_VALUE"""),18.0)</f>
        <v>18</v>
      </c>
      <c r="AR72" s="1">
        <f>IFERROR(__xludf.DUMMYFUNCTION("""COMPUTED_VALUE"""),91100.0)</f>
        <v>91100</v>
      </c>
      <c r="AS72" s="1">
        <f>IFERROR(__xludf.DUMMYFUNCTION("""COMPUTED_VALUE"""),118.0)</f>
        <v>118</v>
      </c>
    </row>
    <row r="73">
      <c r="A73" s="1" t="str">
        <f>IFERROR(__xludf.DUMMYFUNCTION("""COMPUTED_VALUE"""),"CBM")</f>
        <v>CBM</v>
      </c>
      <c r="B73" s="1">
        <f>IFERROR(__xludf.DUMMYFUNCTION("""COMPUTED_VALUE"""),63000.0)</f>
        <v>63000</v>
      </c>
      <c r="C73" s="1"/>
      <c r="D73" s="1">
        <f>IFERROR(__xludf.DUMMYFUNCTION("""COMPUTED_VALUE"""),72000.0)</f>
        <v>72000</v>
      </c>
      <c r="E73" s="1">
        <f>IFERROR(__xludf.DUMMYFUNCTION("""COMPUTED_VALUE"""),36.0)</f>
        <v>36</v>
      </c>
      <c r="F73" s="1">
        <f>IFERROR(__xludf.DUMMYFUNCTION("""COMPUTED_VALUE"""),72000.0)</f>
        <v>72000</v>
      </c>
      <c r="G73" s="1">
        <f>IFERROR(__xludf.DUMMYFUNCTION("""COMPUTED_VALUE"""),36.0)</f>
        <v>36</v>
      </c>
      <c r="H73" s="1">
        <f>IFERROR(__xludf.DUMMYFUNCTION("""COMPUTED_VALUE"""),10.0)</f>
        <v>10</v>
      </c>
      <c r="I73" s="1">
        <f>IFERROR(__xludf.DUMMYFUNCTION("""COMPUTED_VALUE"""),66000.0)</f>
        <v>66000</v>
      </c>
      <c r="J73" s="1">
        <f>IFERROR(__xludf.DUMMYFUNCTION("""COMPUTED_VALUE"""),140.0)</f>
        <v>140</v>
      </c>
      <c r="K73" s="1">
        <f>IFERROR(__xludf.DUMMYFUNCTION("""COMPUTED_VALUE"""),63000.0)</f>
        <v>63000</v>
      </c>
      <c r="L73" s="1">
        <f>IFERROR(__xludf.DUMMYFUNCTION("""COMPUTED_VALUE"""),22.0)</f>
        <v>22</v>
      </c>
      <c r="M73" s="1">
        <f>IFERROR(__xludf.DUMMYFUNCTION("""COMPUTED_VALUE"""),70000.0)</f>
        <v>70000</v>
      </c>
      <c r="N73" s="1">
        <f>IFERROR(__xludf.DUMMYFUNCTION("""COMPUTED_VALUE"""),22.0)</f>
        <v>22</v>
      </c>
      <c r="O73" s="1">
        <f>IFERROR(__xludf.DUMMYFUNCTION("""COMPUTED_VALUE"""),100.0)</f>
        <v>100</v>
      </c>
      <c r="P73" s="1">
        <f>IFERROR(__xludf.DUMMYFUNCTION("""COMPUTED_VALUE"""),63000.0)</f>
        <v>63000</v>
      </c>
      <c r="Q73" s="1">
        <f>IFERROR(__xludf.DUMMYFUNCTION("""COMPUTED_VALUE"""),100.0)</f>
        <v>100</v>
      </c>
      <c r="R73" s="1">
        <f>IFERROR(__xludf.DUMMYFUNCTION("""COMPUTED_VALUE"""),29521.830078125)</f>
        <v>29521.83008</v>
      </c>
      <c r="S73" s="1"/>
      <c r="T73" s="1"/>
      <c r="U73" s="1">
        <f>IFERROR(__xludf.DUMMYFUNCTION("""COMPUTED_VALUE"""),0.0)</f>
        <v>0</v>
      </c>
      <c r="V73" s="1"/>
      <c r="W73" s="1"/>
      <c r="X73" s="1">
        <f>IFERROR(__xludf.DUMMYFUNCTION("""COMPUTED_VALUE"""),0.0)</f>
        <v>0</v>
      </c>
      <c r="Y73" s="1">
        <f>IFERROR(__xludf.DUMMYFUNCTION("""COMPUTED_VALUE"""),65000.0)</f>
        <v>65000</v>
      </c>
      <c r="Z73" s="1">
        <f>IFERROR(__xludf.DUMMYFUNCTION("""COMPUTED_VALUE"""),24.0)</f>
        <v>24</v>
      </c>
      <c r="AA73" s="1">
        <f>IFERROR(__xludf.DUMMYFUNCTION("""COMPUTED_VALUE"""),65000.0)</f>
        <v>65000</v>
      </c>
      <c r="AB73" s="1">
        <f>IFERROR(__xludf.DUMMYFUNCTION("""COMPUTED_VALUE"""),49.0)</f>
        <v>49</v>
      </c>
      <c r="AC73" s="1">
        <f>IFERROR(__xludf.DUMMYFUNCTION("""COMPUTED_VALUE"""),100.0)</f>
        <v>100</v>
      </c>
      <c r="AD73" s="1">
        <f>IFERROR(__xludf.DUMMYFUNCTION("""COMPUTED_VALUE"""),63000.0)</f>
        <v>63000</v>
      </c>
      <c r="AE73" s="1">
        <f>IFERROR(__xludf.DUMMYFUNCTION("""COMPUTED_VALUE"""),100.0)</f>
        <v>100</v>
      </c>
      <c r="AF73" s="1">
        <f>IFERROR(__xludf.DUMMYFUNCTION("""COMPUTED_VALUE"""),29521.830078125)</f>
        <v>29521.83008</v>
      </c>
      <c r="AG73" s="1">
        <f>IFERROR(__xludf.DUMMYFUNCTION("""COMPUTED_VALUE"""),5.0)</f>
        <v>5</v>
      </c>
      <c r="AH73" s="1">
        <f>IFERROR(__xludf.DUMMYFUNCTION("""COMPUTED_VALUE"""),69900.0)</f>
        <v>69900</v>
      </c>
      <c r="AI73" s="1">
        <f>IFERROR(__xludf.DUMMYFUNCTION("""COMPUTED_VALUE"""),5.0)</f>
        <v>5</v>
      </c>
      <c r="AJ73" s="1"/>
      <c r="AK73" s="1"/>
      <c r="AL73" s="1">
        <f>IFERROR(__xludf.DUMMYFUNCTION("""COMPUTED_VALUE"""),0.0)</f>
        <v>0</v>
      </c>
      <c r="AM73" s="1">
        <f>IFERROR(__xludf.DUMMYFUNCTION("""COMPUTED_VALUE"""),63000.0)</f>
        <v>63000</v>
      </c>
      <c r="AN73" s="1"/>
      <c r="AO73" s="1"/>
      <c r="AP73" s="1">
        <f>IFERROR(__xludf.DUMMYFUNCTION("""COMPUTED_VALUE"""),0.0)</f>
        <v>0</v>
      </c>
      <c r="AQ73" s="1">
        <f>IFERROR(__xludf.DUMMYFUNCTION("""COMPUTED_VALUE"""),100.0)</f>
        <v>100</v>
      </c>
      <c r="AR73" s="1">
        <f>IFERROR(__xludf.DUMMYFUNCTION("""COMPUTED_VALUE"""),63000.0)</f>
        <v>63000</v>
      </c>
      <c r="AS73" s="1">
        <f>IFERROR(__xludf.DUMMYFUNCTION("""COMPUTED_VALUE"""),100.0)</f>
        <v>100</v>
      </c>
    </row>
    <row r="74">
      <c r="A74" s="1" t="str">
        <f>IFERROR(__xludf.DUMMYFUNCTION("""COMPUTED_VALUE"""),"CBS")</f>
        <v>CBS</v>
      </c>
      <c r="B74" s="1">
        <f>IFERROR(__xludf.DUMMYFUNCTION("""COMPUTED_VALUE"""),42000.0)</f>
        <v>42000</v>
      </c>
      <c r="C74" s="1"/>
      <c r="D74" s="1">
        <f>IFERROR(__xludf.DUMMYFUNCTION("""COMPUTED_VALUE"""),42000.0)</f>
        <v>42000</v>
      </c>
      <c r="E74" s="1">
        <f>IFERROR(__xludf.DUMMYFUNCTION("""COMPUTED_VALUE"""),17.0)</f>
        <v>17</v>
      </c>
      <c r="F74" s="1">
        <f>IFERROR(__xludf.DUMMYFUNCTION("""COMPUTED_VALUE"""),44000.0)</f>
        <v>44000</v>
      </c>
      <c r="G74" s="1">
        <f>IFERROR(__xludf.DUMMYFUNCTION("""COMPUTED_VALUE"""),52.0)</f>
        <v>52</v>
      </c>
      <c r="H74" s="1">
        <f>IFERROR(__xludf.DUMMYFUNCTION("""COMPUTED_VALUE"""),100.0)</f>
        <v>100</v>
      </c>
      <c r="I74" s="1">
        <f>IFERROR(__xludf.DUMMYFUNCTION("""COMPUTED_VALUE"""),42000.0)</f>
        <v>42000</v>
      </c>
      <c r="J74" s="1">
        <f>IFERROR(__xludf.DUMMYFUNCTION("""COMPUTED_VALUE"""),100.0)</f>
        <v>100</v>
      </c>
      <c r="K74" s="1">
        <f>IFERROR(__xludf.DUMMYFUNCTION("""COMPUTED_VALUE"""),42000.0)</f>
        <v>42000</v>
      </c>
      <c r="L74" s="1">
        <f>IFERROR(__xludf.DUMMYFUNCTION("""COMPUTED_VALUE"""),70.0)</f>
        <v>70</v>
      </c>
      <c r="M74" s="1">
        <f>IFERROR(__xludf.DUMMYFUNCTION("""COMPUTED_VALUE"""),42900.0)</f>
        <v>42900</v>
      </c>
      <c r="N74" s="1">
        <f>IFERROR(__xludf.DUMMYFUNCTION("""COMPUTED_VALUE"""),70.0)</f>
        <v>70</v>
      </c>
      <c r="O74" s="1">
        <f>IFERROR(__xludf.DUMMYFUNCTION("""COMPUTED_VALUE"""),100.0)</f>
        <v>100</v>
      </c>
      <c r="P74" s="1">
        <f>IFERROR(__xludf.DUMMYFUNCTION("""COMPUTED_VALUE"""),42000.0)</f>
        <v>42000</v>
      </c>
      <c r="Q74" s="1">
        <f>IFERROR(__xludf.DUMMYFUNCTION("""COMPUTED_VALUE"""),100.0)</f>
        <v>100</v>
      </c>
      <c r="R74" s="1">
        <f>IFERROR(__xludf.DUMMYFUNCTION("""COMPUTED_VALUE"""),17911.099609375)</f>
        <v>17911.09961</v>
      </c>
      <c r="S74" s="1">
        <f>IFERROR(__xludf.DUMMYFUNCTION("""COMPUTED_VALUE"""),5.0)</f>
        <v>5</v>
      </c>
      <c r="T74" s="1">
        <f>IFERROR(__xludf.DUMMYFUNCTION("""COMPUTED_VALUE"""),50000.0)</f>
        <v>50000</v>
      </c>
      <c r="U74" s="1">
        <f>IFERROR(__xludf.DUMMYFUNCTION("""COMPUTED_VALUE"""),5.0)</f>
        <v>5</v>
      </c>
      <c r="V74" s="1"/>
      <c r="W74" s="1"/>
      <c r="X74" s="1">
        <f>IFERROR(__xludf.DUMMYFUNCTION("""COMPUTED_VALUE"""),0.0)</f>
        <v>0</v>
      </c>
      <c r="Y74" s="1">
        <f>IFERROR(__xludf.DUMMYFUNCTION("""COMPUTED_VALUE"""),42000.0)</f>
        <v>42000</v>
      </c>
      <c r="Z74" s="1">
        <f>IFERROR(__xludf.DUMMYFUNCTION("""COMPUTED_VALUE"""),55.0)</f>
        <v>55</v>
      </c>
      <c r="AA74" s="1">
        <f>IFERROR(__xludf.DUMMYFUNCTION("""COMPUTED_VALUE"""),43000.0)</f>
        <v>43000</v>
      </c>
      <c r="AB74" s="1">
        <f>IFERROR(__xludf.DUMMYFUNCTION("""COMPUTED_VALUE"""),55.0)</f>
        <v>55</v>
      </c>
      <c r="AC74" s="1">
        <f>IFERROR(__xludf.DUMMYFUNCTION("""COMPUTED_VALUE"""),100.0)</f>
        <v>100</v>
      </c>
      <c r="AD74" s="1">
        <f>IFERROR(__xludf.DUMMYFUNCTION("""COMPUTED_VALUE"""),42000.0)</f>
        <v>42000</v>
      </c>
      <c r="AE74" s="1">
        <f>IFERROR(__xludf.DUMMYFUNCTION("""COMPUTED_VALUE"""),100.0)</f>
        <v>100</v>
      </c>
      <c r="AF74" s="1">
        <f>IFERROR(__xludf.DUMMYFUNCTION("""COMPUTED_VALUE"""),17911.099609375)</f>
        <v>17911.09961</v>
      </c>
      <c r="AG74" s="1">
        <f>IFERROR(__xludf.DUMMYFUNCTION("""COMPUTED_VALUE"""),10.0)</f>
        <v>10</v>
      </c>
      <c r="AH74" s="1">
        <f>IFERROR(__xludf.DUMMYFUNCTION("""COMPUTED_VALUE"""),43000.0)</f>
        <v>43000</v>
      </c>
      <c r="AI74" s="1">
        <f>IFERROR(__xludf.DUMMYFUNCTION("""COMPUTED_VALUE"""),10.0)</f>
        <v>10</v>
      </c>
      <c r="AJ74" s="1"/>
      <c r="AK74" s="1"/>
      <c r="AL74" s="1">
        <f>IFERROR(__xludf.DUMMYFUNCTION("""COMPUTED_VALUE"""),0.0)</f>
        <v>0</v>
      </c>
      <c r="AM74" s="1">
        <f>IFERROR(__xludf.DUMMYFUNCTION("""COMPUTED_VALUE"""),42000.0)</f>
        <v>42000</v>
      </c>
      <c r="AN74" s="1">
        <f>IFERROR(__xludf.DUMMYFUNCTION("""COMPUTED_VALUE"""),5.0)</f>
        <v>5</v>
      </c>
      <c r="AO74" s="1">
        <f>IFERROR(__xludf.DUMMYFUNCTION("""COMPUTED_VALUE"""),43800.0)</f>
        <v>43800</v>
      </c>
      <c r="AP74" s="1">
        <f>IFERROR(__xludf.DUMMYFUNCTION("""COMPUTED_VALUE"""),5.0)</f>
        <v>5</v>
      </c>
      <c r="AQ74" s="1">
        <f>IFERROR(__xludf.DUMMYFUNCTION("""COMPUTED_VALUE"""),100.0)</f>
        <v>100</v>
      </c>
      <c r="AR74" s="1">
        <f>IFERROR(__xludf.DUMMYFUNCTION("""COMPUTED_VALUE"""),42000.0)</f>
        <v>42000</v>
      </c>
      <c r="AS74" s="1">
        <f>IFERROR(__xludf.DUMMYFUNCTION("""COMPUTED_VALUE"""),100.0)</f>
        <v>100</v>
      </c>
    </row>
    <row r="75">
      <c r="A75" s="1" t="str">
        <f>IFERROR(__xludf.DUMMYFUNCTION("""COMPUTED_VALUE"""),"CBU")</f>
        <v>CBU</v>
      </c>
      <c r="B75" s="1"/>
      <c r="C75" s="1"/>
      <c r="D75" s="1">
        <f>IFERROR(__xludf.DUMMYFUNCTION("""COMPUTED_VALUE"""),380000.0)</f>
        <v>380000</v>
      </c>
      <c r="E75" s="1">
        <f>IFERROR(__xludf.DUMMYFUNCTION("""COMPUTED_VALUE"""),10.0)</f>
        <v>10</v>
      </c>
      <c r="F75" s="1">
        <f>IFERROR(__xludf.DUMMYFUNCTION("""COMPUTED_VALUE"""),385000.0)</f>
        <v>385000</v>
      </c>
      <c r="G75" s="1">
        <f>IFERROR(__xludf.DUMMYFUNCTION("""COMPUTED_VALUE"""),79.0)</f>
        <v>79</v>
      </c>
      <c r="H75" s="1">
        <f>IFERROR(__xludf.DUMMYFUNCTION("""COMPUTED_VALUE"""),10.0)</f>
        <v>10</v>
      </c>
      <c r="I75" s="1">
        <f>IFERROR(__xludf.DUMMYFUNCTION("""COMPUTED_VALUE"""),370000.0)</f>
        <v>370000</v>
      </c>
      <c r="J75" s="1">
        <f>IFERROR(__xludf.DUMMYFUNCTION("""COMPUTED_VALUE"""),20.0)</f>
        <v>20</v>
      </c>
      <c r="K75" s="1">
        <f>IFERROR(__xludf.DUMMYFUNCTION("""COMPUTED_VALUE"""),410000.0)</f>
        <v>410000</v>
      </c>
      <c r="L75" s="1">
        <f>IFERROR(__xludf.DUMMYFUNCTION("""COMPUTED_VALUE"""),48.0)</f>
        <v>48</v>
      </c>
      <c r="M75" s="1">
        <f>IFERROR(__xludf.DUMMYFUNCTION("""COMPUTED_VALUE"""),410000.0)</f>
        <v>410000</v>
      </c>
      <c r="N75" s="1">
        <f>IFERROR(__xludf.DUMMYFUNCTION("""COMPUTED_VALUE"""),100.0)</f>
        <v>100</v>
      </c>
      <c r="O75" s="1">
        <f>IFERROR(__xludf.DUMMYFUNCTION("""COMPUTED_VALUE"""),10.0)</f>
        <v>10</v>
      </c>
      <c r="P75" s="1">
        <f>IFERROR(__xludf.DUMMYFUNCTION("""COMPUTED_VALUE"""),360000.0)</f>
        <v>360000</v>
      </c>
      <c r="Q75" s="1">
        <f>IFERROR(__xludf.DUMMYFUNCTION("""COMPUTED_VALUE"""),10.0)</f>
        <v>10</v>
      </c>
      <c r="R75" s="1">
        <f>IFERROR(__xludf.DUMMYFUNCTION("""COMPUTED_VALUE"""),173954.71875)</f>
        <v>173954.7188</v>
      </c>
      <c r="S75" s="1"/>
      <c r="T75" s="1"/>
      <c r="U75" s="1">
        <f>IFERROR(__xludf.DUMMYFUNCTION("""COMPUTED_VALUE"""),0.0)</f>
        <v>0</v>
      </c>
      <c r="V75" s="1"/>
      <c r="W75" s="1"/>
      <c r="X75" s="1">
        <f>IFERROR(__xludf.DUMMYFUNCTION("""COMPUTED_VALUE"""),0.0)</f>
        <v>0</v>
      </c>
      <c r="Y75" s="1">
        <f>IFERROR(__xludf.DUMMYFUNCTION("""COMPUTED_VALUE"""),390000.0)</f>
        <v>390000</v>
      </c>
      <c r="Z75" s="1">
        <f>IFERROR(__xludf.DUMMYFUNCTION("""COMPUTED_VALUE"""),12.0)</f>
        <v>12</v>
      </c>
      <c r="AA75" s="1">
        <f>IFERROR(__xludf.DUMMYFUNCTION("""COMPUTED_VALUE"""),395000.0)</f>
        <v>395000</v>
      </c>
      <c r="AB75" s="1">
        <f>IFERROR(__xludf.DUMMYFUNCTION("""COMPUTED_VALUE"""),101.0)</f>
        <v>101</v>
      </c>
      <c r="AC75" s="1">
        <f>IFERROR(__xludf.DUMMYFUNCTION("""COMPUTED_VALUE"""),9.0)</f>
        <v>9</v>
      </c>
      <c r="AD75" s="1">
        <f>IFERROR(__xludf.DUMMYFUNCTION("""COMPUTED_VALUE"""),390000.0)</f>
        <v>390000</v>
      </c>
      <c r="AE75" s="1">
        <f>IFERROR(__xludf.DUMMYFUNCTION("""COMPUTED_VALUE"""),21.0)</f>
        <v>21</v>
      </c>
      <c r="AF75" s="1">
        <f>IFERROR(__xludf.DUMMYFUNCTION("""COMPUTED_VALUE"""),173954.71875)</f>
        <v>173954.7188</v>
      </c>
      <c r="AG75" s="1"/>
      <c r="AH75" s="1"/>
      <c r="AI75" s="1">
        <f>IFERROR(__xludf.DUMMYFUNCTION("""COMPUTED_VALUE"""),0.0)</f>
        <v>0</v>
      </c>
      <c r="AJ75" s="1"/>
      <c r="AK75" s="1"/>
      <c r="AL75" s="1">
        <f>IFERROR(__xludf.DUMMYFUNCTION("""COMPUTED_VALUE"""),0.0)</f>
        <v>0</v>
      </c>
      <c r="AM75" s="1">
        <f>IFERROR(__xludf.DUMMYFUNCTION("""COMPUTED_VALUE"""),380000.0)</f>
        <v>380000</v>
      </c>
      <c r="AN75" s="1">
        <f>IFERROR(__xludf.DUMMYFUNCTION("""COMPUTED_VALUE"""),10.0)</f>
        <v>10</v>
      </c>
      <c r="AO75" s="1">
        <f>IFERROR(__xludf.DUMMYFUNCTION("""COMPUTED_VALUE"""),399000.0)</f>
        <v>399000</v>
      </c>
      <c r="AP75" s="1">
        <f>IFERROR(__xludf.DUMMYFUNCTION("""COMPUTED_VALUE"""),114.0)</f>
        <v>114</v>
      </c>
      <c r="AQ75" s="1">
        <f>IFERROR(__xludf.DUMMYFUNCTION("""COMPUTED_VALUE"""),20.0)</f>
        <v>20</v>
      </c>
      <c r="AR75" s="1">
        <f>IFERROR(__xludf.DUMMYFUNCTION("""COMPUTED_VALUE"""),360000.0)</f>
        <v>360000</v>
      </c>
      <c r="AS75" s="1">
        <f>IFERROR(__xludf.DUMMYFUNCTION("""COMPUTED_VALUE"""),20.0)</f>
        <v>20</v>
      </c>
    </row>
    <row r="76">
      <c r="A76" s="1" t="str">
        <f>IFERROR(__xludf.DUMMYFUNCTION("""COMPUTED_VALUE"""),"CC")</f>
        <v>CC</v>
      </c>
      <c r="B76" s="1">
        <f>IFERROR(__xludf.DUMMYFUNCTION("""COMPUTED_VALUE"""),650000.0)</f>
        <v>650000</v>
      </c>
      <c r="C76" s="1"/>
      <c r="D76" s="1">
        <f>IFERROR(__xludf.DUMMYFUNCTION("""COMPUTED_VALUE"""),650000.0)</f>
        <v>650000</v>
      </c>
      <c r="E76" s="1">
        <f>IFERROR(__xludf.DUMMYFUNCTION("""COMPUTED_VALUE"""),1.0)</f>
        <v>1</v>
      </c>
      <c r="F76" s="1">
        <f>IFERROR(__xludf.DUMMYFUNCTION("""COMPUTED_VALUE"""),2000000.0)</f>
        <v>2000000</v>
      </c>
      <c r="G76" s="1">
        <f>IFERROR(__xludf.DUMMYFUNCTION("""COMPUTED_VALUE"""),1.0)</f>
        <v>1</v>
      </c>
      <c r="H76" s="1">
        <f>IFERROR(__xludf.DUMMYFUNCTION("""COMPUTED_VALUE"""),100.0)</f>
        <v>100</v>
      </c>
      <c r="I76" s="1">
        <f>IFERROR(__xludf.DUMMYFUNCTION("""COMPUTED_VALUE"""),650000.0)</f>
        <v>650000</v>
      </c>
      <c r="J76" s="1">
        <f>IFERROR(__xludf.DUMMYFUNCTION("""COMPUTED_VALUE"""),100.0)</f>
        <v>100</v>
      </c>
      <c r="K76" s="1">
        <f>IFERROR(__xludf.DUMMYFUNCTION("""COMPUTED_VALUE"""),650000.0)</f>
        <v>650000</v>
      </c>
      <c r="L76" s="1"/>
      <c r="M76" s="1"/>
      <c r="N76" s="1">
        <f>IFERROR(__xludf.DUMMYFUNCTION("""COMPUTED_VALUE"""),0.0)</f>
        <v>0</v>
      </c>
      <c r="O76" s="1">
        <f>IFERROR(__xludf.DUMMYFUNCTION("""COMPUTED_VALUE"""),100.0)</f>
        <v>100</v>
      </c>
      <c r="P76" s="1">
        <f>IFERROR(__xludf.DUMMYFUNCTION("""COMPUTED_VALUE"""),650000.0)</f>
        <v>650000</v>
      </c>
      <c r="Q76" s="1">
        <f>IFERROR(__xludf.DUMMYFUNCTION("""COMPUTED_VALUE"""),100.0)</f>
        <v>100</v>
      </c>
      <c r="R76" s="1">
        <f>IFERROR(__xludf.DUMMYFUNCTION("""COMPUTED_VALUE"""),330828.71875)</f>
        <v>330828.7188</v>
      </c>
      <c r="S76" s="1"/>
      <c r="T76" s="1"/>
      <c r="U76" s="1">
        <f>IFERROR(__xludf.DUMMYFUNCTION("""COMPUTED_VALUE"""),0.0)</f>
        <v>0</v>
      </c>
      <c r="V76" s="1"/>
      <c r="W76" s="1"/>
      <c r="X76" s="1">
        <f>IFERROR(__xludf.DUMMYFUNCTION("""COMPUTED_VALUE"""),0.0)</f>
        <v>0</v>
      </c>
      <c r="Y76" s="1">
        <f>IFERROR(__xludf.DUMMYFUNCTION("""COMPUTED_VALUE"""),650000.0)</f>
        <v>650000</v>
      </c>
      <c r="Z76" s="1">
        <f>IFERROR(__xludf.DUMMYFUNCTION("""COMPUTED_VALUE"""),5.0)</f>
        <v>5</v>
      </c>
      <c r="AA76" s="1">
        <f>IFERROR(__xludf.DUMMYFUNCTION("""COMPUTED_VALUE"""),750000.0)</f>
        <v>750000</v>
      </c>
      <c r="AB76" s="1">
        <f>IFERROR(__xludf.DUMMYFUNCTION("""COMPUTED_VALUE"""),5.0)</f>
        <v>5</v>
      </c>
      <c r="AC76" s="1">
        <f>IFERROR(__xludf.DUMMYFUNCTION("""COMPUTED_VALUE"""),100.0)</f>
        <v>100</v>
      </c>
      <c r="AD76" s="1">
        <f>IFERROR(__xludf.DUMMYFUNCTION("""COMPUTED_VALUE"""),650000.0)</f>
        <v>650000</v>
      </c>
      <c r="AE76" s="1">
        <f>IFERROR(__xludf.DUMMYFUNCTION("""COMPUTED_VALUE"""),100.0)</f>
        <v>100</v>
      </c>
      <c r="AF76" s="1">
        <f>IFERROR(__xludf.DUMMYFUNCTION("""COMPUTED_VALUE"""),330828.71875)</f>
        <v>330828.7188</v>
      </c>
      <c r="AG76" s="1"/>
      <c r="AH76" s="1"/>
      <c r="AI76" s="1">
        <f>IFERROR(__xludf.DUMMYFUNCTION("""COMPUTED_VALUE"""),0.0)</f>
        <v>0</v>
      </c>
      <c r="AJ76" s="1"/>
      <c r="AK76" s="1"/>
      <c r="AL76" s="1">
        <f>IFERROR(__xludf.DUMMYFUNCTION("""COMPUTED_VALUE"""),0.0)</f>
        <v>0</v>
      </c>
      <c r="AM76" s="1">
        <f>IFERROR(__xludf.DUMMYFUNCTION("""COMPUTED_VALUE"""),650000.0)</f>
        <v>650000</v>
      </c>
      <c r="AN76" s="1"/>
      <c r="AO76" s="1"/>
      <c r="AP76" s="1">
        <f>IFERROR(__xludf.DUMMYFUNCTION("""COMPUTED_VALUE"""),0.0)</f>
        <v>0</v>
      </c>
      <c r="AQ76" s="1">
        <f>IFERROR(__xludf.DUMMYFUNCTION("""COMPUTED_VALUE"""),100.0)</f>
        <v>100</v>
      </c>
      <c r="AR76" s="1">
        <f>IFERROR(__xludf.DUMMYFUNCTION("""COMPUTED_VALUE"""),650000.0)</f>
        <v>650000</v>
      </c>
      <c r="AS76" s="1">
        <f>IFERROR(__xludf.DUMMYFUNCTION("""COMPUTED_VALUE"""),100.0)</f>
        <v>100</v>
      </c>
    </row>
    <row r="77">
      <c r="A77" s="1" t="str">
        <f>IFERROR(__xludf.DUMMYFUNCTION("""COMPUTED_VALUE"""),"CCD")</f>
        <v>CCD</v>
      </c>
      <c r="B77" s="1">
        <f>IFERROR(__xludf.DUMMYFUNCTION("""COMPUTED_VALUE"""),80000.0)</f>
        <v>80000</v>
      </c>
      <c r="C77" s="1"/>
      <c r="D77" s="1">
        <f>IFERROR(__xludf.DUMMYFUNCTION("""COMPUTED_VALUE"""),80042.3515625)</f>
        <v>80042.35156</v>
      </c>
      <c r="E77" s="1">
        <f>IFERROR(__xludf.DUMMYFUNCTION("""COMPUTED_VALUE"""),45.0)</f>
        <v>45</v>
      </c>
      <c r="F77" s="1">
        <f>IFERROR(__xludf.DUMMYFUNCTION("""COMPUTED_VALUE"""),80200.0)</f>
        <v>80200</v>
      </c>
      <c r="G77" s="1">
        <f>IFERROR(__xludf.DUMMYFUNCTION("""COMPUTED_VALUE"""),45.0)</f>
        <v>45</v>
      </c>
      <c r="H77" s="1">
        <f>IFERROR(__xludf.DUMMYFUNCTION("""COMPUTED_VALUE"""),50.0)</f>
        <v>50</v>
      </c>
      <c r="I77" s="1">
        <f>IFERROR(__xludf.DUMMYFUNCTION("""COMPUTED_VALUE"""),80100.0)</f>
        <v>80100</v>
      </c>
      <c r="J77" s="1">
        <f>IFERROR(__xludf.DUMMYFUNCTION("""COMPUTED_VALUE"""),150.0)</f>
        <v>150</v>
      </c>
      <c r="K77" s="1">
        <f>IFERROR(__xludf.DUMMYFUNCTION("""COMPUTED_VALUE"""),80100.0)</f>
        <v>80100</v>
      </c>
      <c r="L77" s="1">
        <f>IFERROR(__xludf.DUMMYFUNCTION("""COMPUTED_VALUE"""),5.0)</f>
        <v>5</v>
      </c>
      <c r="M77" s="1">
        <f>IFERROR(__xludf.DUMMYFUNCTION("""COMPUTED_VALUE"""),80200.0)</f>
        <v>80200</v>
      </c>
      <c r="N77" s="1">
        <f>IFERROR(__xludf.DUMMYFUNCTION("""COMPUTED_VALUE"""),379.0)</f>
        <v>379</v>
      </c>
      <c r="O77" s="1">
        <f>IFERROR(__xludf.DUMMYFUNCTION("""COMPUTED_VALUE"""),96.0)</f>
        <v>96</v>
      </c>
      <c r="P77" s="1">
        <f>IFERROR(__xludf.DUMMYFUNCTION("""COMPUTED_VALUE"""),80100.0)</f>
        <v>80100</v>
      </c>
      <c r="Q77" s="1">
        <f>IFERROR(__xludf.DUMMYFUNCTION("""COMPUTED_VALUE"""),196.0)</f>
        <v>196</v>
      </c>
      <c r="R77" s="1">
        <f>IFERROR(__xludf.DUMMYFUNCTION("""COMPUTED_VALUE"""),27334.3203125)</f>
        <v>27334.32031</v>
      </c>
      <c r="S77" s="1"/>
      <c r="T77" s="1"/>
      <c r="U77" s="1">
        <f>IFERROR(__xludf.DUMMYFUNCTION("""COMPUTED_VALUE"""),0.0)</f>
        <v>0</v>
      </c>
      <c r="V77" s="1"/>
      <c r="W77" s="1"/>
      <c r="X77" s="1">
        <f>IFERROR(__xludf.DUMMYFUNCTION("""COMPUTED_VALUE"""),0.0)</f>
        <v>0</v>
      </c>
      <c r="Y77" s="1">
        <f>IFERROR(__xludf.DUMMYFUNCTION("""COMPUTED_VALUE"""),80000.0)</f>
        <v>80000</v>
      </c>
      <c r="Z77" s="1">
        <f>IFERROR(__xludf.DUMMYFUNCTION("""COMPUTED_VALUE"""),100.0)</f>
        <v>100</v>
      </c>
      <c r="AA77" s="1">
        <f>IFERROR(__xludf.DUMMYFUNCTION("""COMPUTED_VALUE"""),80100.0)</f>
        <v>80100</v>
      </c>
      <c r="AB77" s="1">
        <f>IFERROR(__xludf.DUMMYFUNCTION("""COMPUTED_VALUE"""),498.0)</f>
        <v>498</v>
      </c>
      <c r="AC77" s="1">
        <f>IFERROR(__xludf.DUMMYFUNCTION("""COMPUTED_VALUE"""),100.0)</f>
        <v>100</v>
      </c>
      <c r="AD77" s="1">
        <f>IFERROR(__xludf.DUMMYFUNCTION("""COMPUTED_VALUE"""),80000.0)</f>
        <v>80000</v>
      </c>
      <c r="AE77" s="1">
        <f>IFERROR(__xludf.DUMMYFUNCTION("""COMPUTED_VALUE"""),100.0)</f>
        <v>100</v>
      </c>
      <c r="AF77" s="1">
        <f>IFERROR(__xludf.DUMMYFUNCTION("""COMPUTED_VALUE"""),27334.3203125)</f>
        <v>27334.32031</v>
      </c>
      <c r="AG77" s="1"/>
      <c r="AH77" s="1"/>
      <c r="AI77" s="1">
        <f>IFERROR(__xludf.DUMMYFUNCTION("""COMPUTED_VALUE"""),0.0)</f>
        <v>0</v>
      </c>
      <c r="AJ77" s="1"/>
      <c r="AK77" s="1"/>
      <c r="AL77" s="1">
        <f>IFERROR(__xludf.DUMMYFUNCTION("""COMPUTED_VALUE"""),0.0)</f>
        <v>0</v>
      </c>
      <c r="AM77" s="1">
        <f>IFERROR(__xludf.DUMMYFUNCTION("""COMPUTED_VALUE"""),80000.0)</f>
        <v>80000</v>
      </c>
      <c r="AN77" s="1">
        <f>IFERROR(__xludf.DUMMYFUNCTION("""COMPUTED_VALUE"""),50.0)</f>
        <v>50</v>
      </c>
      <c r="AO77" s="1">
        <f>IFERROR(__xludf.DUMMYFUNCTION("""COMPUTED_VALUE"""),80100.0)</f>
        <v>80100</v>
      </c>
      <c r="AP77" s="1">
        <f>IFERROR(__xludf.DUMMYFUNCTION("""COMPUTED_VALUE"""),61.0)</f>
        <v>61</v>
      </c>
      <c r="AQ77" s="1">
        <f>IFERROR(__xludf.DUMMYFUNCTION("""COMPUTED_VALUE"""),100.0)</f>
        <v>100</v>
      </c>
      <c r="AR77" s="1">
        <f>IFERROR(__xludf.DUMMYFUNCTION("""COMPUTED_VALUE"""),80000.0)</f>
        <v>80000</v>
      </c>
      <c r="AS77" s="1">
        <f>IFERROR(__xludf.DUMMYFUNCTION("""COMPUTED_VALUE"""),100.0)</f>
        <v>100</v>
      </c>
    </row>
    <row r="78">
      <c r="A78" s="1" t="str">
        <f>IFERROR(__xludf.DUMMYFUNCTION("""COMPUTED_VALUE"""),"CD")</f>
        <v>CD</v>
      </c>
      <c r="B78" s="1"/>
      <c r="C78" s="1"/>
      <c r="D78" s="1">
        <f>IFERROR(__xludf.DUMMYFUNCTION("""COMPUTED_VALUE"""),25000.0)</f>
        <v>25000</v>
      </c>
      <c r="E78" s="1">
        <f>IFERROR(__xludf.DUMMYFUNCTION("""COMPUTED_VALUE"""),39.0)</f>
        <v>39</v>
      </c>
      <c r="F78" s="1">
        <f>IFERROR(__xludf.DUMMYFUNCTION("""COMPUTED_VALUE"""),20000.0)</f>
        <v>20000</v>
      </c>
      <c r="G78" s="1">
        <f>IFERROR(__xludf.DUMMYFUNCTION("""COMPUTED_VALUE"""),69.0)</f>
        <v>69</v>
      </c>
      <c r="H78" s="1">
        <f>IFERROR(__xludf.DUMMYFUNCTION("""COMPUTED_VALUE"""),50.0)</f>
        <v>50</v>
      </c>
      <c r="I78" s="1">
        <f>IFERROR(__xludf.DUMMYFUNCTION("""COMPUTED_VALUE"""),11000.0)</f>
        <v>11000</v>
      </c>
      <c r="J78" s="1">
        <f>IFERROR(__xludf.DUMMYFUNCTION("""COMPUTED_VALUE"""),69.0)</f>
        <v>69</v>
      </c>
      <c r="K78" s="1">
        <f>IFERROR(__xludf.DUMMYFUNCTION("""COMPUTED_VALUE"""),20000.0)</f>
        <v>20000</v>
      </c>
      <c r="L78" s="1">
        <f>IFERROR(__xludf.DUMMYFUNCTION("""COMPUTED_VALUE"""),4.0)</f>
        <v>4</v>
      </c>
      <c r="M78" s="1">
        <f>IFERROR(__xludf.DUMMYFUNCTION("""COMPUTED_VALUE"""),20000.0)</f>
        <v>20000</v>
      </c>
      <c r="N78" s="1">
        <f>IFERROR(__xludf.DUMMYFUNCTION("""COMPUTED_VALUE"""),4.0)</f>
        <v>4</v>
      </c>
      <c r="O78" s="1"/>
      <c r="P78" s="1"/>
      <c r="Q78" s="1">
        <f>IFERROR(__xludf.DUMMYFUNCTION("""COMPUTED_VALUE"""),0.0)</f>
        <v>0</v>
      </c>
      <c r="R78" s="1">
        <f>IFERROR(__xludf.DUMMYFUNCTION("""COMPUTED_VALUE"""),7880.33984375)</f>
        <v>7880.339844</v>
      </c>
      <c r="S78" s="1"/>
      <c r="T78" s="1"/>
      <c r="U78" s="1">
        <f>IFERROR(__xludf.DUMMYFUNCTION("""COMPUTED_VALUE"""),0.0)</f>
        <v>0</v>
      </c>
      <c r="V78" s="1"/>
      <c r="W78" s="1"/>
      <c r="X78" s="1">
        <f>IFERROR(__xludf.DUMMYFUNCTION("""COMPUTED_VALUE"""),0.0)</f>
        <v>0</v>
      </c>
      <c r="Y78" s="1">
        <f>IFERROR(__xludf.DUMMYFUNCTION("""COMPUTED_VALUE"""),13000.0)</f>
        <v>13000</v>
      </c>
      <c r="Z78" s="1"/>
      <c r="AA78" s="1"/>
      <c r="AB78" s="1">
        <f>IFERROR(__xludf.DUMMYFUNCTION("""COMPUTED_VALUE"""),0.0)</f>
        <v>0</v>
      </c>
      <c r="AC78" s="1">
        <f>IFERROR(__xludf.DUMMYFUNCTION("""COMPUTED_VALUE"""),1.0)</f>
        <v>1</v>
      </c>
      <c r="AD78" s="1">
        <f>IFERROR(__xludf.DUMMYFUNCTION("""COMPUTED_VALUE"""),13000.0)</f>
        <v>13000</v>
      </c>
      <c r="AE78" s="1">
        <f>IFERROR(__xludf.DUMMYFUNCTION("""COMPUTED_VALUE"""),110.0)</f>
        <v>110</v>
      </c>
      <c r="AF78" s="1">
        <f>IFERROR(__xludf.DUMMYFUNCTION("""COMPUTED_VALUE"""),7880.33984375)</f>
        <v>7880.339844</v>
      </c>
      <c r="AG78" s="1">
        <f>IFERROR(__xludf.DUMMYFUNCTION("""COMPUTED_VALUE"""),10.0)</f>
        <v>10</v>
      </c>
      <c r="AH78" s="1">
        <f>IFERROR(__xludf.DUMMYFUNCTION("""COMPUTED_VALUE"""),13200.0)</f>
        <v>13200</v>
      </c>
      <c r="AI78" s="1">
        <f>IFERROR(__xludf.DUMMYFUNCTION("""COMPUTED_VALUE"""),10.0)</f>
        <v>10</v>
      </c>
      <c r="AJ78" s="1"/>
      <c r="AK78" s="1"/>
      <c r="AL78" s="1">
        <f>IFERROR(__xludf.DUMMYFUNCTION("""COMPUTED_VALUE"""),0.0)</f>
        <v>0</v>
      </c>
      <c r="AM78" s="1">
        <f>IFERROR(__xludf.DUMMYFUNCTION("""COMPUTED_VALUE"""),13200.0)</f>
        <v>13200</v>
      </c>
      <c r="AN78" s="1"/>
      <c r="AO78" s="1"/>
      <c r="AP78" s="1">
        <f>IFERROR(__xludf.DUMMYFUNCTION("""COMPUTED_VALUE"""),0.0)</f>
        <v>0</v>
      </c>
      <c r="AQ78" s="1"/>
      <c r="AR78" s="1"/>
      <c r="AS78" s="1">
        <f>IFERROR(__xludf.DUMMYFUNCTION("""COMPUTED_VALUE"""),0.0)</f>
        <v>0</v>
      </c>
    </row>
    <row r="79">
      <c r="A79" s="1" t="str">
        <f>IFERROR(__xludf.DUMMYFUNCTION("""COMPUTED_VALUE"""),"CF")</f>
        <v>CF</v>
      </c>
      <c r="B79" s="1"/>
      <c r="C79" s="1"/>
      <c r="D79" s="1">
        <f>IFERROR(__xludf.DUMMYFUNCTION("""COMPUTED_VALUE"""),7010.0)</f>
        <v>7010</v>
      </c>
      <c r="E79" s="1">
        <f>IFERROR(__xludf.DUMMYFUNCTION("""COMPUTED_VALUE"""),5.0)</f>
        <v>5</v>
      </c>
      <c r="F79" s="1">
        <f>IFERROR(__xludf.DUMMYFUNCTION("""COMPUTED_VALUE"""),7600.0)</f>
        <v>7600</v>
      </c>
      <c r="G79" s="1">
        <f>IFERROR(__xludf.DUMMYFUNCTION("""COMPUTED_VALUE"""),1024.0)</f>
        <v>1024</v>
      </c>
      <c r="H79" s="1">
        <f>IFERROR(__xludf.DUMMYFUNCTION("""COMPUTED_VALUE"""),96.0)</f>
        <v>96</v>
      </c>
      <c r="I79" s="1">
        <f>IFERROR(__xludf.DUMMYFUNCTION("""COMPUTED_VALUE"""),7010.0)</f>
        <v>7010</v>
      </c>
      <c r="J79" s="1">
        <f>IFERROR(__xludf.DUMMYFUNCTION("""COMPUTED_VALUE"""),440.0)</f>
        <v>440</v>
      </c>
      <c r="K79" s="1">
        <f>IFERROR(__xludf.DUMMYFUNCTION("""COMPUTED_VALUE"""),7890.0)</f>
        <v>7890</v>
      </c>
      <c r="L79" s="1">
        <f>IFERROR(__xludf.DUMMYFUNCTION("""COMPUTED_VALUE"""),400.0)</f>
        <v>400</v>
      </c>
      <c r="M79" s="1">
        <f>IFERROR(__xludf.DUMMYFUNCTION("""COMPUTED_VALUE"""),7600.0)</f>
        <v>7600</v>
      </c>
      <c r="N79" s="1">
        <f>IFERROR(__xludf.DUMMYFUNCTION("""COMPUTED_VALUE"""),564.0)</f>
        <v>564</v>
      </c>
      <c r="O79" s="1">
        <f>IFERROR(__xludf.DUMMYFUNCTION("""COMPUTED_VALUE"""),200.0)</f>
        <v>200</v>
      </c>
      <c r="P79" s="1">
        <f>IFERROR(__xludf.DUMMYFUNCTION("""COMPUTED_VALUE"""),6500.0)</f>
        <v>6500</v>
      </c>
      <c r="Q79" s="1">
        <f>IFERROR(__xludf.DUMMYFUNCTION("""COMPUTED_VALUE"""),516.0)</f>
        <v>516</v>
      </c>
      <c r="R79" s="1">
        <f>IFERROR(__xludf.DUMMYFUNCTION("""COMPUTED_VALUE"""),5000.0)</f>
        <v>5000</v>
      </c>
      <c r="S79" s="1"/>
      <c r="T79" s="1"/>
      <c r="U79" s="1">
        <f>IFERROR(__xludf.DUMMYFUNCTION("""COMPUTED_VALUE"""),0.0)</f>
        <v>0</v>
      </c>
      <c r="V79" s="1"/>
      <c r="W79" s="1"/>
      <c r="X79" s="1">
        <f>IFERROR(__xludf.DUMMYFUNCTION("""COMPUTED_VALUE"""),0.0)</f>
        <v>0</v>
      </c>
      <c r="Y79" s="1">
        <f>IFERROR(__xludf.DUMMYFUNCTION("""COMPUTED_VALUE"""),7493.919921875)</f>
        <v>7493.919922</v>
      </c>
      <c r="Z79" s="1">
        <f>IFERROR(__xludf.DUMMYFUNCTION("""COMPUTED_VALUE"""),183.0)</f>
        <v>183</v>
      </c>
      <c r="AA79" s="1">
        <f>IFERROR(__xludf.DUMMYFUNCTION("""COMPUTED_VALUE"""),7500.0)</f>
        <v>7500</v>
      </c>
      <c r="AB79" s="1">
        <f>IFERROR(__xludf.DUMMYFUNCTION("""COMPUTED_VALUE"""),1511.0)</f>
        <v>1511</v>
      </c>
      <c r="AC79" s="1">
        <f>IFERROR(__xludf.DUMMYFUNCTION("""COMPUTED_VALUE"""),150.0)</f>
        <v>150</v>
      </c>
      <c r="AD79" s="1">
        <f>IFERROR(__xludf.DUMMYFUNCTION("""COMPUTED_VALUE"""),6410.0)</f>
        <v>6410</v>
      </c>
      <c r="AE79" s="1">
        <f>IFERROR(__xludf.DUMMYFUNCTION("""COMPUTED_VALUE"""),774.0)</f>
        <v>774</v>
      </c>
      <c r="AF79" s="1">
        <f>IFERROR(__xludf.DUMMYFUNCTION("""COMPUTED_VALUE"""),7850.0)</f>
        <v>7850</v>
      </c>
      <c r="AG79" s="1">
        <f>IFERROR(__xludf.DUMMYFUNCTION("""COMPUTED_VALUE"""),7.0)</f>
        <v>7</v>
      </c>
      <c r="AH79" s="1">
        <f>IFERROR(__xludf.DUMMYFUNCTION("""COMPUTED_VALUE"""),7850.0)</f>
        <v>7850</v>
      </c>
      <c r="AI79" s="1">
        <f>IFERROR(__xludf.DUMMYFUNCTION("""COMPUTED_VALUE"""),7.0)</f>
        <v>7</v>
      </c>
      <c r="AJ79" s="1"/>
      <c r="AK79" s="1"/>
      <c r="AL79" s="1">
        <f>IFERROR(__xludf.DUMMYFUNCTION("""COMPUTED_VALUE"""),0.0)</f>
        <v>0</v>
      </c>
      <c r="AM79" s="1">
        <f>IFERROR(__xludf.DUMMYFUNCTION("""COMPUTED_VALUE"""),6650.0)</f>
        <v>6650</v>
      </c>
      <c r="AN79" s="1">
        <f>IFERROR(__xludf.DUMMYFUNCTION("""COMPUTED_VALUE"""),78.0)</f>
        <v>78</v>
      </c>
      <c r="AO79" s="1">
        <f>IFERROR(__xludf.DUMMYFUNCTION("""COMPUTED_VALUE"""),7840.0)</f>
        <v>7840</v>
      </c>
      <c r="AP79" s="1">
        <f>IFERROR(__xludf.DUMMYFUNCTION("""COMPUTED_VALUE"""),385.0)</f>
        <v>385</v>
      </c>
      <c r="AQ79" s="1">
        <f>IFERROR(__xludf.DUMMYFUNCTION("""COMPUTED_VALUE"""),90.0)</f>
        <v>90</v>
      </c>
      <c r="AR79" s="1">
        <f>IFERROR(__xludf.DUMMYFUNCTION("""COMPUTED_VALUE"""),5520.0)</f>
        <v>5520</v>
      </c>
      <c r="AS79" s="1">
        <f>IFERROR(__xludf.DUMMYFUNCTION("""COMPUTED_VALUE"""),410.0)</f>
        <v>410</v>
      </c>
    </row>
    <row r="80">
      <c r="A80" s="1" t="str">
        <f>IFERROR(__xludf.DUMMYFUNCTION("""COMPUTED_VALUE"""),"CHA")</f>
        <v>CHA</v>
      </c>
      <c r="B80" s="1"/>
      <c r="C80" s="1"/>
      <c r="D80" s="1">
        <f>IFERROR(__xludf.DUMMYFUNCTION("""COMPUTED_VALUE"""),30000.0)</f>
        <v>30000</v>
      </c>
      <c r="E80" s="1">
        <f>IFERROR(__xludf.DUMMYFUNCTION("""COMPUTED_VALUE"""),1.0)</f>
        <v>1</v>
      </c>
      <c r="F80" s="1">
        <f>IFERROR(__xludf.DUMMYFUNCTION("""COMPUTED_VALUE"""),55000.0)</f>
        <v>55000</v>
      </c>
      <c r="G80" s="1">
        <f>IFERROR(__xludf.DUMMYFUNCTION("""COMPUTED_VALUE"""),1.0)</f>
        <v>1</v>
      </c>
      <c r="H80" s="1">
        <f>IFERROR(__xludf.DUMMYFUNCTION("""COMPUTED_VALUE"""),30.0)</f>
        <v>30</v>
      </c>
      <c r="I80" s="1">
        <f>IFERROR(__xludf.DUMMYFUNCTION("""COMPUTED_VALUE"""),28000.0)</f>
        <v>28000</v>
      </c>
      <c r="J80" s="1">
        <f>IFERROR(__xludf.DUMMYFUNCTION("""COMPUTED_VALUE"""),30.0)</f>
        <v>30</v>
      </c>
      <c r="K80" s="1">
        <f>IFERROR(__xludf.DUMMYFUNCTION("""COMPUTED_VALUE"""),48000.0)</f>
        <v>48000</v>
      </c>
      <c r="L80" s="1">
        <f>IFERROR(__xludf.DUMMYFUNCTION("""COMPUTED_VALUE"""),6.0)</f>
        <v>6</v>
      </c>
      <c r="M80" s="1">
        <f>IFERROR(__xludf.DUMMYFUNCTION("""COMPUTED_VALUE"""),48000.0)</f>
        <v>48000</v>
      </c>
      <c r="N80" s="1">
        <f>IFERROR(__xludf.DUMMYFUNCTION("""COMPUTED_VALUE"""),6.0)</f>
        <v>6</v>
      </c>
      <c r="O80" s="1">
        <f>IFERROR(__xludf.DUMMYFUNCTION("""COMPUTED_VALUE"""),6.0)</f>
        <v>6</v>
      </c>
      <c r="P80" s="1">
        <f>IFERROR(__xludf.DUMMYFUNCTION("""COMPUTED_VALUE"""),40000.0)</f>
        <v>40000</v>
      </c>
      <c r="Q80" s="1">
        <f>IFERROR(__xludf.DUMMYFUNCTION("""COMPUTED_VALUE"""),6.0)</f>
        <v>6</v>
      </c>
      <c r="R80" s="1">
        <f>IFERROR(__xludf.DUMMYFUNCTION("""COMPUTED_VALUE"""),20987.94921875)</f>
        <v>20987.94922</v>
      </c>
      <c r="S80" s="1"/>
      <c r="T80" s="1"/>
      <c r="U80" s="1">
        <f>IFERROR(__xludf.DUMMYFUNCTION("""COMPUTED_VALUE"""),0.0)</f>
        <v>0</v>
      </c>
      <c r="V80" s="1"/>
      <c r="W80" s="1"/>
      <c r="X80" s="1">
        <f>IFERROR(__xludf.DUMMYFUNCTION("""COMPUTED_VALUE"""),0.0)</f>
        <v>0</v>
      </c>
      <c r="Y80" s="1">
        <f>IFERROR(__xludf.DUMMYFUNCTION("""COMPUTED_VALUE"""),55626.37890625)</f>
        <v>55626.37891</v>
      </c>
      <c r="Z80" s="1">
        <f>IFERROR(__xludf.DUMMYFUNCTION("""COMPUTED_VALUE"""),26.0)</f>
        <v>26</v>
      </c>
      <c r="AA80" s="1">
        <f>IFERROR(__xludf.DUMMYFUNCTION("""COMPUTED_VALUE"""),100000.0)</f>
        <v>100000</v>
      </c>
      <c r="AB80" s="1">
        <f>IFERROR(__xludf.DUMMYFUNCTION("""COMPUTED_VALUE"""),26.0)</f>
        <v>26</v>
      </c>
      <c r="AC80" s="1"/>
      <c r="AD80" s="1"/>
      <c r="AE80" s="1">
        <f>IFERROR(__xludf.DUMMYFUNCTION("""COMPUTED_VALUE"""),0.0)</f>
        <v>0</v>
      </c>
      <c r="AF80" s="1">
        <f>IFERROR(__xludf.DUMMYFUNCTION("""COMPUTED_VALUE"""),20987.94921875)</f>
        <v>20987.94922</v>
      </c>
      <c r="AG80" s="1"/>
      <c r="AH80" s="1"/>
      <c r="AI80" s="1">
        <f>IFERROR(__xludf.DUMMYFUNCTION("""COMPUTED_VALUE"""),0.0)</f>
        <v>0</v>
      </c>
      <c r="AJ80" s="1"/>
      <c r="AK80" s="1"/>
      <c r="AL80" s="1">
        <f>IFERROR(__xludf.DUMMYFUNCTION("""COMPUTED_VALUE"""),0.0)</f>
        <v>0</v>
      </c>
      <c r="AM80" s="1">
        <f>IFERROR(__xludf.DUMMYFUNCTION("""COMPUTED_VALUE"""),12500.0)</f>
        <v>12500</v>
      </c>
      <c r="AN80" s="1">
        <f>IFERROR(__xludf.DUMMYFUNCTION("""COMPUTED_VALUE"""),5.0)</f>
        <v>5</v>
      </c>
      <c r="AO80" s="1">
        <f>IFERROR(__xludf.DUMMYFUNCTION("""COMPUTED_VALUE"""),120000.0)</f>
        <v>120000</v>
      </c>
      <c r="AP80" s="1">
        <f>IFERROR(__xludf.DUMMYFUNCTION("""COMPUTED_VALUE"""),5.0)</f>
        <v>5</v>
      </c>
      <c r="AQ80" s="1"/>
      <c r="AR80" s="1"/>
      <c r="AS80" s="1">
        <f>IFERROR(__xludf.DUMMYFUNCTION("""COMPUTED_VALUE"""),0.0)</f>
        <v>0</v>
      </c>
    </row>
    <row r="81">
      <c r="A81" s="1" t="str">
        <f>IFERROR(__xludf.DUMMYFUNCTION("""COMPUTED_VALUE"""),"CL")</f>
        <v>CL</v>
      </c>
      <c r="B81" s="1"/>
      <c r="C81" s="1"/>
      <c r="D81" s="1">
        <f>IFERROR(__xludf.DUMMYFUNCTION("""COMPUTED_VALUE"""),4000.0)</f>
        <v>4000</v>
      </c>
      <c r="E81" s="1">
        <f>IFERROR(__xludf.DUMMYFUNCTION("""COMPUTED_VALUE"""),694.0)</f>
        <v>694</v>
      </c>
      <c r="F81" s="1">
        <f>IFERROR(__xludf.DUMMYFUNCTION("""COMPUTED_VALUE"""),4000.0)</f>
        <v>4000</v>
      </c>
      <c r="G81" s="1">
        <f>IFERROR(__xludf.DUMMYFUNCTION("""COMPUTED_VALUE"""),19651.0)</f>
        <v>19651</v>
      </c>
      <c r="H81" s="1">
        <f>IFERROR(__xludf.DUMMYFUNCTION("""COMPUTED_VALUE"""),300.0)</f>
        <v>300</v>
      </c>
      <c r="I81" s="1">
        <f>IFERROR(__xludf.DUMMYFUNCTION("""COMPUTED_VALUE"""),3680.0)</f>
        <v>3680</v>
      </c>
      <c r="J81" s="1">
        <f>IFERROR(__xludf.DUMMYFUNCTION("""COMPUTED_VALUE"""),7187.0)</f>
        <v>7187</v>
      </c>
      <c r="K81" s="1">
        <f>IFERROR(__xludf.DUMMYFUNCTION("""COMPUTED_VALUE"""),3617.15991210937)</f>
        <v>3617.159912</v>
      </c>
      <c r="L81" s="1">
        <f>IFERROR(__xludf.DUMMYFUNCTION("""COMPUTED_VALUE"""),379.0)</f>
        <v>379</v>
      </c>
      <c r="M81" s="1">
        <f>IFERROR(__xludf.DUMMYFUNCTION("""COMPUTED_VALUE"""),4490.0)</f>
        <v>4490</v>
      </c>
      <c r="N81" s="1">
        <f>IFERROR(__xludf.DUMMYFUNCTION("""COMPUTED_VALUE"""),19757.0)</f>
        <v>19757</v>
      </c>
      <c r="O81" s="1">
        <f>IFERROR(__xludf.DUMMYFUNCTION("""COMPUTED_VALUE"""),326.0)</f>
        <v>326</v>
      </c>
      <c r="P81" s="1">
        <f>IFERROR(__xludf.DUMMYFUNCTION("""COMPUTED_VALUE"""),3600.0)</f>
        <v>3600</v>
      </c>
      <c r="Q81" s="1">
        <f>IFERROR(__xludf.DUMMYFUNCTION("""COMPUTED_VALUE"""),5346.0)</f>
        <v>5346</v>
      </c>
      <c r="R81" s="1">
        <f>IFERROR(__xludf.DUMMYFUNCTION("""COMPUTED_VALUE"""),4000.0)</f>
        <v>4000</v>
      </c>
      <c r="S81" s="1">
        <f>IFERROR(__xludf.DUMMYFUNCTION("""COMPUTED_VALUE"""),26.0)</f>
        <v>26</v>
      </c>
      <c r="T81" s="1">
        <f>IFERROR(__xludf.DUMMYFUNCTION("""COMPUTED_VALUE"""),4000.0)</f>
        <v>4000</v>
      </c>
      <c r="U81" s="1">
        <f>IFERROR(__xludf.DUMMYFUNCTION("""COMPUTED_VALUE"""),86.0)</f>
        <v>86</v>
      </c>
      <c r="V81" s="1">
        <f>IFERROR(__xludf.DUMMYFUNCTION("""COMPUTED_VALUE"""),180.0)</f>
        <v>180</v>
      </c>
      <c r="W81" s="1">
        <f>IFERROR(__xludf.DUMMYFUNCTION("""COMPUTED_VALUE"""),2300.0)</f>
        <v>2300</v>
      </c>
      <c r="X81" s="1">
        <f>IFERROR(__xludf.DUMMYFUNCTION("""COMPUTED_VALUE"""),180.0)</f>
        <v>180</v>
      </c>
      <c r="Y81" s="1">
        <f>IFERROR(__xludf.DUMMYFUNCTION("""COMPUTED_VALUE"""),3810.0)</f>
        <v>3810</v>
      </c>
      <c r="Z81" s="1">
        <f>IFERROR(__xludf.DUMMYFUNCTION("""COMPUTED_VALUE"""),233.0)</f>
        <v>233</v>
      </c>
      <c r="AA81" s="1">
        <f>IFERROR(__xludf.DUMMYFUNCTION("""COMPUTED_VALUE"""),4290.0)</f>
        <v>4290</v>
      </c>
      <c r="AB81" s="1">
        <f>IFERROR(__xludf.DUMMYFUNCTION("""COMPUTED_VALUE"""),12046.0)</f>
        <v>12046</v>
      </c>
      <c r="AC81" s="1">
        <f>IFERROR(__xludf.DUMMYFUNCTION("""COMPUTED_VALUE"""),286.0)</f>
        <v>286</v>
      </c>
      <c r="AD81" s="1">
        <f>IFERROR(__xludf.DUMMYFUNCTION("""COMPUTED_VALUE"""),3810.0)</f>
        <v>3810</v>
      </c>
      <c r="AE81" s="1">
        <f>IFERROR(__xludf.DUMMYFUNCTION("""COMPUTED_VALUE"""),5133.0)</f>
        <v>5133</v>
      </c>
      <c r="AF81" s="1">
        <f>IFERROR(__xludf.DUMMYFUNCTION("""COMPUTED_VALUE"""),3000.0)</f>
        <v>3000</v>
      </c>
      <c r="AG81" s="1">
        <f>IFERROR(__xludf.DUMMYFUNCTION("""COMPUTED_VALUE"""),41.0)</f>
        <v>41</v>
      </c>
      <c r="AH81" s="1">
        <f>IFERROR(__xludf.DUMMYFUNCTION("""COMPUTED_VALUE"""),3790.0)</f>
        <v>3790</v>
      </c>
      <c r="AI81" s="1">
        <f>IFERROR(__xludf.DUMMYFUNCTION("""COMPUTED_VALUE"""),133.0)</f>
        <v>133</v>
      </c>
      <c r="AJ81" s="1"/>
      <c r="AK81" s="1"/>
      <c r="AL81" s="1">
        <f>IFERROR(__xludf.DUMMYFUNCTION("""COMPUTED_VALUE"""),0.0)</f>
        <v>0</v>
      </c>
      <c r="AM81" s="1">
        <f>IFERROR(__xludf.DUMMYFUNCTION("""COMPUTED_VALUE"""),4310.0)</f>
        <v>4310</v>
      </c>
      <c r="AN81" s="1">
        <f>IFERROR(__xludf.DUMMYFUNCTION("""COMPUTED_VALUE"""),219.0)</f>
        <v>219</v>
      </c>
      <c r="AO81" s="1">
        <f>IFERROR(__xludf.DUMMYFUNCTION("""COMPUTED_VALUE"""),4310.0)</f>
        <v>4310</v>
      </c>
      <c r="AP81" s="1">
        <f>IFERROR(__xludf.DUMMYFUNCTION("""COMPUTED_VALUE"""),6445.0)</f>
        <v>6445</v>
      </c>
      <c r="AQ81" s="1">
        <f>IFERROR(__xludf.DUMMYFUNCTION("""COMPUTED_VALUE"""),288.0)</f>
        <v>288</v>
      </c>
      <c r="AR81" s="1">
        <f>IFERROR(__xludf.DUMMYFUNCTION("""COMPUTED_VALUE"""),3600.0)</f>
        <v>3600</v>
      </c>
      <c r="AS81" s="1">
        <f>IFERROR(__xludf.DUMMYFUNCTION("""COMPUTED_VALUE"""),5312.0)</f>
        <v>5312</v>
      </c>
    </row>
    <row r="82">
      <c r="A82" s="1" t="str">
        <f>IFERROR(__xludf.DUMMYFUNCTION("""COMPUTED_VALUE"""),"CLI")</f>
        <v>CLI</v>
      </c>
      <c r="B82" s="1">
        <f>IFERROR(__xludf.DUMMYFUNCTION("""COMPUTED_VALUE"""),51.0)</f>
        <v>51</v>
      </c>
      <c r="C82" s="1"/>
      <c r="D82" s="1">
        <f>IFERROR(__xludf.DUMMYFUNCTION("""COMPUTED_VALUE"""),250.0)</f>
        <v>250</v>
      </c>
      <c r="E82" s="1">
        <f>IFERROR(__xludf.DUMMYFUNCTION("""COMPUTED_VALUE"""),1000.0)</f>
        <v>1000</v>
      </c>
      <c r="F82" s="1">
        <f>IFERROR(__xludf.DUMMYFUNCTION("""COMPUTED_VALUE"""),249.0)</f>
        <v>249</v>
      </c>
      <c r="G82" s="1">
        <f>IFERROR(__xludf.DUMMYFUNCTION("""COMPUTED_VALUE"""),86083.0)</f>
        <v>86083</v>
      </c>
      <c r="H82" s="1">
        <f>IFERROR(__xludf.DUMMYFUNCTION("""COMPUTED_VALUE"""),1000.0)</f>
        <v>1000</v>
      </c>
      <c r="I82" s="1">
        <f>IFERROR(__xludf.DUMMYFUNCTION("""COMPUTED_VALUE"""),105.0)</f>
        <v>105</v>
      </c>
      <c r="J82" s="1">
        <f>IFERROR(__xludf.DUMMYFUNCTION("""COMPUTED_VALUE"""),12542.0)</f>
        <v>12542</v>
      </c>
      <c r="K82" s="1">
        <f>IFERROR(__xludf.DUMMYFUNCTION("""COMPUTED_VALUE"""),163.080001831054)</f>
        <v>163.0800018</v>
      </c>
      <c r="L82" s="1">
        <f>IFERROR(__xludf.DUMMYFUNCTION("""COMPUTED_VALUE"""),49.0)</f>
        <v>49</v>
      </c>
      <c r="M82" s="1">
        <f>IFERROR(__xludf.DUMMYFUNCTION("""COMPUTED_VALUE"""),199.0)</f>
        <v>199</v>
      </c>
      <c r="N82" s="1">
        <f>IFERROR(__xludf.DUMMYFUNCTION("""COMPUTED_VALUE"""),39087.0)</f>
        <v>39087</v>
      </c>
      <c r="O82" s="1">
        <f>IFERROR(__xludf.DUMMYFUNCTION("""COMPUTED_VALUE"""),50.0)</f>
        <v>50</v>
      </c>
      <c r="P82" s="1">
        <f>IFERROR(__xludf.DUMMYFUNCTION("""COMPUTED_VALUE"""),126.0)</f>
        <v>126</v>
      </c>
      <c r="Q82" s="1">
        <f>IFERROR(__xludf.DUMMYFUNCTION("""COMPUTED_VALUE"""),4819.0)</f>
        <v>4819</v>
      </c>
      <c r="R82" s="1">
        <f>IFERROR(__xludf.DUMMYFUNCTION("""COMPUTED_VALUE"""),170.0)</f>
        <v>170</v>
      </c>
      <c r="S82" s="1">
        <f>IFERROR(__xludf.DUMMYFUNCTION("""COMPUTED_VALUE"""),180.0)</f>
        <v>180</v>
      </c>
      <c r="T82" s="1">
        <f>IFERROR(__xludf.DUMMYFUNCTION("""COMPUTED_VALUE"""),250.0)</f>
        <v>250</v>
      </c>
      <c r="U82" s="1">
        <f>IFERROR(__xludf.DUMMYFUNCTION("""COMPUTED_VALUE"""),180.0)</f>
        <v>180</v>
      </c>
      <c r="V82" s="1">
        <f>IFERROR(__xludf.DUMMYFUNCTION("""COMPUTED_VALUE"""),300.0)</f>
        <v>300</v>
      </c>
      <c r="W82" s="1">
        <f>IFERROR(__xludf.DUMMYFUNCTION("""COMPUTED_VALUE"""),170.0)</f>
        <v>170</v>
      </c>
      <c r="X82" s="1">
        <f>IFERROR(__xludf.DUMMYFUNCTION("""COMPUTED_VALUE"""),2300.0)</f>
        <v>2300</v>
      </c>
      <c r="Y82" s="1">
        <f>IFERROR(__xludf.DUMMYFUNCTION("""COMPUTED_VALUE"""),225.0)</f>
        <v>225</v>
      </c>
      <c r="Z82" s="1">
        <f>IFERROR(__xludf.DUMMYFUNCTION("""COMPUTED_VALUE"""),30.0)</f>
        <v>30</v>
      </c>
      <c r="AA82" s="1">
        <f>IFERROR(__xludf.DUMMYFUNCTION("""COMPUTED_VALUE"""),200.0)</f>
        <v>200</v>
      </c>
      <c r="AB82" s="1">
        <f>IFERROR(__xludf.DUMMYFUNCTION("""COMPUTED_VALUE"""),23332.0)</f>
        <v>23332</v>
      </c>
      <c r="AC82" s="1">
        <f>IFERROR(__xludf.DUMMYFUNCTION("""COMPUTED_VALUE"""),1145.0)</f>
        <v>1145</v>
      </c>
      <c r="AD82" s="1">
        <f>IFERROR(__xludf.DUMMYFUNCTION("""COMPUTED_VALUE"""),140.0)</f>
        <v>140</v>
      </c>
      <c r="AE82" s="1">
        <f>IFERROR(__xludf.DUMMYFUNCTION("""COMPUTED_VALUE"""),5045.0)</f>
        <v>5045</v>
      </c>
      <c r="AF82" s="1">
        <f>IFERROR(__xludf.DUMMYFUNCTION("""COMPUTED_VALUE"""),375.0)</f>
        <v>375</v>
      </c>
      <c r="AG82" s="1">
        <f>IFERROR(__xludf.DUMMYFUNCTION("""COMPUTED_VALUE"""),33.0)</f>
        <v>33</v>
      </c>
      <c r="AH82" s="1">
        <f>IFERROR(__xludf.DUMMYFUNCTION("""COMPUTED_VALUE"""),375.0)</f>
        <v>375</v>
      </c>
      <c r="AI82" s="1">
        <f>IFERROR(__xludf.DUMMYFUNCTION("""COMPUTED_VALUE"""),41.0)</f>
        <v>41</v>
      </c>
      <c r="AJ82" s="1"/>
      <c r="AK82" s="1"/>
      <c r="AL82" s="1">
        <f>IFERROR(__xludf.DUMMYFUNCTION("""COMPUTED_VALUE"""),0.0)</f>
        <v>0</v>
      </c>
      <c r="AM82" s="1">
        <f>IFERROR(__xludf.DUMMYFUNCTION("""COMPUTED_VALUE"""),55.0)</f>
        <v>55</v>
      </c>
      <c r="AN82" s="1">
        <f>IFERROR(__xludf.DUMMYFUNCTION("""COMPUTED_VALUE"""),198.0)</f>
        <v>198</v>
      </c>
      <c r="AO82" s="1">
        <f>IFERROR(__xludf.DUMMYFUNCTION("""COMPUTED_VALUE"""),90.0)</f>
        <v>90</v>
      </c>
      <c r="AP82" s="1">
        <f>IFERROR(__xludf.DUMMYFUNCTION("""COMPUTED_VALUE"""),11717.0)</f>
        <v>11717</v>
      </c>
      <c r="AQ82" s="1">
        <f>IFERROR(__xludf.DUMMYFUNCTION("""COMPUTED_VALUE"""),1000.0)</f>
        <v>1000</v>
      </c>
      <c r="AR82" s="1">
        <f>IFERROR(__xludf.DUMMYFUNCTION("""COMPUTED_VALUE"""),56.0)</f>
        <v>56</v>
      </c>
      <c r="AS82" s="1">
        <f>IFERROR(__xludf.DUMMYFUNCTION("""COMPUTED_VALUE"""),2400.0)</f>
        <v>2400</v>
      </c>
    </row>
    <row r="83">
      <c r="A83" s="1" t="str">
        <f>IFERROR(__xludf.DUMMYFUNCTION("""COMPUTED_VALUE"""),"COF")</f>
        <v>COF</v>
      </c>
      <c r="B83" s="1"/>
      <c r="C83" s="1"/>
      <c r="D83" s="1">
        <f>IFERROR(__xludf.DUMMYFUNCTION("""COMPUTED_VALUE"""),999.0)</f>
        <v>999</v>
      </c>
      <c r="E83" s="1">
        <f>IFERROR(__xludf.DUMMYFUNCTION("""COMPUTED_VALUE"""),4350.0)</f>
        <v>4350</v>
      </c>
      <c r="F83" s="1">
        <f>IFERROR(__xludf.DUMMYFUNCTION("""COMPUTED_VALUE"""),999.0)</f>
        <v>999</v>
      </c>
      <c r="G83" s="1">
        <f>IFERROR(__xludf.DUMMYFUNCTION("""COMPUTED_VALUE"""),14350.0)</f>
        <v>14350</v>
      </c>
      <c r="H83" s="1">
        <f>IFERROR(__xludf.DUMMYFUNCTION("""COMPUTED_VALUE"""),41.0)</f>
        <v>41</v>
      </c>
      <c r="I83" s="1">
        <f>IFERROR(__xludf.DUMMYFUNCTION("""COMPUTED_VALUE"""),958.0)</f>
        <v>958</v>
      </c>
      <c r="J83" s="1">
        <f>IFERROR(__xludf.DUMMYFUNCTION("""COMPUTED_VALUE"""),18986.0)</f>
        <v>18986</v>
      </c>
      <c r="K83" s="1">
        <f>IFERROR(__xludf.DUMMYFUNCTION("""COMPUTED_VALUE"""),915.0)</f>
        <v>915</v>
      </c>
      <c r="L83" s="1">
        <f>IFERROR(__xludf.DUMMYFUNCTION("""COMPUTED_VALUE"""),9591.0)</f>
        <v>9591</v>
      </c>
      <c r="M83" s="1">
        <f>IFERROR(__xludf.DUMMYFUNCTION("""COMPUTED_VALUE"""),915.0)</f>
        <v>915</v>
      </c>
      <c r="N83" s="1">
        <f>IFERROR(__xludf.DUMMYFUNCTION("""COMPUTED_VALUE"""),20272.0)</f>
        <v>20272</v>
      </c>
      <c r="O83" s="1">
        <f>IFERROR(__xludf.DUMMYFUNCTION("""COMPUTED_VALUE"""),35.0)</f>
        <v>35</v>
      </c>
      <c r="P83" s="1">
        <f>IFERROR(__xludf.DUMMYFUNCTION("""COMPUTED_VALUE"""),903.0)</f>
        <v>903</v>
      </c>
      <c r="Q83" s="1">
        <f>IFERROR(__xludf.DUMMYFUNCTION("""COMPUTED_VALUE"""),7688.0)</f>
        <v>7688</v>
      </c>
      <c r="R83" s="1">
        <f>IFERROR(__xludf.DUMMYFUNCTION("""COMPUTED_VALUE"""),1200.0)</f>
        <v>1200</v>
      </c>
      <c r="S83" s="1">
        <f>IFERROR(__xludf.DUMMYFUNCTION("""COMPUTED_VALUE"""),350.0)</f>
        <v>350</v>
      </c>
      <c r="T83" s="1">
        <f>IFERROR(__xludf.DUMMYFUNCTION("""COMPUTED_VALUE"""),1200.0)</f>
        <v>1200</v>
      </c>
      <c r="U83" s="1">
        <f>IFERROR(__xludf.DUMMYFUNCTION("""COMPUTED_VALUE"""),405.0)</f>
        <v>405</v>
      </c>
      <c r="V83" s="1">
        <f>IFERROR(__xludf.DUMMYFUNCTION("""COMPUTED_VALUE"""),500.0)</f>
        <v>500</v>
      </c>
      <c r="W83" s="1">
        <f>IFERROR(__xludf.DUMMYFUNCTION("""COMPUTED_VALUE"""),700.0)</f>
        <v>700</v>
      </c>
      <c r="X83" s="1">
        <f>IFERROR(__xludf.DUMMYFUNCTION("""COMPUTED_VALUE"""),501.0)</f>
        <v>501</v>
      </c>
      <c r="Y83" s="1">
        <f>IFERROR(__xludf.DUMMYFUNCTION("""COMPUTED_VALUE"""),980.0)</f>
        <v>980</v>
      </c>
      <c r="Z83" s="1">
        <f>IFERROR(__xludf.DUMMYFUNCTION("""COMPUTED_VALUE"""),452.0)</f>
        <v>452</v>
      </c>
      <c r="AA83" s="1">
        <f>IFERROR(__xludf.DUMMYFUNCTION("""COMPUTED_VALUE"""),980.0)</f>
        <v>980</v>
      </c>
      <c r="AB83" s="1">
        <f>IFERROR(__xludf.DUMMYFUNCTION("""COMPUTED_VALUE"""),29672.0)</f>
        <v>29672</v>
      </c>
      <c r="AC83" s="1">
        <f>IFERROR(__xludf.DUMMYFUNCTION("""COMPUTED_VALUE"""),5.0)</f>
        <v>5</v>
      </c>
      <c r="AD83" s="1">
        <f>IFERROR(__xludf.DUMMYFUNCTION("""COMPUTED_VALUE"""),922.0)</f>
        <v>922</v>
      </c>
      <c r="AE83" s="1">
        <f>IFERROR(__xludf.DUMMYFUNCTION("""COMPUTED_VALUE"""),11792.0)</f>
        <v>11792</v>
      </c>
      <c r="AF83" s="1">
        <f>IFERROR(__xludf.DUMMYFUNCTION("""COMPUTED_VALUE"""),900.0)</f>
        <v>900</v>
      </c>
      <c r="AG83" s="1">
        <f>IFERROR(__xludf.DUMMYFUNCTION("""COMPUTED_VALUE"""),957.0)</f>
        <v>957</v>
      </c>
      <c r="AH83" s="1">
        <f>IFERROR(__xludf.DUMMYFUNCTION("""COMPUTED_VALUE"""),900.0)</f>
        <v>900</v>
      </c>
      <c r="AI83" s="1">
        <f>IFERROR(__xludf.DUMMYFUNCTION("""COMPUTED_VALUE"""),957.0)</f>
        <v>957</v>
      </c>
      <c r="AJ83" s="1"/>
      <c r="AK83" s="1"/>
      <c r="AL83" s="1">
        <f>IFERROR(__xludf.DUMMYFUNCTION("""COMPUTED_VALUE"""),0.0)</f>
        <v>0</v>
      </c>
      <c r="AM83" s="1">
        <f>IFERROR(__xludf.DUMMYFUNCTION("""COMPUTED_VALUE"""),817.0)</f>
        <v>817</v>
      </c>
      <c r="AN83" s="1">
        <f>IFERROR(__xludf.DUMMYFUNCTION("""COMPUTED_VALUE"""),2362.0)</f>
        <v>2362</v>
      </c>
      <c r="AO83" s="1">
        <f>IFERROR(__xludf.DUMMYFUNCTION("""COMPUTED_VALUE"""),916.0)</f>
        <v>916</v>
      </c>
      <c r="AP83" s="1">
        <f>IFERROR(__xludf.DUMMYFUNCTION("""COMPUTED_VALUE"""),20629.0)</f>
        <v>20629</v>
      </c>
      <c r="AQ83" s="1">
        <f>IFERROR(__xludf.DUMMYFUNCTION("""COMPUTED_VALUE"""),1236.0)</f>
        <v>1236</v>
      </c>
      <c r="AR83" s="1">
        <f>IFERROR(__xludf.DUMMYFUNCTION("""COMPUTED_VALUE"""),817.0)</f>
        <v>817</v>
      </c>
      <c r="AS83" s="1">
        <f>IFERROR(__xludf.DUMMYFUNCTION("""COMPUTED_VALUE"""),24202.0)</f>
        <v>24202</v>
      </c>
    </row>
    <row r="84">
      <c r="A84" s="1" t="str">
        <f>IFERROR(__xludf.DUMMYFUNCTION("""COMPUTED_VALUE"""),"COM")</f>
        <v>COM</v>
      </c>
      <c r="B84" s="1"/>
      <c r="C84" s="1"/>
      <c r="D84" s="1">
        <f>IFERROR(__xludf.DUMMYFUNCTION("""COMPUTED_VALUE"""),126500.0)</f>
        <v>126500</v>
      </c>
      <c r="E84" s="1">
        <f>IFERROR(__xludf.DUMMYFUNCTION("""COMPUTED_VALUE"""),19.0)</f>
        <v>19</v>
      </c>
      <c r="F84" s="1">
        <f>IFERROR(__xludf.DUMMYFUNCTION("""COMPUTED_VALUE"""),125000.0)</f>
        <v>125000</v>
      </c>
      <c r="G84" s="1">
        <f>IFERROR(__xludf.DUMMYFUNCTION("""COMPUTED_VALUE"""),190.0)</f>
        <v>190</v>
      </c>
      <c r="H84" s="1">
        <f>IFERROR(__xludf.DUMMYFUNCTION("""COMPUTED_VALUE"""),5.0)</f>
        <v>5</v>
      </c>
      <c r="I84" s="1">
        <f>IFERROR(__xludf.DUMMYFUNCTION("""COMPUTED_VALUE"""),100000.0)</f>
        <v>100000</v>
      </c>
      <c r="J84" s="1">
        <f>IFERROR(__xludf.DUMMYFUNCTION("""COMPUTED_VALUE"""),15.0)</f>
        <v>15</v>
      </c>
      <c r="K84" s="1">
        <f>IFERROR(__xludf.DUMMYFUNCTION("""COMPUTED_VALUE"""),127000.0)</f>
        <v>127000</v>
      </c>
      <c r="L84" s="1">
        <f>IFERROR(__xludf.DUMMYFUNCTION("""COMPUTED_VALUE"""),10.0)</f>
        <v>10</v>
      </c>
      <c r="M84" s="1">
        <f>IFERROR(__xludf.DUMMYFUNCTION("""COMPUTED_VALUE"""),127000.0)</f>
        <v>127000</v>
      </c>
      <c r="N84" s="1">
        <f>IFERROR(__xludf.DUMMYFUNCTION("""COMPUTED_VALUE"""),116.0)</f>
        <v>116</v>
      </c>
      <c r="O84" s="1">
        <f>IFERROR(__xludf.DUMMYFUNCTION("""COMPUTED_VALUE"""),6.0)</f>
        <v>6</v>
      </c>
      <c r="P84" s="1">
        <f>IFERROR(__xludf.DUMMYFUNCTION("""COMPUTED_VALUE"""),102000.0)</f>
        <v>102000</v>
      </c>
      <c r="Q84" s="1">
        <f>IFERROR(__xludf.DUMMYFUNCTION("""COMPUTED_VALUE"""),15.0)</f>
        <v>15</v>
      </c>
      <c r="R84" s="1">
        <f>IFERROR(__xludf.DUMMYFUNCTION("""COMPUTED_VALUE"""),250000.0)</f>
        <v>250000</v>
      </c>
      <c r="S84" s="1"/>
      <c r="T84" s="1"/>
      <c r="U84" s="1">
        <f>IFERROR(__xludf.DUMMYFUNCTION("""COMPUTED_VALUE"""),0.0)</f>
        <v>0</v>
      </c>
      <c r="V84" s="1"/>
      <c r="W84" s="1"/>
      <c r="X84" s="1">
        <f>IFERROR(__xludf.DUMMYFUNCTION("""COMPUTED_VALUE"""),0.0)</f>
        <v>0</v>
      </c>
      <c r="Y84" s="1">
        <f>IFERROR(__xludf.DUMMYFUNCTION("""COMPUTED_VALUE"""),130000.0)</f>
        <v>130000</v>
      </c>
      <c r="Z84" s="1">
        <f>IFERROR(__xludf.DUMMYFUNCTION("""COMPUTED_VALUE"""),10.0)</f>
        <v>10</v>
      </c>
      <c r="AA84" s="1">
        <f>IFERROR(__xludf.DUMMYFUNCTION("""COMPUTED_VALUE"""),129000.0)</f>
        <v>129000</v>
      </c>
      <c r="AB84" s="1">
        <f>IFERROR(__xludf.DUMMYFUNCTION("""COMPUTED_VALUE"""),84.0)</f>
        <v>84</v>
      </c>
      <c r="AC84" s="1">
        <f>IFERROR(__xludf.DUMMYFUNCTION("""COMPUTED_VALUE"""),4.0)</f>
        <v>4</v>
      </c>
      <c r="AD84" s="1">
        <f>IFERROR(__xludf.DUMMYFUNCTION("""COMPUTED_VALUE"""),95100.0)</f>
        <v>95100</v>
      </c>
      <c r="AE84" s="1">
        <f>IFERROR(__xludf.DUMMYFUNCTION("""COMPUTED_VALUE"""),59.0)</f>
        <v>59</v>
      </c>
      <c r="AF84" s="1">
        <f>IFERROR(__xludf.DUMMYFUNCTION("""COMPUTED_VALUE"""),37311.390625)</f>
        <v>37311.39063</v>
      </c>
      <c r="AG84" s="1">
        <f>IFERROR(__xludf.DUMMYFUNCTION("""COMPUTED_VALUE"""),1.0)</f>
        <v>1</v>
      </c>
      <c r="AH84" s="1">
        <f>IFERROR(__xludf.DUMMYFUNCTION("""COMPUTED_VALUE"""),116000.0)</f>
        <v>116000</v>
      </c>
      <c r="AI84" s="1">
        <f>IFERROR(__xludf.DUMMYFUNCTION("""COMPUTED_VALUE"""),1.0)</f>
        <v>1</v>
      </c>
      <c r="AJ84" s="1"/>
      <c r="AK84" s="1"/>
      <c r="AL84" s="1">
        <f>IFERROR(__xludf.DUMMYFUNCTION("""COMPUTED_VALUE"""),0.0)</f>
        <v>0</v>
      </c>
      <c r="AM84" s="1">
        <f>IFERROR(__xludf.DUMMYFUNCTION("""COMPUTED_VALUE"""),125000.0)</f>
        <v>125000</v>
      </c>
      <c r="AN84" s="1">
        <f>IFERROR(__xludf.DUMMYFUNCTION("""COMPUTED_VALUE"""),1.0)</f>
        <v>1</v>
      </c>
      <c r="AO84" s="1">
        <f>IFERROR(__xludf.DUMMYFUNCTION("""COMPUTED_VALUE"""),125000.0)</f>
        <v>125000</v>
      </c>
      <c r="AP84" s="1">
        <f>IFERROR(__xludf.DUMMYFUNCTION("""COMPUTED_VALUE"""),45.0)</f>
        <v>45</v>
      </c>
      <c r="AQ84" s="1">
        <f>IFERROR(__xludf.DUMMYFUNCTION("""COMPUTED_VALUE"""),5.0)</f>
        <v>5</v>
      </c>
      <c r="AR84" s="1">
        <f>IFERROR(__xludf.DUMMYFUNCTION("""COMPUTED_VALUE"""),100000.0)</f>
        <v>100000</v>
      </c>
      <c r="AS84" s="1">
        <f>IFERROR(__xludf.DUMMYFUNCTION("""COMPUTED_VALUE"""),5.0)</f>
        <v>5</v>
      </c>
    </row>
    <row r="85">
      <c r="A85" s="1" t="str">
        <f>IFERROR(__xludf.DUMMYFUNCTION("""COMPUTED_VALUE"""),"COT")</f>
        <v>COT</v>
      </c>
      <c r="B85" s="1"/>
      <c r="C85" s="1"/>
      <c r="D85" s="1">
        <f>IFERROR(__xludf.DUMMYFUNCTION("""COMPUTED_VALUE"""),3195.6298828125)</f>
        <v>3195.629883</v>
      </c>
      <c r="E85" s="1">
        <f>IFERROR(__xludf.DUMMYFUNCTION("""COMPUTED_VALUE"""),454.0)</f>
        <v>454</v>
      </c>
      <c r="F85" s="1">
        <f>IFERROR(__xludf.DUMMYFUNCTION("""COMPUTED_VALUE"""),3200.0)</f>
        <v>3200</v>
      </c>
      <c r="G85" s="1">
        <f>IFERROR(__xludf.DUMMYFUNCTION("""COMPUTED_VALUE"""),3509.0)</f>
        <v>3509</v>
      </c>
      <c r="H85" s="1">
        <f>IFERROR(__xludf.DUMMYFUNCTION("""COMPUTED_VALUE"""),66.0)</f>
        <v>66</v>
      </c>
      <c r="I85" s="1">
        <f>IFERROR(__xludf.DUMMYFUNCTION("""COMPUTED_VALUE"""),3000.0)</f>
        <v>3000</v>
      </c>
      <c r="J85" s="1">
        <f>IFERROR(__xludf.DUMMYFUNCTION("""COMPUTED_VALUE"""),3176.0)</f>
        <v>3176</v>
      </c>
      <c r="K85" s="1">
        <f>IFERROR(__xludf.DUMMYFUNCTION("""COMPUTED_VALUE"""),3200.0)</f>
        <v>3200</v>
      </c>
      <c r="L85" s="1">
        <f>IFERROR(__xludf.DUMMYFUNCTION("""COMPUTED_VALUE"""),4.0)</f>
        <v>4</v>
      </c>
      <c r="M85" s="1">
        <f>IFERROR(__xludf.DUMMYFUNCTION("""COMPUTED_VALUE"""),3200.0)</f>
        <v>3200</v>
      </c>
      <c r="N85" s="1">
        <f>IFERROR(__xludf.DUMMYFUNCTION("""COMPUTED_VALUE"""),1121.0)</f>
        <v>1121</v>
      </c>
      <c r="O85" s="1">
        <f>IFERROR(__xludf.DUMMYFUNCTION("""COMPUTED_VALUE"""),30.0)</f>
        <v>30</v>
      </c>
      <c r="P85" s="1">
        <f>IFERROR(__xludf.DUMMYFUNCTION("""COMPUTED_VALUE"""),3000.0)</f>
        <v>3000</v>
      </c>
      <c r="Q85" s="1">
        <f>IFERROR(__xludf.DUMMYFUNCTION("""COMPUTED_VALUE"""),2148.0)</f>
        <v>2148</v>
      </c>
      <c r="R85" s="1">
        <f>IFERROR(__xludf.DUMMYFUNCTION("""COMPUTED_VALUE"""),3000.0)</f>
        <v>3000</v>
      </c>
      <c r="S85" s="1"/>
      <c r="T85" s="1"/>
      <c r="U85" s="1">
        <f>IFERROR(__xludf.DUMMYFUNCTION("""COMPUTED_VALUE"""),0.0)</f>
        <v>0</v>
      </c>
      <c r="V85" s="1"/>
      <c r="W85" s="1"/>
      <c r="X85" s="1">
        <f>IFERROR(__xludf.DUMMYFUNCTION("""COMPUTED_VALUE"""),0.0)</f>
        <v>0</v>
      </c>
      <c r="Y85" s="1">
        <f>IFERROR(__xludf.DUMMYFUNCTION("""COMPUTED_VALUE"""),3440.0)</f>
        <v>3440</v>
      </c>
      <c r="Z85" s="1">
        <f>IFERROR(__xludf.DUMMYFUNCTION("""COMPUTED_VALUE"""),817.0)</f>
        <v>817</v>
      </c>
      <c r="AA85" s="1">
        <f>IFERROR(__xludf.DUMMYFUNCTION("""COMPUTED_VALUE"""),3200.0)</f>
        <v>3200</v>
      </c>
      <c r="AB85" s="1">
        <f>IFERROR(__xludf.DUMMYFUNCTION("""COMPUTED_VALUE"""),2486.0)</f>
        <v>2486</v>
      </c>
      <c r="AC85" s="1">
        <f>IFERROR(__xludf.DUMMYFUNCTION("""COMPUTED_VALUE"""),6.0)</f>
        <v>6</v>
      </c>
      <c r="AD85" s="1">
        <f>IFERROR(__xludf.DUMMYFUNCTION("""COMPUTED_VALUE"""),3000.0)</f>
        <v>3000</v>
      </c>
      <c r="AE85" s="1">
        <f>IFERROR(__xludf.DUMMYFUNCTION("""COMPUTED_VALUE"""),2618.0)</f>
        <v>2618</v>
      </c>
      <c r="AF85" s="1">
        <f>IFERROR(__xludf.DUMMYFUNCTION("""COMPUTED_VALUE"""),4000.0)</f>
        <v>4000</v>
      </c>
      <c r="AG85" s="1">
        <f>IFERROR(__xludf.DUMMYFUNCTION("""COMPUTED_VALUE"""),3.0)</f>
        <v>3</v>
      </c>
      <c r="AH85" s="1">
        <f>IFERROR(__xludf.DUMMYFUNCTION("""COMPUTED_VALUE"""),4000.0)</f>
        <v>4000</v>
      </c>
      <c r="AI85" s="1">
        <f>IFERROR(__xludf.DUMMYFUNCTION("""COMPUTED_VALUE"""),3.0)</f>
        <v>3</v>
      </c>
      <c r="AJ85" s="1"/>
      <c r="AK85" s="1"/>
      <c r="AL85" s="1">
        <f>IFERROR(__xludf.DUMMYFUNCTION("""COMPUTED_VALUE"""),0.0)</f>
        <v>0</v>
      </c>
      <c r="AM85" s="1">
        <f>IFERROR(__xludf.DUMMYFUNCTION("""COMPUTED_VALUE"""),3100.0)</f>
        <v>3100</v>
      </c>
      <c r="AN85" s="1">
        <f>IFERROR(__xludf.DUMMYFUNCTION("""COMPUTED_VALUE"""),4.0)</f>
        <v>4</v>
      </c>
      <c r="AO85" s="1">
        <f>IFERROR(__xludf.DUMMYFUNCTION("""COMPUTED_VALUE"""),3050.0)</f>
        <v>3050</v>
      </c>
      <c r="AP85" s="1">
        <f>IFERROR(__xludf.DUMMYFUNCTION("""COMPUTED_VALUE"""),2418.0)</f>
        <v>2418</v>
      </c>
      <c r="AQ85" s="1">
        <f>IFERROR(__xludf.DUMMYFUNCTION("""COMPUTED_VALUE"""),10.0)</f>
        <v>10</v>
      </c>
      <c r="AR85" s="1">
        <f>IFERROR(__xludf.DUMMYFUNCTION("""COMPUTED_VALUE"""),2820.0)</f>
        <v>2820</v>
      </c>
      <c r="AS85" s="1">
        <f>IFERROR(__xludf.DUMMYFUNCTION("""COMPUTED_VALUE"""),1010.0)</f>
        <v>1010</v>
      </c>
    </row>
    <row r="86">
      <c r="A86" s="1" t="str">
        <f>IFERROR(__xludf.DUMMYFUNCTION("""COMPUTED_VALUE"""),"CPU")</f>
        <v>CPU</v>
      </c>
      <c r="B86" s="1"/>
      <c r="C86" s="1"/>
      <c r="D86" s="1">
        <f>IFERROR(__xludf.DUMMYFUNCTION("""COMPUTED_VALUE"""),1425662.875)</f>
        <v>1425662.875</v>
      </c>
      <c r="E86" s="1"/>
      <c r="F86" s="1"/>
      <c r="G86" s="1">
        <f>IFERROR(__xludf.DUMMYFUNCTION("""COMPUTED_VALUE"""),0.0)</f>
        <v>0</v>
      </c>
      <c r="H86" s="1"/>
      <c r="I86" s="1"/>
      <c r="J86" s="1">
        <f>IFERROR(__xludf.DUMMYFUNCTION("""COMPUTED_VALUE"""),0.0)</f>
        <v>0</v>
      </c>
      <c r="K86" s="1">
        <f>IFERROR(__xludf.DUMMYFUNCTION("""COMPUTED_VALUE"""),1425662.875)</f>
        <v>1425662.875</v>
      </c>
      <c r="L86" s="1"/>
      <c r="M86" s="1"/>
      <c r="N86" s="1">
        <f>IFERROR(__xludf.DUMMYFUNCTION("""COMPUTED_VALUE"""),0.0)</f>
        <v>0</v>
      </c>
      <c r="O86" s="1"/>
      <c r="P86" s="1"/>
      <c r="Q86" s="1">
        <f>IFERROR(__xludf.DUMMYFUNCTION("""COMPUTED_VALUE"""),0.0)</f>
        <v>0</v>
      </c>
      <c r="R86" s="1">
        <f>IFERROR(__xludf.DUMMYFUNCTION("""COMPUTED_VALUE"""),1425662.875)</f>
        <v>1425662.875</v>
      </c>
      <c r="S86" s="1"/>
      <c r="T86" s="1"/>
      <c r="U86" s="1">
        <f>IFERROR(__xludf.DUMMYFUNCTION("""COMPUTED_VALUE"""),0.0)</f>
        <v>0</v>
      </c>
      <c r="V86" s="1"/>
      <c r="W86" s="1"/>
      <c r="X86" s="1">
        <f>IFERROR(__xludf.DUMMYFUNCTION("""COMPUTED_VALUE"""),0.0)</f>
        <v>0</v>
      </c>
      <c r="Y86" s="1">
        <f>IFERROR(__xludf.DUMMYFUNCTION("""COMPUTED_VALUE"""),1425662.875)</f>
        <v>1425662.875</v>
      </c>
      <c r="Z86" s="1"/>
      <c r="AA86" s="1"/>
      <c r="AB86" s="1">
        <f>IFERROR(__xludf.DUMMYFUNCTION("""COMPUTED_VALUE"""),0.0)</f>
        <v>0</v>
      </c>
      <c r="AC86" s="1"/>
      <c r="AD86" s="1"/>
      <c r="AE86" s="1">
        <f>IFERROR(__xludf.DUMMYFUNCTION("""COMPUTED_VALUE"""),0.0)</f>
        <v>0</v>
      </c>
      <c r="AF86" s="1">
        <f>IFERROR(__xludf.DUMMYFUNCTION("""COMPUTED_VALUE"""),1425662.875)</f>
        <v>1425662.875</v>
      </c>
      <c r="AG86" s="1"/>
      <c r="AH86" s="1"/>
      <c r="AI86" s="1">
        <f>IFERROR(__xludf.DUMMYFUNCTION("""COMPUTED_VALUE"""),0.0)</f>
        <v>0</v>
      </c>
      <c r="AJ86" s="1"/>
      <c r="AK86" s="1"/>
      <c r="AL86" s="1">
        <f>IFERROR(__xludf.DUMMYFUNCTION("""COMPUTED_VALUE"""),0.0)</f>
        <v>0</v>
      </c>
      <c r="AM86" s="1">
        <f>IFERROR(__xludf.DUMMYFUNCTION("""COMPUTED_VALUE"""),1425662.875)</f>
        <v>1425662.875</v>
      </c>
      <c r="AN86" s="1"/>
      <c r="AO86" s="1"/>
      <c r="AP86" s="1">
        <f>IFERROR(__xludf.DUMMYFUNCTION("""COMPUTED_VALUE"""),0.0)</f>
        <v>0</v>
      </c>
      <c r="AQ86" s="1"/>
      <c r="AR86" s="1"/>
      <c r="AS86" s="1">
        <f>IFERROR(__xludf.DUMMYFUNCTION("""COMPUTED_VALUE"""),0.0)</f>
        <v>0</v>
      </c>
    </row>
    <row r="87">
      <c r="A87" s="1" t="str">
        <f>IFERROR(__xludf.DUMMYFUNCTION("""COMPUTED_VALUE"""),"CQL")</f>
        <v>CQL</v>
      </c>
      <c r="B87" s="1"/>
      <c r="C87" s="1"/>
      <c r="D87" s="1">
        <f>IFERROR(__xludf.DUMMYFUNCTION("""COMPUTED_VALUE"""),1890000.0)</f>
        <v>1890000</v>
      </c>
      <c r="E87" s="1">
        <f>IFERROR(__xludf.DUMMYFUNCTION("""COMPUTED_VALUE"""),1.0)</f>
        <v>1</v>
      </c>
      <c r="F87" s="1">
        <f>IFERROR(__xludf.DUMMYFUNCTION("""COMPUTED_VALUE"""),1890000.0)</f>
        <v>1890000</v>
      </c>
      <c r="G87" s="1">
        <f>IFERROR(__xludf.DUMMYFUNCTION("""COMPUTED_VALUE"""),6.0)</f>
        <v>6</v>
      </c>
      <c r="H87" s="1"/>
      <c r="I87" s="1"/>
      <c r="J87" s="1">
        <f>IFERROR(__xludf.DUMMYFUNCTION("""COMPUTED_VALUE"""),0.0)</f>
        <v>0</v>
      </c>
      <c r="K87" s="1">
        <f>IFERROR(__xludf.DUMMYFUNCTION("""COMPUTED_VALUE"""),1600000.0)</f>
        <v>1600000</v>
      </c>
      <c r="L87" s="1">
        <f>IFERROR(__xludf.DUMMYFUNCTION("""COMPUTED_VALUE"""),1.0)</f>
        <v>1</v>
      </c>
      <c r="M87" s="1">
        <f>IFERROR(__xludf.DUMMYFUNCTION("""COMPUTED_VALUE"""),2100000.0)</f>
        <v>2100000</v>
      </c>
      <c r="N87" s="1">
        <f>IFERROR(__xludf.DUMMYFUNCTION("""COMPUTED_VALUE"""),4.0)</f>
        <v>4</v>
      </c>
      <c r="O87" s="1"/>
      <c r="P87" s="1"/>
      <c r="Q87" s="1">
        <f>IFERROR(__xludf.DUMMYFUNCTION("""COMPUTED_VALUE"""),0.0)</f>
        <v>0</v>
      </c>
      <c r="R87" s="1">
        <f>IFERROR(__xludf.DUMMYFUNCTION("""COMPUTED_VALUE"""),1000000.0)</f>
        <v>1000000</v>
      </c>
      <c r="S87" s="1"/>
      <c r="T87" s="1"/>
      <c r="U87" s="1">
        <f>IFERROR(__xludf.DUMMYFUNCTION("""COMPUTED_VALUE"""),0.0)</f>
        <v>0</v>
      </c>
      <c r="V87" s="1"/>
      <c r="W87" s="1"/>
      <c r="X87" s="1">
        <f>IFERROR(__xludf.DUMMYFUNCTION("""COMPUTED_VALUE"""),0.0)</f>
        <v>0</v>
      </c>
      <c r="Y87" s="1">
        <f>IFERROR(__xludf.DUMMYFUNCTION("""COMPUTED_VALUE"""),1790000.0)</f>
        <v>1790000</v>
      </c>
      <c r="Z87" s="1">
        <f>IFERROR(__xludf.DUMMYFUNCTION("""COMPUTED_VALUE"""),1.0)</f>
        <v>1</v>
      </c>
      <c r="AA87" s="1">
        <f>IFERROR(__xludf.DUMMYFUNCTION("""COMPUTED_VALUE"""),1990000.0)</f>
        <v>1990000</v>
      </c>
      <c r="AB87" s="1">
        <f>IFERROR(__xludf.DUMMYFUNCTION("""COMPUTED_VALUE"""),5.0)</f>
        <v>5</v>
      </c>
      <c r="AC87" s="1"/>
      <c r="AD87" s="1"/>
      <c r="AE87" s="1">
        <f>IFERROR(__xludf.DUMMYFUNCTION("""COMPUTED_VALUE"""),0.0)</f>
        <v>0</v>
      </c>
      <c r="AF87" s="1">
        <f>IFERROR(__xludf.DUMMYFUNCTION("""COMPUTED_VALUE"""),634922.0)</f>
        <v>634922</v>
      </c>
      <c r="AG87" s="1"/>
      <c r="AH87" s="1"/>
      <c r="AI87" s="1">
        <f>IFERROR(__xludf.DUMMYFUNCTION("""COMPUTED_VALUE"""),0.0)</f>
        <v>0</v>
      </c>
      <c r="AJ87" s="1"/>
      <c r="AK87" s="1"/>
      <c r="AL87" s="1">
        <f>IFERROR(__xludf.DUMMYFUNCTION("""COMPUTED_VALUE"""),0.0)</f>
        <v>0</v>
      </c>
      <c r="AM87" s="1">
        <f>IFERROR(__xludf.DUMMYFUNCTION("""COMPUTED_VALUE"""),2090000.0)</f>
        <v>2090000</v>
      </c>
      <c r="AN87" s="1">
        <f>IFERROR(__xludf.DUMMYFUNCTION("""COMPUTED_VALUE"""),1.0)</f>
        <v>1</v>
      </c>
      <c r="AO87" s="1">
        <f>IFERROR(__xludf.DUMMYFUNCTION("""COMPUTED_VALUE"""),2100000.0)</f>
        <v>2100000</v>
      </c>
      <c r="AP87" s="1">
        <f>IFERROR(__xludf.DUMMYFUNCTION("""COMPUTED_VALUE"""),1.0)</f>
        <v>1</v>
      </c>
      <c r="AQ87" s="1">
        <f>IFERROR(__xludf.DUMMYFUNCTION("""COMPUTED_VALUE"""),1.0)</f>
        <v>1</v>
      </c>
      <c r="AR87" s="1">
        <f>IFERROR(__xludf.DUMMYFUNCTION("""COMPUTED_VALUE"""),1.0)</f>
        <v>1</v>
      </c>
      <c r="AS87" s="1">
        <f>IFERROR(__xludf.DUMMYFUNCTION("""COMPUTED_VALUE"""),1.0)</f>
        <v>1</v>
      </c>
    </row>
    <row r="88">
      <c r="A88" s="1" t="str">
        <f>IFERROR(__xludf.DUMMYFUNCTION("""COMPUTED_VALUE"""),"CQM")</f>
        <v>CQM</v>
      </c>
      <c r="B88" s="1"/>
      <c r="C88" s="1"/>
      <c r="D88" s="1">
        <f>IFERROR(__xludf.DUMMYFUNCTION("""COMPUTED_VALUE"""),1190000.0)</f>
        <v>1190000</v>
      </c>
      <c r="E88" s="1">
        <f>IFERROR(__xludf.DUMMYFUNCTION("""COMPUTED_VALUE"""),1.0)</f>
        <v>1</v>
      </c>
      <c r="F88" s="1">
        <f>IFERROR(__xludf.DUMMYFUNCTION("""COMPUTED_VALUE"""),1190000.0)</f>
        <v>1190000</v>
      </c>
      <c r="G88" s="1">
        <f>IFERROR(__xludf.DUMMYFUNCTION("""COMPUTED_VALUE"""),5.0)</f>
        <v>5</v>
      </c>
      <c r="H88" s="1">
        <f>IFERROR(__xludf.DUMMYFUNCTION("""COMPUTED_VALUE"""),1.0)</f>
        <v>1</v>
      </c>
      <c r="I88" s="1">
        <f>IFERROR(__xludf.DUMMYFUNCTION("""COMPUTED_VALUE"""),750000.0)</f>
        <v>750000</v>
      </c>
      <c r="J88" s="1">
        <f>IFERROR(__xludf.DUMMYFUNCTION("""COMPUTED_VALUE"""),4.0)</f>
        <v>4</v>
      </c>
      <c r="K88" s="1">
        <f>IFERROR(__xludf.DUMMYFUNCTION("""COMPUTED_VALUE"""),1050000.0)</f>
        <v>1050000</v>
      </c>
      <c r="L88" s="1">
        <f>IFERROR(__xludf.DUMMYFUNCTION("""COMPUTED_VALUE"""),1.0)</f>
        <v>1</v>
      </c>
      <c r="M88" s="1">
        <f>IFERROR(__xludf.DUMMYFUNCTION("""COMPUTED_VALUE"""),1050000.0)</f>
        <v>1050000</v>
      </c>
      <c r="N88" s="1">
        <f>IFERROR(__xludf.DUMMYFUNCTION("""COMPUTED_VALUE"""),5.0)</f>
        <v>5</v>
      </c>
      <c r="O88" s="1"/>
      <c r="P88" s="1"/>
      <c r="Q88" s="1">
        <f>IFERROR(__xludf.DUMMYFUNCTION("""COMPUTED_VALUE"""),0.0)</f>
        <v>0</v>
      </c>
      <c r="R88" s="1">
        <f>IFERROR(__xludf.DUMMYFUNCTION("""COMPUTED_VALUE"""),875000.0)</f>
        <v>875000</v>
      </c>
      <c r="S88" s="1"/>
      <c r="T88" s="1"/>
      <c r="U88" s="1">
        <f>IFERROR(__xludf.DUMMYFUNCTION("""COMPUTED_VALUE"""),0.0)</f>
        <v>0</v>
      </c>
      <c r="V88" s="1"/>
      <c r="W88" s="1"/>
      <c r="X88" s="1">
        <f>IFERROR(__xludf.DUMMYFUNCTION("""COMPUTED_VALUE"""),0.0)</f>
        <v>0</v>
      </c>
      <c r="Y88" s="1">
        <f>IFERROR(__xludf.DUMMYFUNCTION("""COMPUTED_VALUE"""),1100000.0)</f>
        <v>1100000</v>
      </c>
      <c r="Z88" s="1">
        <f>IFERROR(__xludf.DUMMYFUNCTION("""COMPUTED_VALUE"""),3.0)</f>
        <v>3</v>
      </c>
      <c r="AA88" s="1">
        <f>IFERROR(__xludf.DUMMYFUNCTION("""COMPUTED_VALUE"""),1100000.0)</f>
        <v>1100000</v>
      </c>
      <c r="AB88" s="1">
        <f>IFERROR(__xludf.DUMMYFUNCTION("""COMPUTED_VALUE"""),5.0)</f>
        <v>5</v>
      </c>
      <c r="AC88" s="1">
        <f>IFERROR(__xludf.DUMMYFUNCTION("""COMPUTED_VALUE"""),1.0)</f>
        <v>1</v>
      </c>
      <c r="AD88" s="1">
        <f>IFERROR(__xludf.DUMMYFUNCTION("""COMPUTED_VALUE"""),663000.0)</f>
        <v>663000</v>
      </c>
      <c r="AE88" s="1">
        <f>IFERROR(__xludf.DUMMYFUNCTION("""COMPUTED_VALUE"""),3.0)</f>
        <v>3</v>
      </c>
      <c r="AF88" s="1">
        <f>IFERROR(__xludf.DUMMYFUNCTION("""COMPUTED_VALUE"""),481565.0)</f>
        <v>481565</v>
      </c>
      <c r="AG88" s="1"/>
      <c r="AH88" s="1"/>
      <c r="AI88" s="1">
        <f>IFERROR(__xludf.DUMMYFUNCTION("""COMPUTED_VALUE"""),0.0)</f>
        <v>0</v>
      </c>
      <c r="AJ88" s="1"/>
      <c r="AK88" s="1"/>
      <c r="AL88" s="1">
        <f>IFERROR(__xludf.DUMMYFUNCTION("""COMPUTED_VALUE"""),0.0)</f>
        <v>0</v>
      </c>
      <c r="AM88" s="1">
        <f>IFERROR(__xludf.DUMMYFUNCTION("""COMPUTED_VALUE"""),1190000.0)</f>
        <v>1190000</v>
      </c>
      <c r="AN88" s="1">
        <f>IFERROR(__xludf.DUMMYFUNCTION("""COMPUTED_VALUE"""),1.0)</f>
        <v>1</v>
      </c>
      <c r="AO88" s="1">
        <f>IFERROR(__xludf.DUMMYFUNCTION("""COMPUTED_VALUE"""),1290000.0)</f>
        <v>1290000</v>
      </c>
      <c r="AP88" s="1">
        <f>IFERROR(__xludf.DUMMYFUNCTION("""COMPUTED_VALUE"""),2.0)</f>
        <v>2</v>
      </c>
      <c r="AQ88" s="1"/>
      <c r="AR88" s="1"/>
      <c r="AS88" s="1">
        <f>IFERROR(__xludf.DUMMYFUNCTION("""COMPUTED_VALUE"""),0.0)</f>
        <v>0</v>
      </c>
    </row>
    <row r="89">
      <c r="A89" s="1" t="str">
        <f>IFERROR(__xludf.DUMMYFUNCTION("""COMPUTED_VALUE"""),"CQS")</f>
        <v>CQS</v>
      </c>
      <c r="B89" s="1"/>
      <c r="C89" s="1"/>
      <c r="D89" s="1">
        <f>IFERROR(__xludf.DUMMYFUNCTION("""COMPUTED_VALUE"""),780000.0)</f>
        <v>780000</v>
      </c>
      <c r="E89" s="1">
        <f>IFERROR(__xludf.DUMMYFUNCTION("""COMPUTED_VALUE"""),1.0)</f>
        <v>1</v>
      </c>
      <c r="F89" s="1">
        <f>IFERROR(__xludf.DUMMYFUNCTION("""COMPUTED_VALUE"""),759000.0)</f>
        <v>759000</v>
      </c>
      <c r="G89" s="1">
        <f>IFERROR(__xludf.DUMMYFUNCTION("""COMPUTED_VALUE"""),9.0)</f>
        <v>9</v>
      </c>
      <c r="H89" s="1"/>
      <c r="I89" s="1"/>
      <c r="J89" s="1">
        <f>IFERROR(__xludf.DUMMYFUNCTION("""COMPUTED_VALUE"""),0.0)</f>
        <v>0</v>
      </c>
      <c r="K89" s="1">
        <f>IFERROR(__xludf.DUMMYFUNCTION("""COMPUTED_VALUE"""),900000.0)</f>
        <v>900000</v>
      </c>
      <c r="L89" s="1">
        <f>IFERROR(__xludf.DUMMYFUNCTION("""COMPUTED_VALUE"""),1.0)</f>
        <v>1</v>
      </c>
      <c r="M89" s="1">
        <f>IFERROR(__xludf.DUMMYFUNCTION("""COMPUTED_VALUE"""),800000.0)</f>
        <v>800000</v>
      </c>
      <c r="N89" s="1">
        <f>IFERROR(__xludf.DUMMYFUNCTION("""COMPUTED_VALUE"""),3.0)</f>
        <v>3</v>
      </c>
      <c r="O89" s="1">
        <f>IFERROR(__xludf.DUMMYFUNCTION("""COMPUTED_VALUE"""),2.0)</f>
        <v>2</v>
      </c>
      <c r="P89" s="1">
        <f>IFERROR(__xludf.DUMMYFUNCTION("""COMPUTED_VALUE"""),600000.0)</f>
        <v>600000</v>
      </c>
      <c r="Q89" s="1">
        <f>IFERROR(__xludf.DUMMYFUNCTION("""COMPUTED_VALUE"""),4.0)</f>
        <v>4</v>
      </c>
      <c r="R89" s="1">
        <f>IFERROR(__xludf.DUMMYFUNCTION("""COMPUTED_VALUE"""),800000.0)</f>
        <v>800000</v>
      </c>
      <c r="S89" s="1"/>
      <c r="T89" s="1"/>
      <c r="U89" s="1">
        <f>IFERROR(__xludf.DUMMYFUNCTION("""COMPUTED_VALUE"""),0.0)</f>
        <v>0</v>
      </c>
      <c r="V89" s="1">
        <f>IFERROR(__xludf.DUMMYFUNCTION("""COMPUTED_VALUE"""),1.0)</f>
        <v>1</v>
      </c>
      <c r="W89" s="1">
        <f>IFERROR(__xludf.DUMMYFUNCTION("""COMPUTED_VALUE"""),600000.0)</f>
        <v>600000</v>
      </c>
      <c r="X89" s="1">
        <f>IFERROR(__xludf.DUMMYFUNCTION("""COMPUTED_VALUE"""),1.0)</f>
        <v>1</v>
      </c>
      <c r="Y89" s="1">
        <f>IFERROR(__xludf.DUMMYFUNCTION("""COMPUTED_VALUE"""),749000.0)</f>
        <v>749000</v>
      </c>
      <c r="Z89" s="1">
        <f>IFERROR(__xludf.DUMMYFUNCTION("""COMPUTED_VALUE"""),1.0)</f>
        <v>1</v>
      </c>
      <c r="AA89" s="1">
        <f>IFERROR(__xludf.DUMMYFUNCTION("""COMPUTED_VALUE"""),749000.0)</f>
        <v>749000</v>
      </c>
      <c r="AB89" s="1">
        <f>IFERROR(__xludf.DUMMYFUNCTION("""COMPUTED_VALUE"""),16.0)</f>
        <v>16</v>
      </c>
      <c r="AC89" s="1"/>
      <c r="AD89" s="1"/>
      <c r="AE89" s="1">
        <f>IFERROR(__xludf.DUMMYFUNCTION("""COMPUTED_VALUE"""),0.0)</f>
        <v>0</v>
      </c>
      <c r="AF89" s="1">
        <f>IFERROR(__xludf.DUMMYFUNCTION("""COMPUTED_VALUE"""),378392.0)</f>
        <v>378392</v>
      </c>
      <c r="AG89" s="1"/>
      <c r="AH89" s="1"/>
      <c r="AI89" s="1">
        <f>IFERROR(__xludf.DUMMYFUNCTION("""COMPUTED_VALUE"""),0.0)</f>
        <v>0</v>
      </c>
      <c r="AJ89" s="1"/>
      <c r="AK89" s="1"/>
      <c r="AL89" s="1">
        <f>IFERROR(__xludf.DUMMYFUNCTION("""COMPUTED_VALUE"""),0.0)</f>
        <v>0</v>
      </c>
      <c r="AM89" s="1">
        <f>IFERROR(__xludf.DUMMYFUNCTION("""COMPUTED_VALUE"""),780000.0)</f>
        <v>780000</v>
      </c>
      <c r="AN89" s="1">
        <f>IFERROR(__xludf.DUMMYFUNCTION("""COMPUTED_VALUE"""),1.0)</f>
        <v>1</v>
      </c>
      <c r="AO89" s="1">
        <f>IFERROR(__xludf.DUMMYFUNCTION("""COMPUTED_VALUE"""),798000.0)</f>
        <v>798000</v>
      </c>
      <c r="AP89" s="1">
        <f>IFERROR(__xludf.DUMMYFUNCTION("""COMPUTED_VALUE"""),7.0)</f>
        <v>7</v>
      </c>
      <c r="AQ89" s="1"/>
      <c r="AR89" s="1"/>
      <c r="AS89" s="1">
        <f>IFERROR(__xludf.DUMMYFUNCTION("""COMPUTED_VALUE"""),0.0)</f>
        <v>0</v>
      </c>
    </row>
    <row r="90">
      <c r="A90" s="1" t="str">
        <f>IFERROR(__xludf.DUMMYFUNCTION("""COMPUTED_VALUE"""),"CQT")</f>
        <v>CQT</v>
      </c>
      <c r="B90" s="1"/>
      <c r="C90" s="1"/>
      <c r="D90" s="1">
        <f>IFERROR(__xludf.DUMMYFUNCTION("""COMPUTED_VALUE"""),549000.0)</f>
        <v>549000</v>
      </c>
      <c r="E90" s="1">
        <f>IFERROR(__xludf.DUMMYFUNCTION("""COMPUTED_VALUE"""),1.0)</f>
        <v>1</v>
      </c>
      <c r="F90" s="1">
        <f>IFERROR(__xludf.DUMMYFUNCTION("""COMPUTED_VALUE"""),548000.0)</f>
        <v>548000</v>
      </c>
      <c r="G90" s="1">
        <f>IFERROR(__xludf.DUMMYFUNCTION("""COMPUTED_VALUE"""),2.0)</f>
        <v>2</v>
      </c>
      <c r="H90" s="1"/>
      <c r="I90" s="1"/>
      <c r="J90" s="1">
        <f>IFERROR(__xludf.DUMMYFUNCTION("""COMPUTED_VALUE"""),0.0)</f>
        <v>0</v>
      </c>
      <c r="K90" s="1">
        <f>IFERROR(__xludf.DUMMYFUNCTION("""COMPUTED_VALUE"""),150000.0)</f>
        <v>150000</v>
      </c>
      <c r="L90" s="1">
        <f>IFERROR(__xludf.DUMMYFUNCTION("""COMPUTED_VALUE"""),1.0)</f>
        <v>1</v>
      </c>
      <c r="M90" s="1">
        <f>IFERROR(__xludf.DUMMYFUNCTION("""COMPUTED_VALUE"""),275000.0)</f>
        <v>275000</v>
      </c>
      <c r="N90" s="1">
        <f>IFERROR(__xludf.DUMMYFUNCTION("""COMPUTED_VALUE"""),5.0)</f>
        <v>5</v>
      </c>
      <c r="O90" s="1">
        <f>IFERROR(__xludf.DUMMYFUNCTION("""COMPUTED_VALUE"""),1.0)</f>
        <v>1</v>
      </c>
      <c r="P90" s="1">
        <f>IFERROR(__xludf.DUMMYFUNCTION("""COMPUTED_VALUE"""),102000.0)</f>
        <v>102000</v>
      </c>
      <c r="Q90" s="1">
        <f>IFERROR(__xludf.DUMMYFUNCTION("""COMPUTED_VALUE"""),3.0)</f>
        <v>3</v>
      </c>
      <c r="R90" s="1">
        <f>IFERROR(__xludf.DUMMYFUNCTION("""COMPUTED_VALUE"""),250000.0)</f>
        <v>250000</v>
      </c>
      <c r="S90" s="1"/>
      <c r="T90" s="1"/>
      <c r="U90" s="1">
        <f>IFERROR(__xludf.DUMMYFUNCTION("""COMPUTED_VALUE"""),0.0)</f>
        <v>0</v>
      </c>
      <c r="V90" s="1"/>
      <c r="W90" s="1"/>
      <c r="X90" s="1">
        <f>IFERROR(__xludf.DUMMYFUNCTION("""COMPUTED_VALUE"""),0.0)</f>
        <v>0</v>
      </c>
      <c r="Y90" s="1">
        <f>IFERROR(__xludf.DUMMYFUNCTION("""COMPUTED_VALUE"""),102000.0)</f>
        <v>102000</v>
      </c>
      <c r="Z90" s="1">
        <f>IFERROR(__xludf.DUMMYFUNCTION("""COMPUTED_VALUE"""),1.0)</f>
        <v>1</v>
      </c>
      <c r="AA90" s="1">
        <f>IFERROR(__xludf.DUMMYFUNCTION("""COMPUTED_VALUE"""),278000.0)</f>
        <v>278000</v>
      </c>
      <c r="AB90" s="1">
        <f>IFERROR(__xludf.DUMMYFUNCTION("""COMPUTED_VALUE"""),2.0)</f>
        <v>2</v>
      </c>
      <c r="AC90" s="1">
        <f>IFERROR(__xludf.DUMMYFUNCTION("""COMPUTED_VALUE"""),1.0)</f>
        <v>1</v>
      </c>
      <c r="AD90" s="1">
        <f>IFERROR(__xludf.DUMMYFUNCTION("""COMPUTED_VALUE"""),102000.0)</f>
        <v>102000</v>
      </c>
      <c r="AE90" s="1">
        <f>IFERROR(__xludf.DUMMYFUNCTION("""COMPUTED_VALUE"""),5.0)</f>
        <v>5</v>
      </c>
      <c r="AF90" s="1">
        <f>IFERROR(__xludf.DUMMYFUNCTION("""COMPUTED_VALUE"""),107709.6171875)</f>
        <v>107709.6172</v>
      </c>
      <c r="AG90" s="1"/>
      <c r="AH90" s="1"/>
      <c r="AI90" s="1">
        <f>IFERROR(__xludf.DUMMYFUNCTION("""COMPUTED_VALUE"""),0.0)</f>
        <v>0</v>
      </c>
      <c r="AJ90" s="1"/>
      <c r="AK90" s="1"/>
      <c r="AL90" s="1">
        <f>IFERROR(__xludf.DUMMYFUNCTION("""COMPUTED_VALUE"""),0.0)</f>
        <v>0</v>
      </c>
      <c r="AM90" s="1">
        <f>IFERROR(__xludf.DUMMYFUNCTION("""COMPUTED_VALUE"""),310000.0)</f>
        <v>310000</v>
      </c>
      <c r="AN90" s="1">
        <f>IFERROR(__xludf.DUMMYFUNCTION("""COMPUTED_VALUE"""),1.0)</f>
        <v>1</v>
      </c>
      <c r="AO90" s="1">
        <f>IFERROR(__xludf.DUMMYFUNCTION("""COMPUTED_VALUE"""),499000.0)</f>
        <v>499000</v>
      </c>
      <c r="AP90" s="1">
        <f>IFERROR(__xludf.DUMMYFUNCTION("""COMPUTED_VALUE"""),2.0)</f>
        <v>2</v>
      </c>
      <c r="AQ90" s="1"/>
      <c r="AR90" s="1"/>
      <c r="AS90" s="1">
        <f>IFERROR(__xludf.DUMMYFUNCTION("""COMPUTED_VALUE"""),0.0)</f>
        <v>0</v>
      </c>
    </row>
    <row r="91">
      <c r="A91" s="1" t="str">
        <f>IFERROR(__xludf.DUMMYFUNCTION("""COMPUTED_VALUE"""),"CRU")</f>
        <v>CRU</v>
      </c>
      <c r="B91" s="1">
        <f>IFERROR(__xludf.DUMMYFUNCTION("""COMPUTED_VALUE"""),200000.0)</f>
        <v>200000</v>
      </c>
      <c r="C91" s="1"/>
      <c r="D91" s="1">
        <f>IFERROR(__xludf.DUMMYFUNCTION("""COMPUTED_VALUE"""),799000.0)</f>
        <v>799000</v>
      </c>
      <c r="E91" s="1">
        <f>IFERROR(__xludf.DUMMYFUNCTION("""COMPUTED_VALUE"""),1.0)</f>
        <v>1</v>
      </c>
      <c r="F91" s="1">
        <f>IFERROR(__xludf.DUMMYFUNCTION("""COMPUTED_VALUE"""),800000.0)</f>
        <v>800000</v>
      </c>
      <c r="G91" s="1">
        <f>IFERROR(__xludf.DUMMYFUNCTION("""COMPUTED_VALUE"""),1.0)</f>
        <v>1</v>
      </c>
      <c r="H91" s="1">
        <f>IFERROR(__xludf.DUMMYFUNCTION("""COMPUTED_VALUE"""),100.0)</f>
        <v>100</v>
      </c>
      <c r="I91" s="1">
        <f>IFERROR(__xludf.DUMMYFUNCTION("""COMPUTED_VALUE"""),200000.0)</f>
        <v>200000</v>
      </c>
      <c r="J91" s="1">
        <f>IFERROR(__xludf.DUMMYFUNCTION("""COMPUTED_VALUE"""),100.0)</f>
        <v>100</v>
      </c>
      <c r="K91" s="1">
        <f>IFERROR(__xludf.DUMMYFUNCTION("""COMPUTED_VALUE"""),200000.0)</f>
        <v>200000</v>
      </c>
      <c r="L91" s="1">
        <f>IFERROR(__xludf.DUMMYFUNCTION("""COMPUTED_VALUE"""),1.0)</f>
        <v>1</v>
      </c>
      <c r="M91" s="1">
        <f>IFERROR(__xludf.DUMMYFUNCTION("""COMPUTED_VALUE"""),800000.0)</f>
        <v>800000</v>
      </c>
      <c r="N91" s="1">
        <f>IFERROR(__xludf.DUMMYFUNCTION("""COMPUTED_VALUE"""),1.0)</f>
        <v>1</v>
      </c>
      <c r="O91" s="1">
        <f>IFERROR(__xludf.DUMMYFUNCTION("""COMPUTED_VALUE"""),100.0)</f>
        <v>100</v>
      </c>
      <c r="P91" s="1">
        <f>IFERROR(__xludf.DUMMYFUNCTION("""COMPUTED_VALUE"""),200000.0)</f>
        <v>200000</v>
      </c>
      <c r="Q91" s="1">
        <f>IFERROR(__xludf.DUMMYFUNCTION("""COMPUTED_VALUE"""),100.0)</f>
        <v>100</v>
      </c>
      <c r="R91" s="1">
        <f>IFERROR(__xludf.DUMMYFUNCTION("""COMPUTED_VALUE"""),139245.9375)</f>
        <v>139245.9375</v>
      </c>
      <c r="S91" s="1"/>
      <c r="T91" s="1"/>
      <c r="U91" s="1">
        <f>IFERROR(__xludf.DUMMYFUNCTION("""COMPUTED_VALUE"""),0.0)</f>
        <v>0</v>
      </c>
      <c r="V91" s="1"/>
      <c r="W91" s="1"/>
      <c r="X91" s="1">
        <f>IFERROR(__xludf.DUMMYFUNCTION("""COMPUTED_VALUE"""),0.0)</f>
        <v>0</v>
      </c>
      <c r="Y91" s="1">
        <f>IFERROR(__xludf.DUMMYFUNCTION("""COMPUTED_VALUE"""),1000000.0)</f>
        <v>1000000</v>
      </c>
      <c r="Z91" s="1">
        <f>IFERROR(__xludf.DUMMYFUNCTION("""COMPUTED_VALUE"""),1.0)</f>
        <v>1</v>
      </c>
      <c r="AA91" s="1">
        <f>IFERROR(__xludf.DUMMYFUNCTION("""COMPUTED_VALUE"""),800000.0)</f>
        <v>800000</v>
      </c>
      <c r="AB91" s="1">
        <f>IFERROR(__xludf.DUMMYFUNCTION("""COMPUTED_VALUE"""),6.0)</f>
        <v>6</v>
      </c>
      <c r="AC91" s="1">
        <f>IFERROR(__xludf.DUMMYFUNCTION("""COMPUTED_VALUE"""),1.0)</f>
        <v>1</v>
      </c>
      <c r="AD91" s="1">
        <f>IFERROR(__xludf.DUMMYFUNCTION("""COMPUTED_VALUE"""),300000.0)</f>
        <v>300000</v>
      </c>
      <c r="AE91" s="1">
        <f>IFERROR(__xludf.DUMMYFUNCTION("""COMPUTED_VALUE"""),101.0)</f>
        <v>101</v>
      </c>
      <c r="AF91" s="1">
        <f>IFERROR(__xludf.DUMMYFUNCTION("""COMPUTED_VALUE"""),139245.9375)</f>
        <v>139245.9375</v>
      </c>
      <c r="AG91" s="1"/>
      <c r="AH91" s="1"/>
      <c r="AI91" s="1">
        <f>IFERROR(__xludf.DUMMYFUNCTION("""COMPUTED_VALUE"""),0.0)</f>
        <v>0</v>
      </c>
      <c r="AJ91" s="1"/>
      <c r="AK91" s="1"/>
      <c r="AL91" s="1">
        <f>IFERROR(__xludf.DUMMYFUNCTION("""COMPUTED_VALUE"""),0.0)</f>
        <v>0</v>
      </c>
      <c r="AM91" s="1">
        <f>IFERROR(__xludf.DUMMYFUNCTION("""COMPUTED_VALUE"""),139245.9375)</f>
        <v>139245.9375</v>
      </c>
      <c r="AN91" s="1">
        <f>IFERROR(__xludf.DUMMYFUNCTION("""COMPUTED_VALUE"""),1.0)</f>
        <v>1</v>
      </c>
      <c r="AO91" s="1">
        <f>IFERROR(__xludf.DUMMYFUNCTION("""COMPUTED_VALUE"""),800000.0)</f>
        <v>800000</v>
      </c>
      <c r="AP91" s="1">
        <f>IFERROR(__xludf.DUMMYFUNCTION("""COMPUTED_VALUE"""),1.0)</f>
        <v>1</v>
      </c>
      <c r="AQ91" s="1">
        <f>IFERROR(__xludf.DUMMYFUNCTION("""COMPUTED_VALUE"""),100.0)</f>
        <v>100</v>
      </c>
      <c r="AR91" s="1">
        <f>IFERROR(__xludf.DUMMYFUNCTION("""COMPUTED_VALUE"""),200000.0)</f>
        <v>200000</v>
      </c>
      <c r="AS91" s="1">
        <f>IFERROR(__xludf.DUMMYFUNCTION("""COMPUTED_VALUE"""),100.0)</f>
        <v>100</v>
      </c>
    </row>
    <row r="92">
      <c r="A92" s="1" t="str">
        <f>IFERROR(__xludf.DUMMYFUNCTION("""COMPUTED_VALUE"""),"CST")</f>
        <v>CST</v>
      </c>
      <c r="B92" s="1"/>
      <c r="C92" s="1"/>
      <c r="D92" s="1">
        <f>IFERROR(__xludf.DUMMYFUNCTION("""COMPUTED_VALUE"""),2240.0)</f>
        <v>2240</v>
      </c>
      <c r="E92" s="1">
        <f>IFERROR(__xludf.DUMMYFUNCTION("""COMPUTED_VALUE"""),124.0)</f>
        <v>124</v>
      </c>
      <c r="F92" s="1">
        <f>IFERROR(__xludf.DUMMYFUNCTION("""COMPUTED_VALUE"""),2240.0)</f>
        <v>2240</v>
      </c>
      <c r="G92" s="1">
        <f>IFERROR(__xludf.DUMMYFUNCTION("""COMPUTED_VALUE"""),124.0)</f>
        <v>124</v>
      </c>
      <c r="H92" s="1"/>
      <c r="I92" s="1"/>
      <c r="J92" s="1">
        <f>IFERROR(__xludf.DUMMYFUNCTION("""COMPUTED_VALUE"""),0.0)</f>
        <v>0</v>
      </c>
      <c r="K92" s="1">
        <f>IFERROR(__xludf.DUMMYFUNCTION("""COMPUTED_VALUE"""),2400.0)</f>
        <v>2400</v>
      </c>
      <c r="L92" s="1">
        <f>IFERROR(__xludf.DUMMYFUNCTION("""COMPUTED_VALUE"""),3.0)</f>
        <v>3</v>
      </c>
      <c r="M92" s="1">
        <f>IFERROR(__xludf.DUMMYFUNCTION("""COMPUTED_VALUE"""),2300.0)</f>
        <v>2300</v>
      </c>
      <c r="N92" s="1">
        <f>IFERROR(__xludf.DUMMYFUNCTION("""COMPUTED_VALUE"""),147.0)</f>
        <v>147</v>
      </c>
      <c r="O92" s="1"/>
      <c r="P92" s="1"/>
      <c r="Q92" s="1">
        <f>IFERROR(__xludf.DUMMYFUNCTION("""COMPUTED_VALUE"""),0.0)</f>
        <v>0</v>
      </c>
      <c r="R92" s="1">
        <f>IFERROR(__xludf.DUMMYFUNCTION("""COMPUTED_VALUE"""),2912.7099609375)</f>
        <v>2912.709961</v>
      </c>
      <c r="S92" s="1"/>
      <c r="T92" s="1"/>
      <c r="U92" s="1">
        <f>IFERROR(__xludf.DUMMYFUNCTION("""COMPUTED_VALUE"""),0.0)</f>
        <v>0</v>
      </c>
      <c r="V92" s="1"/>
      <c r="W92" s="1"/>
      <c r="X92" s="1">
        <f>IFERROR(__xludf.DUMMYFUNCTION("""COMPUTED_VALUE"""),0.0)</f>
        <v>0</v>
      </c>
      <c r="Y92" s="1">
        <f>IFERROR(__xludf.DUMMYFUNCTION("""COMPUTED_VALUE"""),2482.61010742187)</f>
        <v>2482.610107</v>
      </c>
      <c r="Z92" s="1">
        <f>IFERROR(__xludf.DUMMYFUNCTION("""COMPUTED_VALUE"""),5.0)</f>
        <v>5</v>
      </c>
      <c r="AA92" s="1">
        <f>IFERROR(__xludf.DUMMYFUNCTION("""COMPUTED_VALUE"""),2490.0)</f>
        <v>2490</v>
      </c>
      <c r="AB92" s="1">
        <f>IFERROR(__xludf.DUMMYFUNCTION("""COMPUTED_VALUE"""),55.0)</f>
        <v>55</v>
      </c>
      <c r="AC92" s="1"/>
      <c r="AD92" s="1"/>
      <c r="AE92" s="1">
        <f>IFERROR(__xludf.DUMMYFUNCTION("""COMPUTED_VALUE"""),0.0)</f>
        <v>0</v>
      </c>
      <c r="AF92" s="1">
        <f>IFERROR(__xludf.DUMMYFUNCTION("""COMPUTED_VALUE"""),2912.7099609375)</f>
        <v>2912.709961</v>
      </c>
      <c r="AG92" s="1"/>
      <c r="AH92" s="1"/>
      <c r="AI92" s="1">
        <f>IFERROR(__xludf.DUMMYFUNCTION("""COMPUTED_VALUE"""),0.0)</f>
        <v>0</v>
      </c>
      <c r="AJ92" s="1"/>
      <c r="AK92" s="1"/>
      <c r="AL92" s="1">
        <f>IFERROR(__xludf.DUMMYFUNCTION("""COMPUTED_VALUE"""),0.0)</f>
        <v>0</v>
      </c>
      <c r="AM92" s="1">
        <f>IFERROR(__xludf.DUMMYFUNCTION("""COMPUTED_VALUE"""),1690.0)</f>
        <v>1690</v>
      </c>
      <c r="AN92" s="1"/>
      <c r="AO92" s="1"/>
      <c r="AP92" s="1">
        <f>IFERROR(__xludf.DUMMYFUNCTION("""COMPUTED_VALUE"""),0.0)</f>
        <v>0</v>
      </c>
      <c r="AQ92" s="1"/>
      <c r="AR92" s="1"/>
      <c r="AS92" s="1">
        <f>IFERROR(__xludf.DUMMYFUNCTION("""COMPUTED_VALUE"""),0.0)</f>
        <v>0</v>
      </c>
    </row>
    <row r="93">
      <c r="A93" s="1" t="str">
        <f>IFERROR(__xludf.DUMMYFUNCTION("""COMPUTED_VALUE"""),"CTF")</f>
        <v>CTF</v>
      </c>
      <c r="B93" s="1"/>
      <c r="C93" s="1"/>
      <c r="D93" s="1">
        <f>IFERROR(__xludf.DUMMYFUNCTION("""COMPUTED_VALUE"""),20000.0)</f>
        <v>20000</v>
      </c>
      <c r="E93" s="1">
        <f>IFERROR(__xludf.DUMMYFUNCTION("""COMPUTED_VALUE"""),20.0)</f>
        <v>20</v>
      </c>
      <c r="F93" s="1">
        <f>IFERROR(__xludf.DUMMYFUNCTION("""COMPUTED_VALUE"""),20900.0)</f>
        <v>20900</v>
      </c>
      <c r="G93" s="1">
        <f>IFERROR(__xludf.DUMMYFUNCTION("""COMPUTED_VALUE"""),432.0)</f>
        <v>432</v>
      </c>
      <c r="H93" s="1">
        <f>IFERROR(__xludf.DUMMYFUNCTION("""COMPUTED_VALUE"""),100.0)</f>
        <v>100</v>
      </c>
      <c r="I93" s="1">
        <f>IFERROR(__xludf.DUMMYFUNCTION("""COMPUTED_VALUE"""),19000.0)</f>
        <v>19000</v>
      </c>
      <c r="J93" s="1">
        <f>IFERROR(__xludf.DUMMYFUNCTION("""COMPUTED_VALUE"""),498.0)</f>
        <v>498</v>
      </c>
      <c r="K93" s="1">
        <f>IFERROR(__xludf.DUMMYFUNCTION("""COMPUTED_VALUE"""),18000.0)</f>
        <v>18000</v>
      </c>
      <c r="L93" s="1">
        <f>IFERROR(__xludf.DUMMYFUNCTION("""COMPUTED_VALUE"""),18.0)</f>
        <v>18</v>
      </c>
      <c r="M93" s="1">
        <f>IFERROR(__xludf.DUMMYFUNCTION("""COMPUTED_VALUE"""),21000.0)</f>
        <v>21000</v>
      </c>
      <c r="N93" s="1">
        <f>IFERROR(__xludf.DUMMYFUNCTION("""COMPUTED_VALUE"""),18.0)</f>
        <v>18</v>
      </c>
      <c r="O93" s="1">
        <f>IFERROR(__xludf.DUMMYFUNCTION("""COMPUTED_VALUE"""),19.0)</f>
        <v>19</v>
      </c>
      <c r="P93" s="1">
        <f>IFERROR(__xludf.DUMMYFUNCTION("""COMPUTED_VALUE"""),18000.0)</f>
        <v>18000</v>
      </c>
      <c r="Q93" s="1">
        <f>IFERROR(__xludf.DUMMYFUNCTION("""COMPUTED_VALUE"""),31.0)</f>
        <v>31</v>
      </c>
      <c r="R93" s="1">
        <f>IFERROR(__xludf.DUMMYFUNCTION("""COMPUTED_VALUE"""),16000.0)</f>
        <v>16000</v>
      </c>
      <c r="S93" s="1"/>
      <c r="T93" s="1"/>
      <c r="U93" s="1">
        <f>IFERROR(__xludf.DUMMYFUNCTION("""COMPUTED_VALUE"""),0.0)</f>
        <v>0</v>
      </c>
      <c r="V93" s="1"/>
      <c r="W93" s="1"/>
      <c r="X93" s="1">
        <f>IFERROR(__xludf.DUMMYFUNCTION("""COMPUTED_VALUE"""),0.0)</f>
        <v>0</v>
      </c>
      <c r="Y93" s="1">
        <f>IFERROR(__xludf.DUMMYFUNCTION("""COMPUTED_VALUE"""),22100.0)</f>
        <v>22100</v>
      </c>
      <c r="Z93" s="1">
        <f>IFERROR(__xludf.DUMMYFUNCTION("""COMPUTED_VALUE"""),140.0)</f>
        <v>140</v>
      </c>
      <c r="AA93" s="1">
        <f>IFERROR(__xludf.DUMMYFUNCTION("""COMPUTED_VALUE"""),24500.0)</f>
        <v>24500</v>
      </c>
      <c r="AB93" s="1">
        <f>IFERROR(__xludf.DUMMYFUNCTION("""COMPUTED_VALUE"""),260.0)</f>
        <v>260</v>
      </c>
      <c r="AC93" s="1">
        <f>IFERROR(__xludf.DUMMYFUNCTION("""COMPUTED_VALUE"""),20.0)</f>
        <v>20</v>
      </c>
      <c r="AD93" s="1">
        <f>IFERROR(__xludf.DUMMYFUNCTION("""COMPUTED_VALUE"""),19500.0)</f>
        <v>19500</v>
      </c>
      <c r="AE93" s="1">
        <f>IFERROR(__xludf.DUMMYFUNCTION("""COMPUTED_VALUE"""),270.0)</f>
        <v>270</v>
      </c>
      <c r="AF93" s="1">
        <f>IFERROR(__xludf.DUMMYFUNCTION("""COMPUTED_VALUE"""),10081.8896484375)</f>
        <v>10081.88965</v>
      </c>
      <c r="AG93" s="1">
        <f>IFERROR(__xludf.DUMMYFUNCTION("""COMPUTED_VALUE"""),10.0)</f>
        <v>10</v>
      </c>
      <c r="AH93" s="1">
        <f>IFERROR(__xludf.DUMMYFUNCTION("""COMPUTED_VALUE"""),20500.0)</f>
        <v>20500</v>
      </c>
      <c r="AI93" s="1">
        <f>IFERROR(__xludf.DUMMYFUNCTION("""COMPUTED_VALUE"""),10.0)</f>
        <v>10</v>
      </c>
      <c r="AJ93" s="1"/>
      <c r="AK93" s="1"/>
      <c r="AL93" s="1">
        <f>IFERROR(__xludf.DUMMYFUNCTION("""COMPUTED_VALUE"""),0.0)</f>
        <v>0</v>
      </c>
      <c r="AM93" s="1">
        <f>IFERROR(__xludf.DUMMYFUNCTION("""COMPUTED_VALUE"""),17000.0)</f>
        <v>17000</v>
      </c>
      <c r="AN93" s="1">
        <f>IFERROR(__xludf.DUMMYFUNCTION("""COMPUTED_VALUE"""),12.0)</f>
        <v>12</v>
      </c>
      <c r="AO93" s="1">
        <f>IFERROR(__xludf.DUMMYFUNCTION("""COMPUTED_VALUE"""),20000.0)</f>
        <v>20000</v>
      </c>
      <c r="AP93" s="1">
        <f>IFERROR(__xludf.DUMMYFUNCTION("""COMPUTED_VALUE"""),12.0)</f>
        <v>12</v>
      </c>
      <c r="AQ93" s="1">
        <f>IFERROR(__xludf.DUMMYFUNCTION("""COMPUTED_VALUE"""),100.0)</f>
        <v>100</v>
      </c>
      <c r="AR93" s="1">
        <f>IFERROR(__xludf.DUMMYFUNCTION("""COMPUTED_VALUE"""),17000.0)</f>
        <v>17000</v>
      </c>
      <c r="AS93" s="1">
        <f>IFERROR(__xludf.DUMMYFUNCTION("""COMPUTED_VALUE"""),150.0)</f>
        <v>150</v>
      </c>
    </row>
    <row r="94">
      <c r="A94" s="1" t="str">
        <f>IFERROR(__xludf.DUMMYFUNCTION("""COMPUTED_VALUE"""),"CU")</f>
        <v>CU</v>
      </c>
      <c r="B94" s="1"/>
      <c r="C94" s="1"/>
      <c r="D94" s="1">
        <f>IFERROR(__xludf.DUMMYFUNCTION("""COMPUTED_VALUE"""),2070.0)</f>
        <v>2070</v>
      </c>
      <c r="E94" s="1">
        <f>IFERROR(__xludf.DUMMYFUNCTION("""COMPUTED_VALUE"""),27.0)</f>
        <v>27</v>
      </c>
      <c r="F94" s="1">
        <f>IFERROR(__xludf.DUMMYFUNCTION("""COMPUTED_VALUE"""),2070.0)</f>
        <v>2070</v>
      </c>
      <c r="G94" s="1">
        <f>IFERROR(__xludf.DUMMYFUNCTION("""COMPUTED_VALUE"""),14734.0)</f>
        <v>14734</v>
      </c>
      <c r="H94" s="1">
        <f>IFERROR(__xludf.DUMMYFUNCTION("""COMPUTED_VALUE"""),1000.0)</f>
        <v>1000</v>
      </c>
      <c r="I94" s="1">
        <f>IFERROR(__xludf.DUMMYFUNCTION("""COMPUTED_VALUE"""),1800.0)</f>
        <v>1800</v>
      </c>
      <c r="J94" s="1">
        <f>IFERROR(__xludf.DUMMYFUNCTION("""COMPUTED_VALUE"""),10102.0)</f>
        <v>10102</v>
      </c>
      <c r="K94" s="1">
        <f>IFERROR(__xludf.DUMMYFUNCTION("""COMPUTED_VALUE"""),1770.0)</f>
        <v>1770</v>
      </c>
      <c r="L94" s="1">
        <f>IFERROR(__xludf.DUMMYFUNCTION("""COMPUTED_VALUE"""),167.0)</f>
        <v>167</v>
      </c>
      <c r="M94" s="1">
        <f>IFERROR(__xludf.DUMMYFUNCTION("""COMPUTED_VALUE"""),1960.0)</f>
        <v>1960</v>
      </c>
      <c r="N94" s="1">
        <f>IFERROR(__xludf.DUMMYFUNCTION("""COMPUTED_VALUE"""),5425.0)</f>
        <v>5425</v>
      </c>
      <c r="O94" s="1">
        <f>IFERROR(__xludf.DUMMYFUNCTION("""COMPUTED_VALUE"""),20.0)</f>
        <v>20</v>
      </c>
      <c r="P94" s="1">
        <f>IFERROR(__xludf.DUMMYFUNCTION("""COMPUTED_VALUE"""),1760.0)</f>
        <v>1760</v>
      </c>
      <c r="Q94" s="1">
        <f>IFERROR(__xludf.DUMMYFUNCTION("""COMPUTED_VALUE"""),978.0)</f>
        <v>978</v>
      </c>
      <c r="R94" s="1">
        <f>IFERROR(__xludf.DUMMYFUNCTION("""COMPUTED_VALUE"""),1400.0)</f>
        <v>1400</v>
      </c>
      <c r="S94" s="1"/>
      <c r="T94" s="1"/>
      <c r="U94" s="1">
        <f>IFERROR(__xludf.DUMMYFUNCTION("""COMPUTED_VALUE"""),0.0)</f>
        <v>0</v>
      </c>
      <c r="V94" s="1"/>
      <c r="W94" s="1"/>
      <c r="X94" s="1">
        <f>IFERROR(__xludf.DUMMYFUNCTION("""COMPUTED_VALUE"""),0.0)</f>
        <v>0</v>
      </c>
      <c r="Y94" s="1">
        <f>IFERROR(__xludf.DUMMYFUNCTION("""COMPUTED_VALUE"""),1500.0)</f>
        <v>1500</v>
      </c>
      <c r="Z94" s="1">
        <f>IFERROR(__xludf.DUMMYFUNCTION("""COMPUTED_VALUE"""),11.0)</f>
        <v>11</v>
      </c>
      <c r="AA94" s="1">
        <f>IFERROR(__xludf.DUMMYFUNCTION("""COMPUTED_VALUE"""),1680.0)</f>
        <v>1680</v>
      </c>
      <c r="AB94" s="1">
        <f>IFERROR(__xludf.DUMMYFUNCTION("""COMPUTED_VALUE"""),12027.0)</f>
        <v>12027</v>
      </c>
      <c r="AC94" s="1">
        <f>IFERROR(__xludf.DUMMYFUNCTION("""COMPUTED_VALUE"""),62.0)</f>
        <v>62</v>
      </c>
      <c r="AD94" s="1">
        <f>IFERROR(__xludf.DUMMYFUNCTION("""COMPUTED_VALUE"""),1500.0)</f>
        <v>1500</v>
      </c>
      <c r="AE94" s="1">
        <f>IFERROR(__xludf.DUMMYFUNCTION("""COMPUTED_VALUE"""),7785.0)</f>
        <v>7785</v>
      </c>
      <c r="AF94" s="1">
        <f>IFERROR(__xludf.DUMMYFUNCTION("""COMPUTED_VALUE"""),2250.0)</f>
        <v>2250</v>
      </c>
      <c r="AG94" s="1"/>
      <c r="AH94" s="1"/>
      <c r="AI94" s="1">
        <f>IFERROR(__xludf.DUMMYFUNCTION("""COMPUTED_VALUE"""),0.0)</f>
        <v>0</v>
      </c>
      <c r="AJ94" s="1">
        <f>IFERROR(__xludf.DUMMYFUNCTION("""COMPUTED_VALUE"""),50.0)</f>
        <v>50</v>
      </c>
      <c r="AK94" s="1">
        <f>IFERROR(__xludf.DUMMYFUNCTION("""COMPUTED_VALUE"""),1000.0)</f>
        <v>1000</v>
      </c>
      <c r="AL94" s="1">
        <f>IFERROR(__xludf.DUMMYFUNCTION("""COMPUTED_VALUE"""),50.0)</f>
        <v>50</v>
      </c>
      <c r="AM94" s="1">
        <f>IFERROR(__xludf.DUMMYFUNCTION("""COMPUTED_VALUE"""),2100.0)</f>
        <v>2100</v>
      </c>
      <c r="AN94" s="1">
        <f>IFERROR(__xludf.DUMMYFUNCTION("""COMPUTED_VALUE"""),265.0)</f>
        <v>265</v>
      </c>
      <c r="AO94" s="1">
        <f>IFERROR(__xludf.DUMMYFUNCTION("""COMPUTED_VALUE"""),2100.0)</f>
        <v>2100</v>
      </c>
      <c r="AP94" s="1">
        <f>IFERROR(__xludf.DUMMYFUNCTION("""COMPUTED_VALUE"""),1022.0)</f>
        <v>1022</v>
      </c>
      <c r="AQ94" s="1">
        <f>IFERROR(__xludf.DUMMYFUNCTION("""COMPUTED_VALUE"""),300.0)</f>
        <v>300</v>
      </c>
      <c r="AR94" s="1">
        <f>IFERROR(__xludf.DUMMYFUNCTION("""COMPUTED_VALUE"""),1800.0)</f>
        <v>1800</v>
      </c>
      <c r="AS94" s="1">
        <f>IFERROR(__xludf.DUMMYFUNCTION("""COMPUTED_VALUE"""),899.0)</f>
        <v>899</v>
      </c>
    </row>
    <row r="95">
      <c r="A95" s="1" t="str">
        <f>IFERROR(__xludf.DUMMYFUNCTION("""COMPUTED_VALUE"""),"CUO")</f>
        <v>CUO</v>
      </c>
      <c r="B95" s="1">
        <f>IFERROR(__xludf.DUMMYFUNCTION("""COMPUTED_VALUE"""),63.0)</f>
        <v>63</v>
      </c>
      <c r="C95" s="1"/>
      <c r="D95" s="1">
        <f>IFERROR(__xludf.DUMMYFUNCTION("""COMPUTED_VALUE"""),300.0)</f>
        <v>300</v>
      </c>
      <c r="E95" s="1">
        <f>IFERROR(__xludf.DUMMYFUNCTION("""COMPUTED_VALUE"""),2940.0)</f>
        <v>2940</v>
      </c>
      <c r="F95" s="1">
        <f>IFERROR(__xludf.DUMMYFUNCTION("""COMPUTED_VALUE"""),300.0)</f>
        <v>300</v>
      </c>
      <c r="G95" s="1">
        <f>IFERROR(__xludf.DUMMYFUNCTION("""COMPUTED_VALUE"""),19525.0)</f>
        <v>19525</v>
      </c>
      <c r="H95" s="1">
        <f>IFERROR(__xludf.DUMMYFUNCTION("""COMPUTED_VALUE"""),300.0)</f>
        <v>300</v>
      </c>
      <c r="I95" s="1">
        <f>IFERROR(__xludf.DUMMYFUNCTION("""COMPUTED_VALUE"""),251.0)</f>
        <v>251</v>
      </c>
      <c r="J95" s="1">
        <f>IFERROR(__xludf.DUMMYFUNCTION("""COMPUTED_VALUE"""),22400.0)</f>
        <v>22400</v>
      </c>
      <c r="K95" s="1">
        <f>IFERROR(__xludf.DUMMYFUNCTION("""COMPUTED_VALUE"""),484.630004882812)</f>
        <v>484.6300049</v>
      </c>
      <c r="L95" s="1">
        <f>IFERROR(__xludf.DUMMYFUNCTION("""COMPUTED_VALUE"""),403.0)</f>
        <v>403</v>
      </c>
      <c r="M95" s="1">
        <f>IFERROR(__xludf.DUMMYFUNCTION("""COMPUTED_VALUE"""),495.0)</f>
        <v>495</v>
      </c>
      <c r="N95" s="1">
        <f>IFERROR(__xludf.DUMMYFUNCTION("""COMPUTED_VALUE"""),3738.0)</f>
        <v>3738</v>
      </c>
      <c r="O95" s="1">
        <f>IFERROR(__xludf.DUMMYFUNCTION("""COMPUTED_VALUE"""),40.0)</f>
        <v>40</v>
      </c>
      <c r="P95" s="1">
        <f>IFERROR(__xludf.DUMMYFUNCTION("""COMPUTED_VALUE"""),260.0)</f>
        <v>260</v>
      </c>
      <c r="Q95" s="1">
        <f>IFERROR(__xludf.DUMMYFUNCTION("""COMPUTED_VALUE"""),3250.0)</f>
        <v>3250</v>
      </c>
      <c r="R95" s="1">
        <f>IFERROR(__xludf.DUMMYFUNCTION("""COMPUTED_VALUE"""),375.0)</f>
        <v>375</v>
      </c>
      <c r="S95" s="1">
        <f>IFERROR(__xludf.DUMMYFUNCTION("""COMPUTED_VALUE"""),300.0)</f>
        <v>300</v>
      </c>
      <c r="T95" s="1">
        <f>IFERROR(__xludf.DUMMYFUNCTION("""COMPUTED_VALUE"""),350.0)</f>
        <v>350</v>
      </c>
      <c r="U95" s="1">
        <f>IFERROR(__xludf.DUMMYFUNCTION("""COMPUTED_VALUE"""),496.0)</f>
        <v>496</v>
      </c>
      <c r="V95" s="1">
        <f>IFERROR(__xludf.DUMMYFUNCTION("""COMPUTED_VALUE"""),100.0)</f>
        <v>100</v>
      </c>
      <c r="W95" s="1">
        <f>IFERROR(__xludf.DUMMYFUNCTION("""COMPUTED_VALUE"""),164.0)</f>
        <v>164</v>
      </c>
      <c r="X95" s="1">
        <f>IFERROR(__xludf.DUMMYFUNCTION("""COMPUTED_VALUE"""),600.0)</f>
        <v>600</v>
      </c>
      <c r="Y95" s="1">
        <f>IFERROR(__xludf.DUMMYFUNCTION("""COMPUTED_VALUE"""),289.0)</f>
        <v>289</v>
      </c>
      <c r="Z95" s="1">
        <f>IFERROR(__xludf.DUMMYFUNCTION("""COMPUTED_VALUE"""),319.0)</f>
        <v>319</v>
      </c>
      <c r="AA95" s="1">
        <f>IFERROR(__xludf.DUMMYFUNCTION("""COMPUTED_VALUE"""),288.0)</f>
        <v>288</v>
      </c>
      <c r="AB95" s="1">
        <f>IFERROR(__xludf.DUMMYFUNCTION("""COMPUTED_VALUE"""),14411.0)</f>
        <v>14411</v>
      </c>
      <c r="AC95" s="1">
        <f>IFERROR(__xludf.DUMMYFUNCTION("""COMPUTED_VALUE"""),741.0)</f>
        <v>741</v>
      </c>
      <c r="AD95" s="1">
        <f>IFERROR(__xludf.DUMMYFUNCTION("""COMPUTED_VALUE"""),250.0)</f>
        <v>250</v>
      </c>
      <c r="AE95" s="1">
        <f>IFERROR(__xludf.DUMMYFUNCTION("""COMPUTED_VALUE"""),10207.0)</f>
        <v>10207</v>
      </c>
      <c r="AF95" s="1">
        <f>IFERROR(__xludf.DUMMYFUNCTION("""COMPUTED_VALUE"""),600.0)</f>
        <v>600</v>
      </c>
      <c r="AG95" s="1">
        <f>IFERROR(__xludf.DUMMYFUNCTION("""COMPUTED_VALUE"""),26.0)</f>
        <v>26</v>
      </c>
      <c r="AH95" s="1">
        <f>IFERROR(__xludf.DUMMYFUNCTION("""COMPUTED_VALUE"""),600.0)</f>
        <v>600</v>
      </c>
      <c r="AI95" s="1">
        <f>IFERROR(__xludf.DUMMYFUNCTION("""COMPUTED_VALUE"""),26.0)</f>
        <v>26</v>
      </c>
      <c r="AJ95" s="1"/>
      <c r="AK95" s="1"/>
      <c r="AL95" s="1">
        <f>IFERROR(__xludf.DUMMYFUNCTION("""COMPUTED_VALUE"""),0.0)</f>
        <v>0</v>
      </c>
      <c r="AM95" s="1">
        <f>IFERROR(__xludf.DUMMYFUNCTION("""COMPUTED_VALUE"""),146.0)</f>
        <v>146</v>
      </c>
      <c r="AN95" s="1">
        <f>IFERROR(__xludf.DUMMYFUNCTION("""COMPUTED_VALUE"""),96.0)</f>
        <v>96</v>
      </c>
      <c r="AO95" s="1">
        <f>IFERROR(__xludf.DUMMYFUNCTION("""COMPUTED_VALUE"""),289.0)</f>
        <v>289</v>
      </c>
      <c r="AP95" s="1">
        <f>IFERROR(__xludf.DUMMYFUNCTION("""COMPUTED_VALUE"""),10474.0)</f>
        <v>10474</v>
      </c>
      <c r="AQ95" s="1">
        <f>IFERROR(__xludf.DUMMYFUNCTION("""COMPUTED_VALUE"""),2000.0)</f>
        <v>2000</v>
      </c>
      <c r="AR95" s="1">
        <f>IFERROR(__xludf.DUMMYFUNCTION("""COMPUTED_VALUE"""),147.0)</f>
        <v>147</v>
      </c>
      <c r="AS95" s="1">
        <f>IFERROR(__xludf.DUMMYFUNCTION("""COMPUTED_VALUE"""),8838.0)</f>
        <v>8838</v>
      </c>
    </row>
    <row r="96">
      <c r="A96" s="1" t="str">
        <f>IFERROR(__xludf.DUMMYFUNCTION("""COMPUTED_VALUE"""),"DA")</f>
        <v>DA</v>
      </c>
      <c r="B96" s="1"/>
      <c r="C96" s="1"/>
      <c r="D96" s="1">
        <f>IFERROR(__xludf.DUMMYFUNCTION("""COMPUTED_VALUE"""),45000.0)</f>
        <v>45000</v>
      </c>
      <c r="E96" s="1">
        <f>IFERROR(__xludf.DUMMYFUNCTION("""COMPUTED_VALUE"""),1.0)</f>
        <v>1</v>
      </c>
      <c r="F96" s="1">
        <f>IFERROR(__xludf.DUMMYFUNCTION("""COMPUTED_VALUE"""),48900.0)</f>
        <v>48900</v>
      </c>
      <c r="G96" s="1">
        <f>IFERROR(__xludf.DUMMYFUNCTION("""COMPUTED_VALUE"""),74.0)</f>
        <v>74</v>
      </c>
      <c r="H96" s="1">
        <f>IFERROR(__xludf.DUMMYFUNCTION("""COMPUTED_VALUE"""),8.0)</f>
        <v>8</v>
      </c>
      <c r="I96" s="1">
        <f>IFERROR(__xludf.DUMMYFUNCTION("""COMPUTED_VALUE"""),45000.0)</f>
        <v>45000</v>
      </c>
      <c r="J96" s="1">
        <f>IFERROR(__xludf.DUMMYFUNCTION("""COMPUTED_VALUE"""),130.0)</f>
        <v>130</v>
      </c>
      <c r="K96" s="1">
        <f>IFERROR(__xludf.DUMMYFUNCTION("""COMPUTED_VALUE"""),49350.0)</f>
        <v>49350</v>
      </c>
      <c r="L96" s="1">
        <f>IFERROR(__xludf.DUMMYFUNCTION("""COMPUTED_VALUE"""),2.0)</f>
        <v>2</v>
      </c>
      <c r="M96" s="1">
        <f>IFERROR(__xludf.DUMMYFUNCTION("""COMPUTED_VALUE"""),49900.0)</f>
        <v>49900</v>
      </c>
      <c r="N96" s="1">
        <f>IFERROR(__xludf.DUMMYFUNCTION("""COMPUTED_VALUE"""),21.0)</f>
        <v>21</v>
      </c>
      <c r="O96" s="1">
        <f>IFERROR(__xludf.DUMMYFUNCTION("""COMPUTED_VALUE"""),10.0)</f>
        <v>10</v>
      </c>
      <c r="P96" s="1">
        <f>IFERROR(__xludf.DUMMYFUNCTION("""COMPUTED_VALUE"""),48000.0)</f>
        <v>48000</v>
      </c>
      <c r="Q96" s="1">
        <f>IFERROR(__xludf.DUMMYFUNCTION("""COMPUTED_VALUE"""),34.0)</f>
        <v>34</v>
      </c>
      <c r="R96" s="1">
        <f>IFERROR(__xludf.DUMMYFUNCTION("""COMPUTED_VALUE"""),45000.0)</f>
        <v>45000</v>
      </c>
      <c r="S96" s="1"/>
      <c r="T96" s="1"/>
      <c r="U96" s="1">
        <f>IFERROR(__xludf.DUMMYFUNCTION("""COMPUTED_VALUE"""),0.0)</f>
        <v>0</v>
      </c>
      <c r="V96" s="1"/>
      <c r="W96" s="1"/>
      <c r="X96" s="1">
        <f>IFERROR(__xludf.DUMMYFUNCTION("""COMPUTED_VALUE"""),0.0)</f>
        <v>0</v>
      </c>
      <c r="Y96" s="1">
        <f>IFERROR(__xludf.DUMMYFUNCTION("""COMPUTED_VALUE"""),50000.0)</f>
        <v>50000</v>
      </c>
      <c r="Z96" s="1">
        <f>IFERROR(__xludf.DUMMYFUNCTION("""COMPUTED_VALUE"""),5.0)</f>
        <v>5</v>
      </c>
      <c r="AA96" s="1">
        <f>IFERROR(__xludf.DUMMYFUNCTION("""COMPUTED_VALUE"""),50000.0)</f>
        <v>50000</v>
      </c>
      <c r="AB96" s="1">
        <f>IFERROR(__xludf.DUMMYFUNCTION("""COMPUTED_VALUE"""),14.0)</f>
        <v>14</v>
      </c>
      <c r="AC96" s="1">
        <f>IFERROR(__xludf.DUMMYFUNCTION("""COMPUTED_VALUE"""),20.0)</f>
        <v>20</v>
      </c>
      <c r="AD96" s="1">
        <f>IFERROR(__xludf.DUMMYFUNCTION("""COMPUTED_VALUE"""),47600.0)</f>
        <v>47600</v>
      </c>
      <c r="AE96" s="1">
        <f>IFERROR(__xludf.DUMMYFUNCTION("""COMPUTED_VALUE"""),67.0)</f>
        <v>67</v>
      </c>
      <c r="AF96" s="1">
        <f>IFERROR(__xludf.DUMMYFUNCTION("""COMPUTED_VALUE"""),26101.83984375)</f>
        <v>26101.83984</v>
      </c>
      <c r="AG96" s="1"/>
      <c r="AH96" s="1"/>
      <c r="AI96" s="1">
        <f>IFERROR(__xludf.DUMMYFUNCTION("""COMPUTED_VALUE"""),0.0)</f>
        <v>0</v>
      </c>
      <c r="AJ96" s="1"/>
      <c r="AK96" s="1"/>
      <c r="AL96" s="1">
        <f>IFERROR(__xludf.DUMMYFUNCTION("""COMPUTED_VALUE"""),0.0)</f>
        <v>0</v>
      </c>
      <c r="AM96" s="1">
        <f>IFERROR(__xludf.DUMMYFUNCTION("""COMPUTED_VALUE"""),60000.0)</f>
        <v>60000</v>
      </c>
      <c r="AN96" s="1">
        <f>IFERROR(__xludf.DUMMYFUNCTION("""COMPUTED_VALUE"""),30.0)</f>
        <v>30</v>
      </c>
      <c r="AO96" s="1">
        <f>IFERROR(__xludf.DUMMYFUNCTION("""COMPUTED_VALUE"""),60000.0)</f>
        <v>60000</v>
      </c>
      <c r="AP96" s="1">
        <f>IFERROR(__xludf.DUMMYFUNCTION("""COMPUTED_VALUE"""),30.0)</f>
        <v>30</v>
      </c>
      <c r="AQ96" s="1">
        <f>IFERROR(__xludf.DUMMYFUNCTION("""COMPUTED_VALUE"""),10.0)</f>
        <v>10</v>
      </c>
      <c r="AR96" s="1">
        <f>IFERROR(__xludf.DUMMYFUNCTION("""COMPUTED_VALUE"""),50000.0)</f>
        <v>50000</v>
      </c>
      <c r="AS96" s="1">
        <f>IFERROR(__xludf.DUMMYFUNCTION("""COMPUTED_VALUE"""),10.0)</f>
        <v>10</v>
      </c>
    </row>
    <row r="97">
      <c r="A97" s="1" t="str">
        <f>IFERROR(__xludf.DUMMYFUNCTION("""COMPUTED_VALUE"""),"DCH")</f>
        <v>DCH</v>
      </c>
      <c r="B97" s="1"/>
      <c r="C97" s="1"/>
      <c r="D97" s="1">
        <f>IFERROR(__xludf.DUMMYFUNCTION("""COMPUTED_VALUE"""),26700.0)</f>
        <v>26700</v>
      </c>
      <c r="E97" s="1">
        <f>IFERROR(__xludf.DUMMYFUNCTION("""COMPUTED_VALUE"""),40.0)</f>
        <v>40</v>
      </c>
      <c r="F97" s="1">
        <f>IFERROR(__xludf.DUMMYFUNCTION("""COMPUTED_VALUE"""),25000.0)</f>
        <v>25000</v>
      </c>
      <c r="G97" s="1">
        <f>IFERROR(__xludf.DUMMYFUNCTION("""COMPUTED_VALUE"""),435.0)</f>
        <v>435</v>
      </c>
      <c r="H97" s="1">
        <f>IFERROR(__xludf.DUMMYFUNCTION("""COMPUTED_VALUE"""),40.0)</f>
        <v>40</v>
      </c>
      <c r="I97" s="1">
        <f>IFERROR(__xludf.DUMMYFUNCTION("""COMPUTED_VALUE"""),24000.0)</f>
        <v>24000</v>
      </c>
      <c r="J97" s="1">
        <f>IFERROR(__xludf.DUMMYFUNCTION("""COMPUTED_VALUE"""),40.0)</f>
        <v>40</v>
      </c>
      <c r="K97" s="1">
        <f>IFERROR(__xludf.DUMMYFUNCTION("""COMPUTED_VALUE"""),27000.0)</f>
        <v>27000</v>
      </c>
      <c r="L97" s="1">
        <f>IFERROR(__xludf.DUMMYFUNCTION("""COMPUTED_VALUE"""),1.0)</f>
        <v>1</v>
      </c>
      <c r="M97" s="1">
        <f>IFERROR(__xludf.DUMMYFUNCTION("""COMPUTED_VALUE"""),26500.0)</f>
        <v>26500</v>
      </c>
      <c r="N97" s="1">
        <f>IFERROR(__xludf.DUMMYFUNCTION("""COMPUTED_VALUE"""),20.0)</f>
        <v>20</v>
      </c>
      <c r="O97" s="1">
        <f>IFERROR(__xludf.DUMMYFUNCTION("""COMPUTED_VALUE"""),1.0)</f>
        <v>1</v>
      </c>
      <c r="P97" s="1">
        <f>IFERROR(__xludf.DUMMYFUNCTION("""COMPUTED_VALUE"""),26000.0)</f>
        <v>26000</v>
      </c>
      <c r="Q97" s="1">
        <f>IFERROR(__xludf.DUMMYFUNCTION("""COMPUTED_VALUE"""),1.0)</f>
        <v>1</v>
      </c>
      <c r="R97" s="1">
        <f>IFERROR(__xludf.DUMMYFUNCTION("""COMPUTED_VALUE"""),8767.3095703125)</f>
        <v>8767.30957</v>
      </c>
      <c r="S97" s="1"/>
      <c r="T97" s="1"/>
      <c r="U97" s="1">
        <f>IFERROR(__xludf.DUMMYFUNCTION("""COMPUTED_VALUE"""),0.0)</f>
        <v>0</v>
      </c>
      <c r="V97" s="1"/>
      <c r="W97" s="1"/>
      <c r="X97" s="1">
        <f>IFERROR(__xludf.DUMMYFUNCTION("""COMPUTED_VALUE"""),0.0)</f>
        <v>0</v>
      </c>
      <c r="Y97" s="1">
        <f>IFERROR(__xludf.DUMMYFUNCTION("""COMPUTED_VALUE"""),29000.0)</f>
        <v>29000</v>
      </c>
      <c r="Z97" s="1">
        <f>IFERROR(__xludf.DUMMYFUNCTION("""COMPUTED_VALUE"""),27.0)</f>
        <v>27</v>
      </c>
      <c r="AA97" s="1">
        <f>IFERROR(__xludf.DUMMYFUNCTION("""COMPUTED_VALUE"""),29000.0)</f>
        <v>29000</v>
      </c>
      <c r="AB97" s="1">
        <f>IFERROR(__xludf.DUMMYFUNCTION("""COMPUTED_VALUE"""),47.0)</f>
        <v>47</v>
      </c>
      <c r="AC97" s="1">
        <f>IFERROR(__xludf.DUMMYFUNCTION("""COMPUTED_VALUE"""),50.0)</f>
        <v>50</v>
      </c>
      <c r="AD97" s="1">
        <f>IFERROR(__xludf.DUMMYFUNCTION("""COMPUTED_VALUE"""),24000.0)</f>
        <v>24000</v>
      </c>
      <c r="AE97" s="1">
        <f>IFERROR(__xludf.DUMMYFUNCTION("""COMPUTED_VALUE"""),272.0)</f>
        <v>272</v>
      </c>
      <c r="AF97" s="1">
        <f>IFERROR(__xludf.DUMMYFUNCTION("""COMPUTED_VALUE"""),8767.3095703125)</f>
        <v>8767.30957</v>
      </c>
      <c r="AG97" s="1"/>
      <c r="AH97" s="1"/>
      <c r="AI97" s="1">
        <f>IFERROR(__xludf.DUMMYFUNCTION("""COMPUTED_VALUE"""),0.0)</f>
        <v>0</v>
      </c>
      <c r="AJ97" s="1"/>
      <c r="AK97" s="1"/>
      <c r="AL97" s="1">
        <f>IFERROR(__xludf.DUMMYFUNCTION("""COMPUTED_VALUE"""),0.0)</f>
        <v>0</v>
      </c>
      <c r="AM97" s="1">
        <f>IFERROR(__xludf.DUMMYFUNCTION("""COMPUTED_VALUE"""),8767.3095703125)</f>
        <v>8767.30957</v>
      </c>
      <c r="AN97" s="1"/>
      <c r="AO97" s="1"/>
      <c r="AP97" s="1">
        <f>IFERROR(__xludf.DUMMYFUNCTION("""COMPUTED_VALUE"""),0.0)</f>
        <v>0</v>
      </c>
      <c r="AQ97" s="1">
        <f>IFERROR(__xludf.DUMMYFUNCTION("""COMPUTED_VALUE"""),10.0)</f>
        <v>10</v>
      </c>
      <c r="AR97" s="1">
        <f>IFERROR(__xludf.DUMMYFUNCTION("""COMPUTED_VALUE"""),20000.0)</f>
        <v>20000</v>
      </c>
      <c r="AS97" s="1">
        <f>IFERROR(__xludf.DUMMYFUNCTION("""COMPUTED_VALUE"""),10.0)</f>
        <v>10</v>
      </c>
    </row>
    <row r="98">
      <c r="A98" s="1" t="str">
        <f>IFERROR(__xludf.DUMMYFUNCTION("""COMPUTED_VALUE"""),"DCL")</f>
        <v>DCL</v>
      </c>
      <c r="B98" s="1"/>
      <c r="C98" s="1"/>
      <c r="D98" s="1">
        <f>IFERROR(__xludf.DUMMYFUNCTION("""COMPUTED_VALUE"""),6700.0)</f>
        <v>6700</v>
      </c>
      <c r="E98" s="1">
        <f>IFERROR(__xludf.DUMMYFUNCTION("""COMPUTED_VALUE"""),64.0)</f>
        <v>64</v>
      </c>
      <c r="F98" s="1">
        <f>IFERROR(__xludf.DUMMYFUNCTION("""COMPUTED_VALUE"""),6700.0)</f>
        <v>6700</v>
      </c>
      <c r="G98" s="1">
        <f>IFERROR(__xludf.DUMMYFUNCTION("""COMPUTED_VALUE"""),895.0)</f>
        <v>895</v>
      </c>
      <c r="H98" s="1">
        <f>IFERROR(__xludf.DUMMYFUNCTION("""COMPUTED_VALUE"""),400.0)</f>
        <v>400</v>
      </c>
      <c r="I98" s="1">
        <f>IFERROR(__xludf.DUMMYFUNCTION("""COMPUTED_VALUE"""),6400.0)</f>
        <v>6400</v>
      </c>
      <c r="J98" s="1">
        <f>IFERROR(__xludf.DUMMYFUNCTION("""COMPUTED_VALUE"""),1465.0)</f>
        <v>1465</v>
      </c>
      <c r="K98" s="1">
        <f>IFERROR(__xludf.DUMMYFUNCTION("""COMPUTED_VALUE"""),6001.419921875)</f>
        <v>6001.419922</v>
      </c>
      <c r="L98" s="1">
        <f>IFERROR(__xludf.DUMMYFUNCTION("""COMPUTED_VALUE"""),4.0)</f>
        <v>4</v>
      </c>
      <c r="M98" s="1">
        <f>IFERROR(__xludf.DUMMYFUNCTION("""COMPUTED_VALUE"""),6250.0)</f>
        <v>6250</v>
      </c>
      <c r="N98" s="1">
        <f>IFERROR(__xludf.DUMMYFUNCTION("""COMPUTED_VALUE"""),455.0)</f>
        <v>455</v>
      </c>
      <c r="O98" s="1">
        <f>IFERROR(__xludf.DUMMYFUNCTION("""COMPUTED_VALUE"""),1000.0)</f>
        <v>1000</v>
      </c>
      <c r="P98" s="1">
        <f>IFERROR(__xludf.DUMMYFUNCTION("""COMPUTED_VALUE"""),5260.0)</f>
        <v>5260</v>
      </c>
      <c r="Q98" s="1">
        <f>IFERROR(__xludf.DUMMYFUNCTION("""COMPUTED_VALUE"""),1050.0)</f>
        <v>1050</v>
      </c>
      <c r="R98" s="1">
        <f>IFERROR(__xludf.DUMMYFUNCTION("""COMPUTED_VALUE"""),3482.080078125)</f>
        <v>3482.080078</v>
      </c>
      <c r="S98" s="1"/>
      <c r="T98" s="1"/>
      <c r="U98" s="1">
        <f>IFERROR(__xludf.DUMMYFUNCTION("""COMPUTED_VALUE"""),0.0)</f>
        <v>0</v>
      </c>
      <c r="V98" s="1"/>
      <c r="W98" s="1"/>
      <c r="X98" s="1">
        <f>IFERROR(__xludf.DUMMYFUNCTION("""COMPUTED_VALUE"""),0.0)</f>
        <v>0</v>
      </c>
      <c r="Y98" s="1">
        <f>IFERROR(__xludf.DUMMYFUNCTION("""COMPUTED_VALUE"""),6700.0)</f>
        <v>6700</v>
      </c>
      <c r="Z98" s="1">
        <f>IFERROR(__xludf.DUMMYFUNCTION("""COMPUTED_VALUE"""),4.0)</f>
        <v>4</v>
      </c>
      <c r="AA98" s="1">
        <f>IFERROR(__xludf.DUMMYFUNCTION("""COMPUTED_VALUE"""),6700.0)</f>
        <v>6700</v>
      </c>
      <c r="AB98" s="1">
        <f>IFERROR(__xludf.DUMMYFUNCTION("""COMPUTED_VALUE"""),853.0)</f>
        <v>853</v>
      </c>
      <c r="AC98" s="1">
        <f>IFERROR(__xludf.DUMMYFUNCTION("""COMPUTED_VALUE"""),226.0)</f>
        <v>226</v>
      </c>
      <c r="AD98" s="1">
        <f>IFERROR(__xludf.DUMMYFUNCTION("""COMPUTED_VALUE"""),5800.0)</f>
        <v>5800</v>
      </c>
      <c r="AE98" s="1">
        <f>IFERROR(__xludf.DUMMYFUNCTION("""COMPUTED_VALUE"""),908.0)</f>
        <v>908</v>
      </c>
      <c r="AF98" s="1">
        <f>IFERROR(__xludf.DUMMYFUNCTION("""COMPUTED_VALUE"""),3482.080078125)</f>
        <v>3482.080078</v>
      </c>
      <c r="AG98" s="1">
        <f>IFERROR(__xludf.DUMMYFUNCTION("""COMPUTED_VALUE"""),10.0)</f>
        <v>10</v>
      </c>
      <c r="AH98" s="1">
        <f>IFERROR(__xludf.DUMMYFUNCTION("""COMPUTED_VALUE"""),6790.0)</f>
        <v>6790</v>
      </c>
      <c r="AI98" s="1">
        <f>IFERROR(__xludf.DUMMYFUNCTION("""COMPUTED_VALUE"""),10.0)</f>
        <v>10</v>
      </c>
      <c r="AJ98" s="1"/>
      <c r="AK98" s="1"/>
      <c r="AL98" s="1">
        <f>IFERROR(__xludf.DUMMYFUNCTION("""COMPUTED_VALUE"""),0.0)</f>
        <v>0</v>
      </c>
      <c r="AM98" s="1">
        <f>IFERROR(__xludf.DUMMYFUNCTION("""COMPUTED_VALUE"""),5000.0)</f>
        <v>5000</v>
      </c>
      <c r="AN98" s="1">
        <f>IFERROR(__xludf.DUMMYFUNCTION("""COMPUTED_VALUE"""),1.0)</f>
        <v>1</v>
      </c>
      <c r="AO98" s="1">
        <f>IFERROR(__xludf.DUMMYFUNCTION("""COMPUTED_VALUE"""),7250.0)</f>
        <v>7250</v>
      </c>
      <c r="AP98" s="1">
        <f>IFERROR(__xludf.DUMMYFUNCTION("""COMPUTED_VALUE"""),118.0)</f>
        <v>118</v>
      </c>
      <c r="AQ98" s="1"/>
      <c r="AR98" s="1"/>
      <c r="AS98" s="1">
        <f>IFERROR(__xludf.DUMMYFUNCTION("""COMPUTED_VALUE"""),0.0)</f>
        <v>0</v>
      </c>
    </row>
    <row r="99">
      <c r="A99" s="1" t="str">
        <f>IFERROR(__xludf.DUMMYFUNCTION("""COMPUTED_VALUE"""),"DCM")</f>
        <v>DCM</v>
      </c>
      <c r="B99" s="1"/>
      <c r="C99" s="1"/>
      <c r="D99" s="1">
        <f>IFERROR(__xludf.DUMMYFUNCTION("""COMPUTED_VALUE"""),4580.0)</f>
        <v>4580</v>
      </c>
      <c r="E99" s="1">
        <f>IFERROR(__xludf.DUMMYFUNCTION("""COMPUTED_VALUE"""),24.0)</f>
        <v>24</v>
      </c>
      <c r="F99" s="1">
        <f>IFERROR(__xludf.DUMMYFUNCTION("""COMPUTED_VALUE"""),4570.0)</f>
        <v>4570</v>
      </c>
      <c r="G99" s="1">
        <f>IFERROR(__xludf.DUMMYFUNCTION("""COMPUTED_VALUE"""),3799.0)</f>
        <v>3799</v>
      </c>
      <c r="H99" s="1">
        <f>IFERROR(__xludf.DUMMYFUNCTION("""COMPUTED_VALUE"""),96.0)</f>
        <v>96</v>
      </c>
      <c r="I99" s="1">
        <f>IFERROR(__xludf.DUMMYFUNCTION("""COMPUTED_VALUE"""),4350.0)</f>
        <v>4350</v>
      </c>
      <c r="J99" s="1">
        <f>IFERROR(__xludf.DUMMYFUNCTION("""COMPUTED_VALUE"""),2447.0)</f>
        <v>2447</v>
      </c>
      <c r="K99" s="1">
        <f>IFERROR(__xludf.DUMMYFUNCTION("""COMPUTED_VALUE"""),4400.0)</f>
        <v>4400</v>
      </c>
      <c r="L99" s="1">
        <f>IFERROR(__xludf.DUMMYFUNCTION("""COMPUTED_VALUE"""),7.0)</f>
        <v>7</v>
      </c>
      <c r="M99" s="1">
        <f>IFERROR(__xludf.DUMMYFUNCTION("""COMPUTED_VALUE"""),4900.0)</f>
        <v>4900</v>
      </c>
      <c r="N99" s="1">
        <f>IFERROR(__xludf.DUMMYFUNCTION("""COMPUTED_VALUE"""),1631.0)</f>
        <v>1631</v>
      </c>
      <c r="O99" s="1">
        <f>IFERROR(__xludf.DUMMYFUNCTION("""COMPUTED_VALUE"""),498.0)</f>
        <v>498</v>
      </c>
      <c r="P99" s="1">
        <f>IFERROR(__xludf.DUMMYFUNCTION("""COMPUTED_VALUE"""),4400.0)</f>
        <v>4400</v>
      </c>
      <c r="Q99" s="1">
        <f>IFERROR(__xludf.DUMMYFUNCTION("""COMPUTED_VALUE"""),3054.0)</f>
        <v>3054</v>
      </c>
      <c r="R99" s="1">
        <f>IFERROR(__xludf.DUMMYFUNCTION("""COMPUTED_VALUE"""),3500.0)</f>
        <v>3500</v>
      </c>
      <c r="S99" s="1"/>
      <c r="T99" s="1"/>
      <c r="U99" s="1">
        <f>IFERROR(__xludf.DUMMYFUNCTION("""COMPUTED_VALUE"""),0.0)</f>
        <v>0</v>
      </c>
      <c r="V99" s="1"/>
      <c r="W99" s="1"/>
      <c r="X99" s="1">
        <f>IFERROR(__xludf.DUMMYFUNCTION("""COMPUTED_VALUE"""),0.0)</f>
        <v>0</v>
      </c>
      <c r="Y99" s="1">
        <f>IFERROR(__xludf.DUMMYFUNCTION("""COMPUTED_VALUE"""),4267.22021484375)</f>
        <v>4267.220215</v>
      </c>
      <c r="Z99" s="1">
        <f>IFERROR(__xludf.DUMMYFUNCTION("""COMPUTED_VALUE"""),2.0)</f>
        <v>2</v>
      </c>
      <c r="AA99" s="1">
        <f>IFERROR(__xludf.DUMMYFUNCTION("""COMPUTED_VALUE"""),4680.0)</f>
        <v>4680</v>
      </c>
      <c r="AB99" s="1">
        <f>IFERROR(__xludf.DUMMYFUNCTION("""COMPUTED_VALUE"""),2753.0)</f>
        <v>2753</v>
      </c>
      <c r="AC99" s="1">
        <f>IFERROR(__xludf.DUMMYFUNCTION("""COMPUTED_VALUE"""),100.0)</f>
        <v>100</v>
      </c>
      <c r="AD99" s="1">
        <f>IFERROR(__xludf.DUMMYFUNCTION("""COMPUTED_VALUE"""),4100.0)</f>
        <v>4100</v>
      </c>
      <c r="AE99" s="1">
        <f>IFERROR(__xludf.DUMMYFUNCTION("""COMPUTED_VALUE"""),594.0)</f>
        <v>594</v>
      </c>
      <c r="AF99" s="1">
        <f>IFERROR(__xludf.DUMMYFUNCTION("""COMPUTED_VALUE"""),4900.0)</f>
        <v>4900</v>
      </c>
      <c r="AG99" s="1"/>
      <c r="AH99" s="1"/>
      <c r="AI99" s="1">
        <f>IFERROR(__xludf.DUMMYFUNCTION("""COMPUTED_VALUE"""),0.0)</f>
        <v>0</v>
      </c>
      <c r="AJ99" s="1"/>
      <c r="AK99" s="1"/>
      <c r="AL99" s="1">
        <f>IFERROR(__xludf.DUMMYFUNCTION("""COMPUTED_VALUE"""),0.0)</f>
        <v>0</v>
      </c>
      <c r="AM99" s="1">
        <f>IFERROR(__xludf.DUMMYFUNCTION("""COMPUTED_VALUE"""),4360.0)</f>
        <v>4360</v>
      </c>
      <c r="AN99" s="1">
        <f>IFERROR(__xludf.DUMMYFUNCTION("""COMPUTED_VALUE"""),37.0)</f>
        <v>37</v>
      </c>
      <c r="AO99" s="1">
        <f>IFERROR(__xludf.DUMMYFUNCTION("""COMPUTED_VALUE"""),4360.0)</f>
        <v>4360</v>
      </c>
      <c r="AP99" s="1">
        <f>IFERROR(__xludf.DUMMYFUNCTION("""COMPUTED_VALUE"""),301.0)</f>
        <v>301</v>
      </c>
      <c r="AQ99" s="1">
        <f>IFERROR(__xludf.DUMMYFUNCTION("""COMPUTED_VALUE"""),898.0)</f>
        <v>898</v>
      </c>
      <c r="AR99" s="1">
        <f>IFERROR(__xludf.DUMMYFUNCTION("""COMPUTED_VALUE"""),4010.0)</f>
        <v>4010</v>
      </c>
      <c r="AS99" s="1">
        <f>IFERROR(__xludf.DUMMYFUNCTION("""COMPUTED_VALUE"""),1973.0)</f>
        <v>1973</v>
      </c>
    </row>
    <row r="100">
      <c r="A100" s="1" t="str">
        <f>IFERROR(__xludf.DUMMYFUNCTION("""COMPUTED_VALUE"""),"DCS")</f>
        <v>DCS</v>
      </c>
      <c r="B100" s="1"/>
      <c r="C100" s="1"/>
      <c r="D100" s="1">
        <f>IFERROR(__xludf.DUMMYFUNCTION("""COMPUTED_VALUE"""),1735.81005859375)</f>
        <v>1735.810059</v>
      </c>
      <c r="E100" s="1">
        <f>IFERROR(__xludf.DUMMYFUNCTION("""COMPUTED_VALUE"""),1231.0)</f>
        <v>1231</v>
      </c>
      <c r="F100" s="1">
        <f>IFERROR(__xludf.DUMMYFUNCTION("""COMPUTED_VALUE"""),1740.0)</f>
        <v>1740</v>
      </c>
      <c r="G100" s="1">
        <f>IFERROR(__xludf.DUMMYFUNCTION("""COMPUTED_VALUE"""),7696.0)</f>
        <v>7696</v>
      </c>
      <c r="H100" s="1">
        <f>IFERROR(__xludf.DUMMYFUNCTION("""COMPUTED_VALUE"""),402.0)</f>
        <v>402</v>
      </c>
      <c r="I100" s="1">
        <f>IFERROR(__xludf.DUMMYFUNCTION("""COMPUTED_VALUE"""),1650.0)</f>
        <v>1650</v>
      </c>
      <c r="J100" s="1">
        <f>IFERROR(__xludf.DUMMYFUNCTION("""COMPUTED_VALUE"""),5914.0)</f>
        <v>5914</v>
      </c>
      <c r="K100" s="1">
        <f>IFERROR(__xludf.DUMMYFUNCTION("""COMPUTED_VALUE"""),1610.0)</f>
        <v>1610</v>
      </c>
      <c r="L100" s="1">
        <f>IFERROR(__xludf.DUMMYFUNCTION("""COMPUTED_VALUE"""),131.0)</f>
        <v>131</v>
      </c>
      <c r="M100" s="1">
        <f>IFERROR(__xludf.DUMMYFUNCTION("""COMPUTED_VALUE"""),1940.0)</f>
        <v>1940</v>
      </c>
      <c r="N100" s="1">
        <f>IFERROR(__xludf.DUMMYFUNCTION("""COMPUTED_VALUE"""),755.0)</f>
        <v>755</v>
      </c>
      <c r="O100" s="1">
        <f>IFERROR(__xludf.DUMMYFUNCTION("""COMPUTED_VALUE"""),260.0)</f>
        <v>260</v>
      </c>
      <c r="P100" s="1">
        <f>IFERROR(__xludf.DUMMYFUNCTION("""COMPUTED_VALUE"""),1610.0)</f>
        <v>1610</v>
      </c>
      <c r="Q100" s="1">
        <f>IFERROR(__xludf.DUMMYFUNCTION("""COMPUTED_VALUE"""),2688.0)</f>
        <v>2688</v>
      </c>
      <c r="R100" s="1">
        <f>IFERROR(__xludf.DUMMYFUNCTION("""COMPUTED_VALUE"""),1500.0)</f>
        <v>1500</v>
      </c>
      <c r="S100" s="1"/>
      <c r="T100" s="1"/>
      <c r="U100" s="1">
        <f>IFERROR(__xludf.DUMMYFUNCTION("""COMPUTED_VALUE"""),0.0)</f>
        <v>0</v>
      </c>
      <c r="V100" s="1"/>
      <c r="W100" s="1"/>
      <c r="X100" s="1">
        <f>IFERROR(__xludf.DUMMYFUNCTION("""COMPUTED_VALUE"""),0.0)</f>
        <v>0</v>
      </c>
      <c r="Y100" s="1">
        <f>IFERROR(__xludf.DUMMYFUNCTION("""COMPUTED_VALUE"""),1807.32995605468)</f>
        <v>1807.329956</v>
      </c>
      <c r="Z100" s="1">
        <f>IFERROR(__xludf.DUMMYFUNCTION("""COMPUTED_VALUE"""),320.0)</f>
        <v>320</v>
      </c>
      <c r="AA100" s="1">
        <f>IFERROR(__xludf.DUMMYFUNCTION("""COMPUTED_VALUE"""),1790.0)</f>
        <v>1790</v>
      </c>
      <c r="AB100" s="1">
        <f>IFERROR(__xludf.DUMMYFUNCTION("""COMPUTED_VALUE"""),7852.0)</f>
        <v>7852</v>
      </c>
      <c r="AC100" s="1">
        <f>IFERROR(__xludf.DUMMYFUNCTION("""COMPUTED_VALUE"""),1000.0)</f>
        <v>1000</v>
      </c>
      <c r="AD100" s="1">
        <f>IFERROR(__xludf.DUMMYFUNCTION("""COMPUTED_VALUE"""),1460.0)</f>
        <v>1460</v>
      </c>
      <c r="AE100" s="1">
        <f>IFERROR(__xludf.DUMMYFUNCTION("""COMPUTED_VALUE"""),2250.0)</f>
        <v>2250</v>
      </c>
      <c r="AF100" s="1">
        <f>IFERROR(__xludf.DUMMYFUNCTION("""COMPUTED_VALUE"""),846.72998046875)</f>
        <v>846.7299805</v>
      </c>
      <c r="AG100" s="1">
        <f>IFERROR(__xludf.DUMMYFUNCTION("""COMPUTED_VALUE"""),50.0)</f>
        <v>50</v>
      </c>
      <c r="AH100" s="1">
        <f>IFERROR(__xludf.DUMMYFUNCTION("""COMPUTED_VALUE"""),1840.0)</f>
        <v>1840</v>
      </c>
      <c r="AI100" s="1">
        <f>IFERROR(__xludf.DUMMYFUNCTION("""COMPUTED_VALUE"""),50.0)</f>
        <v>50</v>
      </c>
      <c r="AJ100" s="1"/>
      <c r="AK100" s="1"/>
      <c r="AL100" s="1">
        <f>IFERROR(__xludf.DUMMYFUNCTION("""COMPUTED_VALUE"""),0.0)</f>
        <v>0</v>
      </c>
      <c r="AM100" s="1">
        <f>IFERROR(__xludf.DUMMYFUNCTION("""COMPUTED_VALUE"""),2101.669921875)</f>
        <v>2101.669922</v>
      </c>
      <c r="AN100" s="1">
        <f>IFERROR(__xludf.DUMMYFUNCTION("""COMPUTED_VALUE"""),3.0)</f>
        <v>3</v>
      </c>
      <c r="AO100" s="1">
        <f>IFERROR(__xludf.DUMMYFUNCTION("""COMPUTED_VALUE"""),2050.0)</f>
        <v>2050</v>
      </c>
      <c r="AP100" s="1">
        <f>IFERROR(__xludf.DUMMYFUNCTION("""COMPUTED_VALUE"""),1016.0)</f>
        <v>1016</v>
      </c>
      <c r="AQ100" s="1">
        <f>IFERROR(__xludf.DUMMYFUNCTION("""COMPUTED_VALUE"""),200.0)</f>
        <v>200</v>
      </c>
      <c r="AR100" s="1">
        <f>IFERROR(__xludf.DUMMYFUNCTION("""COMPUTED_VALUE"""),1500.0)</f>
        <v>1500</v>
      </c>
      <c r="AS100" s="1">
        <f>IFERROR(__xludf.DUMMYFUNCTION("""COMPUTED_VALUE"""),1210.0)</f>
        <v>1210</v>
      </c>
    </row>
    <row r="101">
      <c r="A101" s="1" t="str">
        <f>IFERROR(__xludf.DUMMYFUNCTION("""COMPUTED_VALUE"""),"DD")</f>
        <v>DD</v>
      </c>
      <c r="B101" s="1"/>
      <c r="C101" s="1"/>
      <c r="D101" s="1">
        <f>IFERROR(__xludf.DUMMYFUNCTION("""COMPUTED_VALUE"""),42575.76171875)</f>
        <v>42575.76172</v>
      </c>
      <c r="E101" s="1">
        <f>IFERROR(__xludf.DUMMYFUNCTION("""COMPUTED_VALUE"""),20.0)</f>
        <v>20</v>
      </c>
      <c r="F101" s="1">
        <f>IFERROR(__xludf.DUMMYFUNCTION("""COMPUTED_VALUE"""),39000.0)</f>
        <v>39000</v>
      </c>
      <c r="G101" s="1">
        <f>IFERROR(__xludf.DUMMYFUNCTION("""COMPUTED_VALUE"""),20.0)</f>
        <v>20</v>
      </c>
      <c r="H101" s="1">
        <f>IFERROR(__xludf.DUMMYFUNCTION("""COMPUTED_VALUE"""),1.0)</f>
        <v>1</v>
      </c>
      <c r="I101" s="1">
        <f>IFERROR(__xludf.DUMMYFUNCTION("""COMPUTED_VALUE"""),38000.0)</f>
        <v>38000</v>
      </c>
      <c r="J101" s="1">
        <f>IFERROR(__xludf.DUMMYFUNCTION("""COMPUTED_VALUE"""),103.0)</f>
        <v>103</v>
      </c>
      <c r="K101" s="1">
        <f>IFERROR(__xludf.DUMMYFUNCTION("""COMPUTED_VALUE"""),44400.0)</f>
        <v>44400</v>
      </c>
      <c r="L101" s="1">
        <f>IFERROR(__xludf.DUMMYFUNCTION("""COMPUTED_VALUE"""),6.0)</f>
        <v>6</v>
      </c>
      <c r="M101" s="1">
        <f>IFERROR(__xludf.DUMMYFUNCTION("""COMPUTED_VALUE"""),39000.0)</f>
        <v>39000</v>
      </c>
      <c r="N101" s="1">
        <f>IFERROR(__xludf.DUMMYFUNCTION("""COMPUTED_VALUE"""),6.0)</f>
        <v>6</v>
      </c>
      <c r="O101" s="1">
        <f>IFERROR(__xludf.DUMMYFUNCTION("""COMPUTED_VALUE"""),10.0)</f>
        <v>10</v>
      </c>
      <c r="P101" s="1">
        <f>IFERROR(__xludf.DUMMYFUNCTION("""COMPUTED_VALUE"""),38000.0)</f>
        <v>38000</v>
      </c>
      <c r="Q101" s="1">
        <f>IFERROR(__xludf.DUMMYFUNCTION("""COMPUTED_VALUE"""),10.0)</f>
        <v>10</v>
      </c>
      <c r="R101" s="1">
        <f>IFERROR(__xludf.DUMMYFUNCTION("""COMPUTED_VALUE"""),25000.0)</f>
        <v>25000</v>
      </c>
      <c r="S101" s="1">
        <f>IFERROR(__xludf.DUMMYFUNCTION("""COMPUTED_VALUE"""),3.0)</f>
        <v>3</v>
      </c>
      <c r="T101" s="1">
        <f>IFERROR(__xludf.DUMMYFUNCTION("""COMPUTED_VALUE"""),25000.0)</f>
        <v>25000</v>
      </c>
      <c r="U101" s="1">
        <f>IFERROR(__xludf.DUMMYFUNCTION("""COMPUTED_VALUE"""),4.0)</f>
        <v>4</v>
      </c>
      <c r="V101" s="1"/>
      <c r="W101" s="1"/>
      <c r="X101" s="1">
        <f>IFERROR(__xludf.DUMMYFUNCTION("""COMPUTED_VALUE"""),0.0)</f>
        <v>0</v>
      </c>
      <c r="Y101" s="1">
        <f>IFERROR(__xludf.DUMMYFUNCTION("""COMPUTED_VALUE"""),42499.6796875)</f>
        <v>42499.67969</v>
      </c>
      <c r="Z101" s="1"/>
      <c r="AA101" s="1"/>
      <c r="AB101" s="1">
        <f>IFERROR(__xludf.DUMMYFUNCTION("""COMPUTED_VALUE"""),0.0)</f>
        <v>0</v>
      </c>
      <c r="AC101" s="1">
        <f>IFERROR(__xludf.DUMMYFUNCTION("""COMPUTED_VALUE"""),1.0)</f>
        <v>1</v>
      </c>
      <c r="AD101" s="1">
        <f>IFERROR(__xludf.DUMMYFUNCTION("""COMPUTED_VALUE"""),38000.0)</f>
        <v>38000</v>
      </c>
      <c r="AE101" s="1">
        <f>IFERROR(__xludf.DUMMYFUNCTION("""COMPUTED_VALUE"""),103.0)</f>
        <v>103</v>
      </c>
      <c r="AF101" s="1">
        <f>IFERROR(__xludf.DUMMYFUNCTION("""COMPUTED_VALUE"""),26608.73046875)</f>
        <v>26608.73047</v>
      </c>
      <c r="AG101" s="1"/>
      <c r="AH101" s="1"/>
      <c r="AI101" s="1">
        <f>IFERROR(__xludf.DUMMYFUNCTION("""COMPUTED_VALUE"""),0.0)</f>
        <v>0</v>
      </c>
      <c r="AJ101" s="1"/>
      <c r="AK101" s="1"/>
      <c r="AL101" s="1">
        <f>IFERROR(__xludf.DUMMYFUNCTION("""COMPUTED_VALUE"""),0.0)</f>
        <v>0</v>
      </c>
      <c r="AM101" s="1">
        <f>IFERROR(__xludf.DUMMYFUNCTION("""COMPUTED_VALUE"""),30000.0)</f>
        <v>30000</v>
      </c>
      <c r="AN101" s="1"/>
      <c r="AO101" s="1"/>
      <c r="AP101" s="1">
        <f>IFERROR(__xludf.DUMMYFUNCTION("""COMPUTED_VALUE"""),0.0)</f>
        <v>0</v>
      </c>
      <c r="AQ101" s="1">
        <f>IFERROR(__xludf.DUMMYFUNCTION("""COMPUTED_VALUE"""),10.0)</f>
        <v>10</v>
      </c>
      <c r="AR101" s="1">
        <f>IFERROR(__xludf.DUMMYFUNCTION("""COMPUTED_VALUE"""),38000.0)</f>
        <v>38000</v>
      </c>
      <c r="AS101" s="1">
        <f>IFERROR(__xludf.DUMMYFUNCTION("""COMPUTED_VALUE"""),10.0)</f>
        <v>10</v>
      </c>
    </row>
    <row r="102">
      <c r="A102" s="1" t="str">
        <f>IFERROR(__xludf.DUMMYFUNCTION("""COMPUTED_VALUE"""),"DDT")</f>
        <v>DDT</v>
      </c>
      <c r="B102" s="1"/>
      <c r="C102" s="1"/>
      <c r="D102" s="1">
        <f>IFERROR(__xludf.DUMMYFUNCTION("""COMPUTED_VALUE"""),2690.0)</f>
        <v>2690</v>
      </c>
      <c r="E102" s="1">
        <f>IFERROR(__xludf.DUMMYFUNCTION("""COMPUTED_VALUE"""),1000.0)</f>
        <v>1000</v>
      </c>
      <c r="F102" s="1">
        <f>IFERROR(__xludf.DUMMYFUNCTION("""COMPUTED_VALUE"""),2700.0)</f>
        <v>2700</v>
      </c>
      <c r="G102" s="1">
        <f>IFERROR(__xludf.DUMMYFUNCTION("""COMPUTED_VALUE"""),12320.0)</f>
        <v>12320</v>
      </c>
      <c r="H102" s="1">
        <f>IFERROR(__xludf.DUMMYFUNCTION("""COMPUTED_VALUE"""),120.0)</f>
        <v>120</v>
      </c>
      <c r="I102" s="1">
        <f>IFERROR(__xludf.DUMMYFUNCTION("""COMPUTED_VALUE"""),2530.0)</f>
        <v>2530</v>
      </c>
      <c r="J102" s="1">
        <f>IFERROR(__xludf.DUMMYFUNCTION("""COMPUTED_VALUE"""),4457.0)</f>
        <v>4457</v>
      </c>
      <c r="K102" s="1">
        <f>IFERROR(__xludf.DUMMYFUNCTION("""COMPUTED_VALUE"""),3520.0)</f>
        <v>3520</v>
      </c>
      <c r="L102" s="1">
        <f>IFERROR(__xludf.DUMMYFUNCTION("""COMPUTED_VALUE"""),10.0)</f>
        <v>10</v>
      </c>
      <c r="M102" s="1">
        <f>IFERROR(__xludf.DUMMYFUNCTION("""COMPUTED_VALUE"""),3520.0)</f>
        <v>3520</v>
      </c>
      <c r="N102" s="1">
        <f>IFERROR(__xludf.DUMMYFUNCTION("""COMPUTED_VALUE"""),7118.0)</f>
        <v>7118</v>
      </c>
      <c r="O102" s="1">
        <f>IFERROR(__xludf.DUMMYFUNCTION("""COMPUTED_VALUE"""),1.0)</f>
        <v>1</v>
      </c>
      <c r="P102" s="1">
        <f>IFERROR(__xludf.DUMMYFUNCTION("""COMPUTED_VALUE"""),2500.0)</f>
        <v>2500</v>
      </c>
      <c r="Q102" s="1">
        <f>IFERROR(__xludf.DUMMYFUNCTION("""COMPUTED_VALUE"""),5740.0)</f>
        <v>5740</v>
      </c>
      <c r="R102" s="1">
        <f>IFERROR(__xludf.DUMMYFUNCTION("""COMPUTED_VALUE"""),100.0)</f>
        <v>100</v>
      </c>
      <c r="S102" s="1">
        <f>IFERROR(__xludf.DUMMYFUNCTION("""COMPUTED_VALUE"""),144.0)</f>
        <v>144</v>
      </c>
      <c r="T102" s="1">
        <f>IFERROR(__xludf.DUMMYFUNCTION("""COMPUTED_VALUE"""),3500.0)</f>
        <v>3500</v>
      </c>
      <c r="U102" s="1">
        <f>IFERROR(__xludf.DUMMYFUNCTION("""COMPUTED_VALUE"""),495.0)</f>
        <v>495</v>
      </c>
      <c r="V102" s="1"/>
      <c r="W102" s="1"/>
      <c r="X102" s="1">
        <f>IFERROR(__xludf.DUMMYFUNCTION("""COMPUTED_VALUE"""),0.0)</f>
        <v>0</v>
      </c>
      <c r="Y102" s="1">
        <f>IFERROR(__xludf.DUMMYFUNCTION("""COMPUTED_VALUE"""),3140.0)</f>
        <v>3140</v>
      </c>
      <c r="Z102" s="1">
        <f>IFERROR(__xludf.DUMMYFUNCTION("""COMPUTED_VALUE"""),1749.0)</f>
        <v>1749</v>
      </c>
      <c r="AA102" s="1">
        <f>IFERROR(__xludf.DUMMYFUNCTION("""COMPUTED_VALUE"""),3140.0)</f>
        <v>3140</v>
      </c>
      <c r="AB102" s="1">
        <f>IFERROR(__xludf.DUMMYFUNCTION("""COMPUTED_VALUE"""),11034.0)</f>
        <v>11034</v>
      </c>
      <c r="AC102" s="1">
        <f>IFERROR(__xludf.DUMMYFUNCTION("""COMPUTED_VALUE"""),50.0)</f>
        <v>50</v>
      </c>
      <c r="AD102" s="1">
        <f>IFERROR(__xludf.DUMMYFUNCTION("""COMPUTED_VALUE"""),2710.0)</f>
        <v>2710</v>
      </c>
      <c r="AE102" s="1">
        <f>IFERROR(__xludf.DUMMYFUNCTION("""COMPUTED_VALUE"""),4591.0)</f>
        <v>4591</v>
      </c>
      <c r="AF102" s="1">
        <f>IFERROR(__xludf.DUMMYFUNCTION("""COMPUTED_VALUE"""),2800.0)</f>
        <v>2800</v>
      </c>
      <c r="AG102" s="1">
        <f>IFERROR(__xludf.DUMMYFUNCTION("""COMPUTED_VALUE"""),30.0)</f>
        <v>30</v>
      </c>
      <c r="AH102" s="1">
        <f>IFERROR(__xludf.DUMMYFUNCTION("""COMPUTED_VALUE"""),2700.0)</f>
        <v>2700</v>
      </c>
      <c r="AI102" s="1">
        <f>IFERROR(__xludf.DUMMYFUNCTION("""COMPUTED_VALUE"""),60.0)</f>
        <v>60</v>
      </c>
      <c r="AJ102" s="1"/>
      <c r="AK102" s="1"/>
      <c r="AL102" s="1">
        <f>IFERROR(__xludf.DUMMYFUNCTION("""COMPUTED_VALUE"""),0.0)</f>
        <v>0</v>
      </c>
      <c r="AM102" s="1">
        <f>IFERROR(__xludf.DUMMYFUNCTION("""COMPUTED_VALUE"""),3000.0)</f>
        <v>3000</v>
      </c>
      <c r="AN102" s="1">
        <f>IFERROR(__xludf.DUMMYFUNCTION("""COMPUTED_VALUE"""),129.0)</f>
        <v>129</v>
      </c>
      <c r="AO102" s="1">
        <f>IFERROR(__xludf.DUMMYFUNCTION("""COMPUTED_VALUE"""),3000.0)</f>
        <v>3000</v>
      </c>
      <c r="AP102" s="1">
        <f>IFERROR(__xludf.DUMMYFUNCTION("""COMPUTED_VALUE"""),8939.0)</f>
        <v>8939</v>
      </c>
      <c r="AQ102" s="1">
        <f>IFERROR(__xludf.DUMMYFUNCTION("""COMPUTED_VALUE"""),60.0)</f>
        <v>60</v>
      </c>
      <c r="AR102" s="1">
        <f>IFERROR(__xludf.DUMMYFUNCTION("""COMPUTED_VALUE"""),2900.0)</f>
        <v>2900</v>
      </c>
      <c r="AS102" s="1">
        <f>IFERROR(__xludf.DUMMYFUNCTION("""COMPUTED_VALUE"""),4826.0)</f>
        <v>4826</v>
      </c>
    </row>
    <row r="103">
      <c r="A103" s="1" t="str">
        <f>IFERROR(__xludf.DUMMYFUNCTION("""COMPUTED_VALUE"""),"DEC")</f>
        <v>DEC</v>
      </c>
      <c r="B103" s="1"/>
      <c r="C103" s="1"/>
      <c r="D103" s="1">
        <f>IFERROR(__xludf.DUMMYFUNCTION("""COMPUTED_VALUE"""),21000.0)</f>
        <v>21000</v>
      </c>
      <c r="E103" s="1">
        <f>IFERROR(__xludf.DUMMYFUNCTION("""COMPUTED_VALUE"""),32.0)</f>
        <v>32</v>
      </c>
      <c r="F103" s="1">
        <f>IFERROR(__xludf.DUMMYFUNCTION("""COMPUTED_VALUE"""),21000.0)</f>
        <v>21000</v>
      </c>
      <c r="G103" s="1">
        <f>IFERROR(__xludf.DUMMYFUNCTION("""COMPUTED_VALUE"""),451.0)</f>
        <v>451</v>
      </c>
      <c r="H103" s="1">
        <f>IFERROR(__xludf.DUMMYFUNCTION("""COMPUTED_VALUE"""),84.0)</f>
        <v>84</v>
      </c>
      <c r="I103" s="1">
        <f>IFERROR(__xludf.DUMMYFUNCTION("""COMPUTED_VALUE"""),17000.0)</f>
        <v>17000</v>
      </c>
      <c r="J103" s="1">
        <f>IFERROR(__xludf.DUMMYFUNCTION("""COMPUTED_VALUE"""),184.0)</f>
        <v>184</v>
      </c>
      <c r="K103" s="1">
        <f>IFERROR(__xludf.DUMMYFUNCTION("""COMPUTED_VALUE"""),20000.0)</f>
        <v>20000</v>
      </c>
      <c r="L103" s="1">
        <f>IFERROR(__xludf.DUMMYFUNCTION("""COMPUTED_VALUE"""),22.0)</f>
        <v>22</v>
      </c>
      <c r="M103" s="1">
        <f>IFERROR(__xludf.DUMMYFUNCTION("""COMPUTED_VALUE"""),19500.0)</f>
        <v>19500</v>
      </c>
      <c r="N103" s="1">
        <f>IFERROR(__xludf.DUMMYFUNCTION("""COMPUTED_VALUE"""),96.0)</f>
        <v>96</v>
      </c>
      <c r="O103" s="1">
        <f>IFERROR(__xludf.DUMMYFUNCTION("""COMPUTED_VALUE"""),8.0)</f>
        <v>8</v>
      </c>
      <c r="P103" s="1">
        <f>IFERROR(__xludf.DUMMYFUNCTION("""COMPUTED_VALUE"""),12000.0)</f>
        <v>12000</v>
      </c>
      <c r="Q103" s="1">
        <f>IFERROR(__xludf.DUMMYFUNCTION("""COMPUTED_VALUE"""),8.0)</f>
        <v>8</v>
      </c>
      <c r="R103" s="1">
        <f>IFERROR(__xludf.DUMMYFUNCTION("""COMPUTED_VALUE"""),9362.0)</f>
        <v>9362</v>
      </c>
      <c r="S103" s="1"/>
      <c r="T103" s="1"/>
      <c r="U103" s="1">
        <f>IFERROR(__xludf.DUMMYFUNCTION("""COMPUTED_VALUE"""),0.0)</f>
        <v>0</v>
      </c>
      <c r="V103" s="1"/>
      <c r="W103" s="1"/>
      <c r="X103" s="1">
        <f>IFERROR(__xludf.DUMMYFUNCTION("""COMPUTED_VALUE"""),0.0)</f>
        <v>0</v>
      </c>
      <c r="Y103" s="1">
        <f>IFERROR(__xludf.DUMMYFUNCTION("""COMPUTED_VALUE"""),20830.0)</f>
        <v>20830</v>
      </c>
      <c r="Z103" s="1">
        <f>IFERROR(__xludf.DUMMYFUNCTION("""COMPUTED_VALUE"""),94.0)</f>
        <v>94</v>
      </c>
      <c r="AA103" s="1">
        <f>IFERROR(__xludf.DUMMYFUNCTION("""COMPUTED_VALUE"""),20900.0)</f>
        <v>20900</v>
      </c>
      <c r="AB103" s="1">
        <f>IFERROR(__xludf.DUMMYFUNCTION("""COMPUTED_VALUE"""),767.0)</f>
        <v>767</v>
      </c>
      <c r="AC103" s="1">
        <f>IFERROR(__xludf.DUMMYFUNCTION("""COMPUTED_VALUE"""),20.0)</f>
        <v>20</v>
      </c>
      <c r="AD103" s="1">
        <f>IFERROR(__xludf.DUMMYFUNCTION("""COMPUTED_VALUE"""),17000.0)</f>
        <v>17000</v>
      </c>
      <c r="AE103" s="1">
        <f>IFERROR(__xludf.DUMMYFUNCTION("""COMPUTED_VALUE"""),220.0)</f>
        <v>220</v>
      </c>
      <c r="AF103" s="1">
        <f>IFERROR(__xludf.DUMMYFUNCTION("""COMPUTED_VALUE"""),9362.0)</f>
        <v>9362</v>
      </c>
      <c r="AG103" s="1"/>
      <c r="AH103" s="1"/>
      <c r="AI103" s="1">
        <f>IFERROR(__xludf.DUMMYFUNCTION("""COMPUTED_VALUE"""),0.0)</f>
        <v>0</v>
      </c>
      <c r="AJ103" s="1"/>
      <c r="AK103" s="1"/>
      <c r="AL103" s="1">
        <f>IFERROR(__xludf.DUMMYFUNCTION("""COMPUTED_VALUE"""),0.0)</f>
        <v>0</v>
      </c>
      <c r="AM103" s="1">
        <f>IFERROR(__xludf.DUMMYFUNCTION("""COMPUTED_VALUE"""),30000.0)</f>
        <v>30000</v>
      </c>
      <c r="AN103" s="1">
        <f>IFERROR(__xludf.DUMMYFUNCTION("""COMPUTED_VALUE"""),3.0)</f>
        <v>3</v>
      </c>
      <c r="AO103" s="1">
        <f>IFERROR(__xludf.DUMMYFUNCTION("""COMPUTED_VALUE"""),30000.0)</f>
        <v>30000</v>
      </c>
      <c r="AP103" s="1">
        <f>IFERROR(__xludf.DUMMYFUNCTION("""COMPUTED_VALUE"""),3.0)</f>
        <v>3</v>
      </c>
      <c r="AQ103" s="1"/>
      <c r="AR103" s="1"/>
      <c r="AS103" s="1">
        <f>IFERROR(__xludf.DUMMYFUNCTION("""COMPUTED_VALUE"""),0.0)</f>
        <v>0</v>
      </c>
    </row>
    <row r="104">
      <c r="A104" s="1" t="str">
        <f>IFERROR(__xludf.DUMMYFUNCTION("""COMPUTED_VALUE"""),"DIS")</f>
        <v>DIS</v>
      </c>
      <c r="B104" s="1"/>
      <c r="C104" s="1"/>
      <c r="D104" s="1">
        <f>IFERROR(__xludf.DUMMYFUNCTION("""COMPUTED_VALUE"""),14000.0)</f>
        <v>14000</v>
      </c>
      <c r="E104" s="1">
        <f>IFERROR(__xludf.DUMMYFUNCTION("""COMPUTED_VALUE"""),58.0)</f>
        <v>58</v>
      </c>
      <c r="F104" s="1">
        <f>IFERROR(__xludf.DUMMYFUNCTION("""COMPUTED_VALUE"""),14000.0)</f>
        <v>14000</v>
      </c>
      <c r="G104" s="1">
        <f>IFERROR(__xludf.DUMMYFUNCTION("""COMPUTED_VALUE"""),58.0)</f>
        <v>58</v>
      </c>
      <c r="H104" s="1"/>
      <c r="I104" s="1"/>
      <c r="J104" s="1">
        <f>IFERROR(__xludf.DUMMYFUNCTION("""COMPUTED_VALUE"""),0.0)</f>
        <v>0</v>
      </c>
      <c r="K104" s="1">
        <f>IFERROR(__xludf.DUMMYFUNCTION("""COMPUTED_VALUE"""),7700.0)</f>
        <v>7700</v>
      </c>
      <c r="L104" s="1">
        <f>IFERROR(__xludf.DUMMYFUNCTION("""COMPUTED_VALUE"""),5.0)</f>
        <v>5</v>
      </c>
      <c r="M104" s="1">
        <f>IFERROR(__xludf.DUMMYFUNCTION("""COMPUTED_VALUE"""),6900.0)</f>
        <v>6900</v>
      </c>
      <c r="N104" s="1">
        <f>IFERROR(__xludf.DUMMYFUNCTION("""COMPUTED_VALUE"""),54.0)</f>
        <v>54</v>
      </c>
      <c r="O104" s="1">
        <f>IFERROR(__xludf.DUMMYFUNCTION("""COMPUTED_VALUE"""),37.0)</f>
        <v>37</v>
      </c>
      <c r="P104" s="1">
        <f>IFERROR(__xludf.DUMMYFUNCTION("""COMPUTED_VALUE"""),4790.0)</f>
        <v>4790</v>
      </c>
      <c r="Q104" s="1">
        <f>IFERROR(__xludf.DUMMYFUNCTION("""COMPUTED_VALUE"""),39.0)</f>
        <v>39</v>
      </c>
      <c r="R104" s="1">
        <f>IFERROR(__xludf.DUMMYFUNCTION("""COMPUTED_VALUE"""),5454.77001953125)</f>
        <v>5454.77002</v>
      </c>
      <c r="S104" s="1">
        <f>IFERROR(__xludf.DUMMYFUNCTION("""COMPUTED_VALUE"""),17.0)</f>
        <v>17</v>
      </c>
      <c r="T104" s="1">
        <f>IFERROR(__xludf.DUMMYFUNCTION("""COMPUTED_VALUE"""),9500.0)</f>
        <v>9500</v>
      </c>
      <c r="U104" s="1">
        <f>IFERROR(__xludf.DUMMYFUNCTION("""COMPUTED_VALUE"""),17.0)</f>
        <v>17</v>
      </c>
      <c r="V104" s="1"/>
      <c r="W104" s="1"/>
      <c r="X104" s="1">
        <f>IFERROR(__xludf.DUMMYFUNCTION("""COMPUTED_VALUE"""),0.0)</f>
        <v>0</v>
      </c>
      <c r="Y104" s="1">
        <f>IFERROR(__xludf.DUMMYFUNCTION("""COMPUTED_VALUE"""),7000.0)</f>
        <v>7000</v>
      </c>
      <c r="Z104" s="1"/>
      <c r="AA104" s="1"/>
      <c r="AB104" s="1">
        <f>IFERROR(__xludf.DUMMYFUNCTION("""COMPUTED_VALUE"""),0.0)</f>
        <v>0</v>
      </c>
      <c r="AC104" s="1"/>
      <c r="AD104" s="1"/>
      <c r="AE104" s="1">
        <f>IFERROR(__xludf.DUMMYFUNCTION("""COMPUTED_VALUE"""),0.0)</f>
        <v>0</v>
      </c>
      <c r="AF104" s="1">
        <f>IFERROR(__xludf.DUMMYFUNCTION("""COMPUTED_VALUE"""),5454.77001953125)</f>
        <v>5454.77002</v>
      </c>
      <c r="AG104" s="1">
        <f>IFERROR(__xludf.DUMMYFUNCTION("""COMPUTED_VALUE"""),10.0)</f>
        <v>10</v>
      </c>
      <c r="AH104" s="1">
        <f>IFERROR(__xludf.DUMMYFUNCTION("""COMPUTED_VALUE"""),9000.0)</f>
        <v>9000</v>
      </c>
      <c r="AI104" s="1">
        <f>IFERROR(__xludf.DUMMYFUNCTION("""COMPUTED_VALUE"""),10.0)</f>
        <v>10</v>
      </c>
      <c r="AJ104" s="1"/>
      <c r="AK104" s="1"/>
      <c r="AL104" s="1">
        <f>IFERROR(__xludf.DUMMYFUNCTION("""COMPUTED_VALUE"""),0.0)</f>
        <v>0</v>
      </c>
      <c r="AM104" s="1">
        <f>IFERROR(__xludf.DUMMYFUNCTION("""COMPUTED_VALUE"""),6500.0)</f>
        <v>6500</v>
      </c>
      <c r="AN104" s="1">
        <f>IFERROR(__xludf.DUMMYFUNCTION("""COMPUTED_VALUE"""),13.0)</f>
        <v>13</v>
      </c>
      <c r="AO104" s="1">
        <f>IFERROR(__xludf.DUMMYFUNCTION("""COMPUTED_VALUE"""),6500.0)</f>
        <v>6500</v>
      </c>
      <c r="AP104" s="1">
        <f>IFERROR(__xludf.DUMMYFUNCTION("""COMPUTED_VALUE"""),13.0)</f>
        <v>13</v>
      </c>
      <c r="AQ104" s="1"/>
      <c r="AR104" s="1"/>
      <c r="AS104" s="1">
        <f>IFERROR(__xludf.DUMMYFUNCTION("""COMPUTED_VALUE"""),0.0)</f>
        <v>0</v>
      </c>
    </row>
    <row r="105">
      <c r="A105" s="1" t="str">
        <f>IFERROR(__xludf.DUMMYFUNCTION("""COMPUTED_VALUE"""),"DOU")</f>
        <v>DOU</v>
      </c>
      <c r="B105" s="1"/>
      <c r="C105" s="1"/>
      <c r="D105" s="1">
        <f>IFERROR(__xludf.DUMMYFUNCTION("""COMPUTED_VALUE"""),450000.0)</f>
        <v>450000</v>
      </c>
      <c r="E105" s="1">
        <f>IFERROR(__xludf.DUMMYFUNCTION("""COMPUTED_VALUE"""),1.0)</f>
        <v>1</v>
      </c>
      <c r="F105" s="1">
        <f>IFERROR(__xludf.DUMMYFUNCTION("""COMPUTED_VALUE"""),449000.0)</f>
        <v>449000</v>
      </c>
      <c r="G105" s="1">
        <f>IFERROR(__xludf.DUMMYFUNCTION("""COMPUTED_VALUE"""),2.0)</f>
        <v>2</v>
      </c>
      <c r="H105" s="1"/>
      <c r="I105" s="1"/>
      <c r="J105" s="1">
        <f>IFERROR(__xludf.DUMMYFUNCTION("""COMPUTED_VALUE"""),0.0)</f>
        <v>0</v>
      </c>
      <c r="K105" s="1">
        <f>IFERROR(__xludf.DUMMYFUNCTION("""COMPUTED_VALUE"""),101902.6328125)</f>
        <v>101902.6328</v>
      </c>
      <c r="L105" s="1">
        <f>IFERROR(__xludf.DUMMYFUNCTION("""COMPUTED_VALUE"""),1.0)</f>
        <v>1</v>
      </c>
      <c r="M105" s="1">
        <f>IFERROR(__xludf.DUMMYFUNCTION("""COMPUTED_VALUE"""),450000.0)</f>
        <v>450000</v>
      </c>
      <c r="N105" s="1">
        <f>IFERROR(__xludf.DUMMYFUNCTION("""COMPUTED_VALUE"""),1.0)</f>
        <v>1</v>
      </c>
      <c r="O105" s="1"/>
      <c r="P105" s="1"/>
      <c r="Q105" s="1">
        <f>IFERROR(__xludf.DUMMYFUNCTION("""COMPUTED_VALUE"""),0.0)</f>
        <v>0</v>
      </c>
      <c r="R105" s="1">
        <f>IFERROR(__xludf.DUMMYFUNCTION("""COMPUTED_VALUE"""),101902.6328125)</f>
        <v>101902.6328</v>
      </c>
      <c r="S105" s="1"/>
      <c r="T105" s="1"/>
      <c r="U105" s="1">
        <f>IFERROR(__xludf.DUMMYFUNCTION("""COMPUTED_VALUE"""),0.0)</f>
        <v>0</v>
      </c>
      <c r="V105" s="1"/>
      <c r="W105" s="1"/>
      <c r="X105" s="1">
        <f>IFERROR(__xludf.DUMMYFUNCTION("""COMPUTED_VALUE"""),0.0)</f>
        <v>0</v>
      </c>
      <c r="Y105" s="1">
        <f>IFERROR(__xludf.DUMMYFUNCTION("""COMPUTED_VALUE"""),450000.0)</f>
        <v>450000</v>
      </c>
      <c r="Z105" s="1"/>
      <c r="AA105" s="1"/>
      <c r="AB105" s="1">
        <f>IFERROR(__xludf.DUMMYFUNCTION("""COMPUTED_VALUE"""),0.0)</f>
        <v>0</v>
      </c>
      <c r="AC105" s="1"/>
      <c r="AD105" s="1"/>
      <c r="AE105" s="1">
        <f>IFERROR(__xludf.DUMMYFUNCTION("""COMPUTED_VALUE"""),0.0)</f>
        <v>0</v>
      </c>
      <c r="AF105" s="1">
        <f>IFERROR(__xludf.DUMMYFUNCTION("""COMPUTED_VALUE"""),101902.6328125)</f>
        <v>101902.6328</v>
      </c>
      <c r="AG105" s="1"/>
      <c r="AH105" s="1"/>
      <c r="AI105" s="1">
        <f>IFERROR(__xludf.DUMMYFUNCTION("""COMPUTED_VALUE"""),0.0)</f>
        <v>0</v>
      </c>
      <c r="AJ105" s="1"/>
      <c r="AK105" s="1"/>
      <c r="AL105" s="1">
        <f>IFERROR(__xludf.DUMMYFUNCTION("""COMPUTED_VALUE"""),0.0)</f>
        <v>0</v>
      </c>
      <c r="AM105" s="1">
        <f>IFERROR(__xludf.DUMMYFUNCTION("""COMPUTED_VALUE"""),275000.0)</f>
        <v>275000</v>
      </c>
      <c r="AN105" s="1"/>
      <c r="AO105" s="1"/>
      <c r="AP105" s="1">
        <f>IFERROR(__xludf.DUMMYFUNCTION("""COMPUTED_VALUE"""),0.0)</f>
        <v>0</v>
      </c>
      <c r="AQ105" s="1"/>
      <c r="AR105" s="1"/>
      <c r="AS105" s="1">
        <f>IFERROR(__xludf.DUMMYFUNCTION("""COMPUTED_VALUE"""),0.0)</f>
        <v>0</v>
      </c>
    </row>
    <row r="106">
      <c r="A106" s="1" t="str">
        <f>IFERROR(__xludf.DUMMYFUNCTION("""COMPUTED_VALUE"""),"DRF")</f>
        <v>DRF</v>
      </c>
      <c r="B106" s="1"/>
      <c r="C106" s="1"/>
      <c r="D106" s="1">
        <f>IFERROR(__xludf.DUMMYFUNCTION("""COMPUTED_VALUE"""),5800.0)</f>
        <v>5800</v>
      </c>
      <c r="E106" s="1">
        <f>IFERROR(__xludf.DUMMYFUNCTION("""COMPUTED_VALUE"""),164.0)</f>
        <v>164</v>
      </c>
      <c r="F106" s="1">
        <f>IFERROR(__xludf.DUMMYFUNCTION("""COMPUTED_VALUE"""),5800.0)</f>
        <v>5800</v>
      </c>
      <c r="G106" s="1">
        <f>IFERROR(__xludf.DUMMYFUNCTION("""COMPUTED_VALUE"""),372.0)</f>
        <v>372</v>
      </c>
      <c r="H106" s="1">
        <f>IFERROR(__xludf.DUMMYFUNCTION("""COMPUTED_VALUE"""),32.0)</f>
        <v>32</v>
      </c>
      <c r="I106" s="1">
        <f>IFERROR(__xludf.DUMMYFUNCTION("""COMPUTED_VALUE"""),5100.0)</f>
        <v>5100</v>
      </c>
      <c r="J106" s="1">
        <f>IFERROR(__xludf.DUMMYFUNCTION("""COMPUTED_VALUE"""),963.0)</f>
        <v>963</v>
      </c>
      <c r="K106" s="1">
        <f>IFERROR(__xludf.DUMMYFUNCTION("""COMPUTED_VALUE"""),6331.81982421875)</f>
        <v>6331.819824</v>
      </c>
      <c r="L106" s="1">
        <f>IFERROR(__xludf.DUMMYFUNCTION("""COMPUTED_VALUE"""),52.0)</f>
        <v>52</v>
      </c>
      <c r="M106" s="1">
        <f>IFERROR(__xludf.DUMMYFUNCTION("""COMPUTED_VALUE"""),6500.0)</f>
        <v>6500</v>
      </c>
      <c r="N106" s="1">
        <f>IFERROR(__xludf.DUMMYFUNCTION("""COMPUTED_VALUE"""),123.0)</f>
        <v>123</v>
      </c>
      <c r="O106" s="1"/>
      <c r="P106" s="1"/>
      <c r="Q106" s="1">
        <f>IFERROR(__xludf.DUMMYFUNCTION("""COMPUTED_VALUE"""),0.0)</f>
        <v>0</v>
      </c>
      <c r="R106" s="1">
        <f>IFERROR(__xludf.DUMMYFUNCTION("""COMPUTED_VALUE"""),3014.18994140625)</f>
        <v>3014.189941</v>
      </c>
      <c r="S106" s="1"/>
      <c r="T106" s="1"/>
      <c r="U106" s="1">
        <f>IFERROR(__xludf.DUMMYFUNCTION("""COMPUTED_VALUE"""),0.0)</f>
        <v>0</v>
      </c>
      <c r="V106" s="1"/>
      <c r="W106" s="1"/>
      <c r="X106" s="1">
        <f>IFERROR(__xludf.DUMMYFUNCTION("""COMPUTED_VALUE"""),0.0)</f>
        <v>0</v>
      </c>
      <c r="Y106" s="1">
        <f>IFERROR(__xludf.DUMMYFUNCTION("""COMPUTED_VALUE"""),6340.0)</f>
        <v>6340</v>
      </c>
      <c r="Z106" s="1"/>
      <c r="AA106" s="1"/>
      <c r="AB106" s="1">
        <f>IFERROR(__xludf.DUMMYFUNCTION("""COMPUTED_VALUE"""),0.0)</f>
        <v>0</v>
      </c>
      <c r="AC106" s="1"/>
      <c r="AD106" s="1"/>
      <c r="AE106" s="1">
        <f>IFERROR(__xludf.DUMMYFUNCTION("""COMPUTED_VALUE"""),0.0)</f>
        <v>0</v>
      </c>
      <c r="AF106" s="1">
        <f>IFERROR(__xludf.DUMMYFUNCTION("""COMPUTED_VALUE"""),3014.18994140625)</f>
        <v>3014.189941</v>
      </c>
      <c r="AG106" s="1">
        <f>IFERROR(__xludf.DUMMYFUNCTION("""COMPUTED_VALUE"""),24.0)</f>
        <v>24</v>
      </c>
      <c r="AH106" s="1">
        <f>IFERROR(__xludf.DUMMYFUNCTION("""COMPUTED_VALUE"""),3500.0)</f>
        <v>3500</v>
      </c>
      <c r="AI106" s="1">
        <f>IFERROR(__xludf.DUMMYFUNCTION("""COMPUTED_VALUE"""),24.0)</f>
        <v>24</v>
      </c>
      <c r="AJ106" s="1"/>
      <c r="AK106" s="1"/>
      <c r="AL106" s="1">
        <f>IFERROR(__xludf.DUMMYFUNCTION("""COMPUTED_VALUE"""),0.0)</f>
        <v>0</v>
      </c>
      <c r="AM106" s="1">
        <f>IFERROR(__xludf.DUMMYFUNCTION("""COMPUTED_VALUE"""),6400.0)</f>
        <v>6400</v>
      </c>
      <c r="AN106" s="1"/>
      <c r="AO106" s="1"/>
      <c r="AP106" s="1">
        <f>IFERROR(__xludf.DUMMYFUNCTION("""COMPUTED_VALUE"""),0.0)</f>
        <v>0</v>
      </c>
      <c r="AQ106" s="1">
        <f>IFERROR(__xludf.DUMMYFUNCTION("""COMPUTED_VALUE"""),50.0)</f>
        <v>50</v>
      </c>
      <c r="AR106" s="1">
        <f>IFERROR(__xludf.DUMMYFUNCTION("""COMPUTED_VALUE"""),5500.0)</f>
        <v>5500</v>
      </c>
      <c r="AS106" s="1">
        <f>IFERROR(__xludf.DUMMYFUNCTION("""COMPUTED_VALUE"""),131.0)</f>
        <v>131</v>
      </c>
    </row>
    <row r="107">
      <c r="A107" s="1" t="str">
        <f>IFERROR(__xludf.DUMMYFUNCTION("""COMPUTED_VALUE"""),"DV")</f>
        <v>DV</v>
      </c>
      <c r="B107" s="1"/>
      <c r="C107" s="1"/>
      <c r="D107" s="1">
        <f>IFERROR(__xludf.DUMMYFUNCTION("""COMPUTED_VALUE"""),18850.119140625)</f>
        <v>18850.11914</v>
      </c>
      <c r="E107" s="1">
        <f>IFERROR(__xludf.DUMMYFUNCTION("""COMPUTED_VALUE"""),12.0)</f>
        <v>12</v>
      </c>
      <c r="F107" s="1">
        <f>IFERROR(__xludf.DUMMYFUNCTION("""COMPUTED_VALUE"""),20000.0)</f>
        <v>20000</v>
      </c>
      <c r="G107" s="1">
        <f>IFERROR(__xludf.DUMMYFUNCTION("""COMPUTED_VALUE"""),63.0)</f>
        <v>63</v>
      </c>
      <c r="H107" s="1">
        <f>IFERROR(__xludf.DUMMYFUNCTION("""COMPUTED_VALUE"""),1.0)</f>
        <v>1</v>
      </c>
      <c r="I107" s="1">
        <f>IFERROR(__xludf.DUMMYFUNCTION("""COMPUTED_VALUE"""),13000.0)</f>
        <v>13000</v>
      </c>
      <c r="J107" s="1">
        <f>IFERROR(__xludf.DUMMYFUNCTION("""COMPUTED_VALUE"""),1.0)</f>
        <v>1</v>
      </c>
      <c r="K107" s="1">
        <f>IFERROR(__xludf.DUMMYFUNCTION("""COMPUTED_VALUE"""),22000.0)</f>
        <v>22000</v>
      </c>
      <c r="L107" s="1">
        <f>IFERROR(__xludf.DUMMYFUNCTION("""COMPUTED_VALUE"""),4.0)</f>
        <v>4</v>
      </c>
      <c r="M107" s="1">
        <f>IFERROR(__xludf.DUMMYFUNCTION("""COMPUTED_VALUE"""),13000.0)</f>
        <v>13000</v>
      </c>
      <c r="N107" s="1">
        <f>IFERROR(__xludf.DUMMYFUNCTION("""COMPUTED_VALUE"""),9.0)</f>
        <v>9</v>
      </c>
      <c r="O107" s="1">
        <f>IFERROR(__xludf.DUMMYFUNCTION("""COMPUTED_VALUE"""),2.0)</f>
        <v>2</v>
      </c>
      <c r="P107" s="1">
        <f>IFERROR(__xludf.DUMMYFUNCTION("""COMPUTED_VALUE"""),11500.0)</f>
        <v>11500</v>
      </c>
      <c r="Q107" s="1">
        <f>IFERROR(__xludf.DUMMYFUNCTION("""COMPUTED_VALUE"""),25.0)</f>
        <v>25</v>
      </c>
      <c r="R107" s="1">
        <f>IFERROR(__xludf.DUMMYFUNCTION("""COMPUTED_VALUE"""),15000.0)</f>
        <v>15000</v>
      </c>
      <c r="S107" s="1">
        <f>IFERROR(__xludf.DUMMYFUNCTION("""COMPUTED_VALUE"""),2.0)</f>
        <v>2</v>
      </c>
      <c r="T107" s="1">
        <f>IFERROR(__xludf.DUMMYFUNCTION("""COMPUTED_VALUE"""),15000.0)</f>
        <v>15000</v>
      </c>
      <c r="U107" s="1">
        <f>IFERROR(__xludf.DUMMYFUNCTION("""COMPUTED_VALUE"""),2.0)</f>
        <v>2</v>
      </c>
      <c r="V107" s="1"/>
      <c r="W107" s="1"/>
      <c r="X107" s="1">
        <f>IFERROR(__xludf.DUMMYFUNCTION("""COMPUTED_VALUE"""),0.0)</f>
        <v>0</v>
      </c>
      <c r="Y107" s="1">
        <f>IFERROR(__xludf.DUMMYFUNCTION("""COMPUTED_VALUE"""),14000.0)</f>
        <v>14000</v>
      </c>
      <c r="Z107" s="1">
        <f>IFERROR(__xludf.DUMMYFUNCTION("""COMPUTED_VALUE"""),54.0)</f>
        <v>54</v>
      </c>
      <c r="AA107" s="1">
        <f>IFERROR(__xludf.DUMMYFUNCTION("""COMPUTED_VALUE"""),14000.0)</f>
        <v>14000</v>
      </c>
      <c r="AB107" s="1">
        <f>IFERROR(__xludf.DUMMYFUNCTION("""COMPUTED_VALUE"""),82.0)</f>
        <v>82</v>
      </c>
      <c r="AC107" s="1">
        <f>IFERROR(__xludf.DUMMYFUNCTION("""COMPUTED_VALUE"""),3.0)</f>
        <v>3</v>
      </c>
      <c r="AD107" s="1">
        <f>IFERROR(__xludf.DUMMYFUNCTION("""COMPUTED_VALUE"""),13000.0)</f>
        <v>13000</v>
      </c>
      <c r="AE107" s="1">
        <f>IFERROR(__xludf.DUMMYFUNCTION("""COMPUTED_VALUE"""),3.0)</f>
        <v>3</v>
      </c>
      <c r="AF107" s="1">
        <f>IFERROR(__xludf.DUMMYFUNCTION("""COMPUTED_VALUE"""),12317.7900390625)</f>
        <v>12317.79004</v>
      </c>
      <c r="AG107" s="1"/>
      <c r="AH107" s="1"/>
      <c r="AI107" s="1">
        <f>IFERROR(__xludf.DUMMYFUNCTION("""COMPUTED_VALUE"""),0.0)</f>
        <v>0</v>
      </c>
      <c r="AJ107" s="1"/>
      <c r="AK107" s="1"/>
      <c r="AL107" s="1">
        <f>IFERROR(__xludf.DUMMYFUNCTION("""COMPUTED_VALUE"""),0.0)</f>
        <v>0</v>
      </c>
      <c r="AM107" s="1">
        <f>IFERROR(__xludf.DUMMYFUNCTION("""COMPUTED_VALUE"""),15000.0)</f>
        <v>15000</v>
      </c>
      <c r="AN107" s="1"/>
      <c r="AO107" s="1"/>
      <c r="AP107" s="1">
        <f>IFERROR(__xludf.DUMMYFUNCTION("""COMPUTED_VALUE"""),0.0)</f>
        <v>0</v>
      </c>
      <c r="AQ107" s="1"/>
      <c r="AR107" s="1"/>
      <c r="AS107" s="1">
        <f>IFERROR(__xludf.DUMMYFUNCTION("""COMPUTED_VALUE"""),0.0)</f>
        <v>0</v>
      </c>
    </row>
    <row r="108">
      <c r="A108" s="1" t="str">
        <f>IFERROR(__xludf.DUMMYFUNCTION("""COMPUTED_VALUE"""),"DW")</f>
        <v>DW</v>
      </c>
      <c r="B108" s="1">
        <f>IFERROR(__xludf.DUMMYFUNCTION("""COMPUTED_VALUE"""),19.0)</f>
        <v>19</v>
      </c>
      <c r="C108" s="1">
        <f>IFERROR(__xludf.DUMMYFUNCTION("""COMPUTED_VALUE"""),121.0)</f>
        <v>121</v>
      </c>
      <c r="D108" s="1">
        <f>IFERROR(__xludf.DUMMYFUNCTION("""COMPUTED_VALUE"""),117.0)</f>
        <v>117</v>
      </c>
      <c r="E108" s="1">
        <f>IFERROR(__xludf.DUMMYFUNCTION("""COMPUTED_VALUE"""),9939.0)</f>
        <v>9939</v>
      </c>
      <c r="F108" s="1">
        <f>IFERROR(__xludf.DUMMYFUNCTION("""COMPUTED_VALUE"""),117.0)</f>
        <v>117</v>
      </c>
      <c r="G108" s="1">
        <f>IFERROR(__xludf.DUMMYFUNCTION("""COMPUTED_VALUE"""),195238.0)</f>
        <v>195238</v>
      </c>
      <c r="H108" s="1">
        <f>IFERROR(__xludf.DUMMYFUNCTION("""COMPUTED_VALUE"""),200.0)</f>
        <v>200</v>
      </c>
      <c r="I108" s="1">
        <f>IFERROR(__xludf.DUMMYFUNCTION("""COMPUTED_VALUE"""),112.0)</f>
        <v>112</v>
      </c>
      <c r="J108" s="1">
        <f>IFERROR(__xludf.DUMMYFUNCTION("""COMPUTED_VALUE"""),285661.0)</f>
        <v>285661</v>
      </c>
      <c r="K108" s="1">
        <f>IFERROR(__xludf.DUMMYFUNCTION("""COMPUTED_VALUE"""),118.0)</f>
        <v>118</v>
      </c>
      <c r="L108" s="1">
        <f>IFERROR(__xludf.DUMMYFUNCTION("""COMPUTED_VALUE"""),64.0)</f>
        <v>64</v>
      </c>
      <c r="M108" s="1">
        <f>IFERROR(__xludf.DUMMYFUNCTION("""COMPUTED_VALUE"""),118.0)</f>
        <v>118</v>
      </c>
      <c r="N108" s="1">
        <f>IFERROR(__xludf.DUMMYFUNCTION("""COMPUTED_VALUE"""),106437.0)</f>
        <v>106437</v>
      </c>
      <c r="O108" s="1">
        <f>IFERROR(__xludf.DUMMYFUNCTION("""COMPUTED_VALUE"""),300.0)</f>
        <v>300</v>
      </c>
      <c r="P108" s="1">
        <f>IFERROR(__xludf.DUMMYFUNCTION("""COMPUTED_VALUE"""),109.0)</f>
        <v>109</v>
      </c>
      <c r="Q108" s="1">
        <f>IFERROR(__xludf.DUMMYFUNCTION("""COMPUTED_VALUE"""),208310.0)</f>
        <v>208310</v>
      </c>
      <c r="R108" s="1">
        <f>IFERROR(__xludf.DUMMYFUNCTION("""COMPUTED_VALUE"""),110.0)</f>
        <v>110</v>
      </c>
      <c r="S108" s="1">
        <f>IFERROR(__xludf.DUMMYFUNCTION("""COMPUTED_VALUE"""),800.0)</f>
        <v>800</v>
      </c>
      <c r="T108" s="1">
        <f>IFERROR(__xludf.DUMMYFUNCTION("""COMPUTED_VALUE"""),110.0)</f>
        <v>110</v>
      </c>
      <c r="U108" s="1">
        <f>IFERROR(__xludf.DUMMYFUNCTION("""COMPUTED_VALUE"""),800.0)</f>
        <v>800</v>
      </c>
      <c r="V108" s="1">
        <f>IFERROR(__xludf.DUMMYFUNCTION("""COMPUTED_VALUE"""),9947.0)</f>
        <v>9947</v>
      </c>
      <c r="W108" s="1">
        <f>IFERROR(__xludf.DUMMYFUNCTION("""COMPUTED_VALUE"""),95.0)</f>
        <v>95</v>
      </c>
      <c r="X108" s="1">
        <f>IFERROR(__xludf.DUMMYFUNCTION("""COMPUTED_VALUE"""),9947.0)</f>
        <v>9947</v>
      </c>
      <c r="Y108" s="1">
        <f>IFERROR(__xludf.DUMMYFUNCTION("""COMPUTED_VALUE"""),116.0)</f>
        <v>116</v>
      </c>
      <c r="Z108" s="1">
        <f>IFERROR(__xludf.DUMMYFUNCTION("""COMPUTED_VALUE"""),22458.0)</f>
        <v>22458</v>
      </c>
      <c r="AA108" s="1">
        <f>IFERROR(__xludf.DUMMYFUNCTION("""COMPUTED_VALUE"""),116.0)</f>
        <v>116</v>
      </c>
      <c r="AB108" s="1">
        <f>IFERROR(__xludf.DUMMYFUNCTION("""COMPUTED_VALUE"""),230621.0)</f>
        <v>230621</v>
      </c>
      <c r="AC108" s="1">
        <f>IFERROR(__xludf.DUMMYFUNCTION("""COMPUTED_VALUE"""),20.0)</f>
        <v>20</v>
      </c>
      <c r="AD108" s="1">
        <f>IFERROR(__xludf.DUMMYFUNCTION("""COMPUTED_VALUE"""),114.0)</f>
        <v>114</v>
      </c>
      <c r="AE108" s="1">
        <f>IFERROR(__xludf.DUMMYFUNCTION("""COMPUTED_VALUE"""),225791.0)</f>
        <v>225791</v>
      </c>
      <c r="AF108" s="1">
        <f>IFERROR(__xludf.DUMMYFUNCTION("""COMPUTED_VALUE"""),110.0)</f>
        <v>110</v>
      </c>
      <c r="AG108" s="1"/>
      <c r="AH108" s="1"/>
      <c r="AI108" s="1">
        <f>IFERROR(__xludf.DUMMYFUNCTION("""COMPUTED_VALUE"""),0.0)</f>
        <v>0</v>
      </c>
      <c r="AJ108" s="1">
        <f>IFERROR(__xludf.DUMMYFUNCTION("""COMPUTED_VALUE"""),340.0)</f>
        <v>340</v>
      </c>
      <c r="AK108" s="1">
        <f>IFERROR(__xludf.DUMMYFUNCTION("""COMPUTED_VALUE"""),105.0)</f>
        <v>105</v>
      </c>
      <c r="AL108" s="1">
        <f>IFERROR(__xludf.DUMMYFUNCTION("""COMPUTED_VALUE"""),3429.0)</f>
        <v>3429</v>
      </c>
      <c r="AM108" s="1">
        <f>IFERROR(__xludf.DUMMYFUNCTION("""COMPUTED_VALUE"""),103.0)</f>
        <v>103</v>
      </c>
      <c r="AN108" s="1">
        <f>IFERROR(__xludf.DUMMYFUNCTION("""COMPUTED_VALUE"""),88.0)</f>
        <v>88</v>
      </c>
      <c r="AO108" s="1">
        <f>IFERROR(__xludf.DUMMYFUNCTION("""COMPUTED_VALUE"""),103.0)</f>
        <v>103</v>
      </c>
      <c r="AP108" s="1">
        <f>IFERROR(__xludf.DUMMYFUNCTION("""COMPUTED_VALUE"""),182631.0)</f>
        <v>182631</v>
      </c>
      <c r="AQ108" s="1">
        <f>IFERROR(__xludf.DUMMYFUNCTION("""COMPUTED_VALUE"""),85581.0)</f>
        <v>85581</v>
      </c>
      <c r="AR108" s="1">
        <f>IFERROR(__xludf.DUMMYFUNCTION("""COMPUTED_VALUE"""),102.0)</f>
        <v>102</v>
      </c>
      <c r="AS108" s="1">
        <f>IFERROR(__xludf.DUMMYFUNCTION("""COMPUTED_VALUE"""),605175.0)</f>
        <v>605175</v>
      </c>
    </row>
    <row r="109">
      <c r="A109" s="1" t="str">
        <f>IFERROR(__xludf.DUMMYFUNCTION("""COMPUTED_VALUE"""),"EBU")</f>
        <v>EBU</v>
      </c>
      <c r="B109" s="1"/>
      <c r="C109" s="1"/>
      <c r="D109" s="1">
        <f>IFERROR(__xludf.DUMMYFUNCTION("""COMPUTED_VALUE"""),210000.0)</f>
        <v>210000</v>
      </c>
      <c r="E109" s="1">
        <f>IFERROR(__xludf.DUMMYFUNCTION("""COMPUTED_VALUE"""),47.0)</f>
        <v>47</v>
      </c>
      <c r="F109" s="1">
        <f>IFERROR(__xludf.DUMMYFUNCTION("""COMPUTED_VALUE"""),230000.0)</f>
        <v>230000</v>
      </c>
      <c r="G109" s="1">
        <f>IFERROR(__xludf.DUMMYFUNCTION("""COMPUTED_VALUE"""),97.0)</f>
        <v>97</v>
      </c>
      <c r="H109" s="1">
        <f>IFERROR(__xludf.DUMMYFUNCTION("""COMPUTED_VALUE"""),20.0)</f>
        <v>20</v>
      </c>
      <c r="I109" s="1">
        <f>IFERROR(__xludf.DUMMYFUNCTION("""COMPUTED_VALUE"""),210000.0)</f>
        <v>210000</v>
      </c>
      <c r="J109" s="1">
        <f>IFERROR(__xludf.DUMMYFUNCTION("""COMPUTED_VALUE"""),23.0)</f>
        <v>23</v>
      </c>
      <c r="K109" s="1">
        <f>IFERROR(__xludf.DUMMYFUNCTION("""COMPUTED_VALUE"""),230000.0)</f>
        <v>230000</v>
      </c>
      <c r="L109" s="1">
        <f>IFERROR(__xludf.DUMMYFUNCTION("""COMPUTED_VALUE"""),38.0)</f>
        <v>38</v>
      </c>
      <c r="M109" s="1">
        <f>IFERROR(__xludf.DUMMYFUNCTION("""COMPUTED_VALUE"""),230000.0)</f>
        <v>230000</v>
      </c>
      <c r="N109" s="1">
        <f>IFERROR(__xludf.DUMMYFUNCTION("""COMPUTED_VALUE"""),88.0)</f>
        <v>88</v>
      </c>
      <c r="O109" s="1">
        <f>IFERROR(__xludf.DUMMYFUNCTION("""COMPUTED_VALUE"""),20.0)</f>
        <v>20</v>
      </c>
      <c r="P109" s="1">
        <f>IFERROR(__xludf.DUMMYFUNCTION("""COMPUTED_VALUE"""),210000.0)</f>
        <v>210000</v>
      </c>
      <c r="Q109" s="1">
        <f>IFERROR(__xludf.DUMMYFUNCTION("""COMPUTED_VALUE"""),20.0)</f>
        <v>20</v>
      </c>
      <c r="R109" s="1">
        <f>IFERROR(__xludf.DUMMYFUNCTION("""COMPUTED_VALUE"""),90493.8203125)</f>
        <v>90493.82031</v>
      </c>
      <c r="S109" s="1"/>
      <c r="T109" s="1"/>
      <c r="U109" s="1">
        <f>IFERROR(__xludf.DUMMYFUNCTION("""COMPUTED_VALUE"""),0.0)</f>
        <v>0</v>
      </c>
      <c r="V109" s="1"/>
      <c r="W109" s="1"/>
      <c r="X109" s="1">
        <f>IFERROR(__xludf.DUMMYFUNCTION("""COMPUTED_VALUE"""),0.0)</f>
        <v>0</v>
      </c>
      <c r="Y109" s="1">
        <f>IFERROR(__xludf.DUMMYFUNCTION("""COMPUTED_VALUE"""),200000.0)</f>
        <v>200000</v>
      </c>
      <c r="Z109" s="1">
        <f>IFERROR(__xludf.DUMMYFUNCTION("""COMPUTED_VALUE"""),1.0)</f>
        <v>1</v>
      </c>
      <c r="AA109" s="1">
        <f>IFERROR(__xludf.DUMMYFUNCTION("""COMPUTED_VALUE"""),229000.0)</f>
        <v>229000</v>
      </c>
      <c r="AB109" s="1">
        <f>IFERROR(__xludf.DUMMYFUNCTION("""COMPUTED_VALUE"""),95.0)</f>
        <v>95</v>
      </c>
      <c r="AC109" s="1">
        <f>IFERROR(__xludf.DUMMYFUNCTION("""COMPUTED_VALUE"""),7.0)</f>
        <v>7</v>
      </c>
      <c r="AD109" s="1">
        <f>IFERROR(__xludf.DUMMYFUNCTION("""COMPUTED_VALUE"""),200000.0)</f>
        <v>200000</v>
      </c>
      <c r="AE109" s="1">
        <f>IFERROR(__xludf.DUMMYFUNCTION("""COMPUTED_VALUE"""),9.0)</f>
        <v>9</v>
      </c>
      <c r="AF109" s="1">
        <f>IFERROR(__xludf.DUMMYFUNCTION("""COMPUTED_VALUE"""),90493.8203125)</f>
        <v>90493.82031</v>
      </c>
      <c r="AG109" s="1"/>
      <c r="AH109" s="1"/>
      <c r="AI109" s="1">
        <f>IFERROR(__xludf.DUMMYFUNCTION("""COMPUTED_VALUE"""),0.0)</f>
        <v>0</v>
      </c>
      <c r="AJ109" s="1"/>
      <c r="AK109" s="1"/>
      <c r="AL109" s="1">
        <f>IFERROR(__xludf.DUMMYFUNCTION("""COMPUTED_VALUE"""),0.0)</f>
        <v>0</v>
      </c>
      <c r="AM109" s="1">
        <f>IFERROR(__xludf.DUMMYFUNCTION("""COMPUTED_VALUE"""),230000.0)</f>
        <v>230000</v>
      </c>
      <c r="AN109" s="1">
        <f>IFERROR(__xludf.DUMMYFUNCTION("""COMPUTED_VALUE"""),9.0)</f>
        <v>9</v>
      </c>
      <c r="AO109" s="1">
        <f>IFERROR(__xludf.DUMMYFUNCTION("""COMPUTED_VALUE"""),230000.0)</f>
        <v>230000</v>
      </c>
      <c r="AP109" s="1">
        <f>IFERROR(__xludf.DUMMYFUNCTION("""COMPUTED_VALUE"""),59.0)</f>
        <v>59</v>
      </c>
      <c r="AQ109" s="1">
        <f>IFERROR(__xludf.DUMMYFUNCTION("""COMPUTED_VALUE"""),11.0)</f>
        <v>11</v>
      </c>
      <c r="AR109" s="1">
        <f>IFERROR(__xludf.DUMMYFUNCTION("""COMPUTED_VALUE"""),200000.0)</f>
        <v>200000</v>
      </c>
      <c r="AS109" s="1">
        <f>IFERROR(__xludf.DUMMYFUNCTION("""COMPUTED_VALUE"""),11.0)</f>
        <v>11</v>
      </c>
    </row>
    <row r="110">
      <c r="A110" s="1" t="str">
        <f>IFERROR(__xludf.DUMMYFUNCTION("""COMPUTED_VALUE"""),"EDC")</f>
        <v>EDC</v>
      </c>
      <c r="B110" s="1">
        <f>IFERROR(__xludf.DUMMYFUNCTION("""COMPUTED_VALUE"""),8000.0)</f>
        <v>8000</v>
      </c>
      <c r="C110" s="1"/>
      <c r="D110" s="1">
        <f>IFERROR(__xludf.DUMMYFUNCTION("""COMPUTED_VALUE"""),8000.0)</f>
        <v>8000</v>
      </c>
      <c r="E110" s="1">
        <f>IFERROR(__xludf.DUMMYFUNCTION("""COMPUTED_VALUE"""),8.0)</f>
        <v>8</v>
      </c>
      <c r="F110" s="1">
        <f>IFERROR(__xludf.DUMMYFUNCTION("""COMPUTED_VALUE"""),9000.0)</f>
        <v>9000</v>
      </c>
      <c r="G110" s="1">
        <f>IFERROR(__xludf.DUMMYFUNCTION("""COMPUTED_VALUE"""),663.0)</f>
        <v>663</v>
      </c>
      <c r="H110" s="1">
        <f>IFERROR(__xludf.DUMMYFUNCTION("""COMPUTED_VALUE"""),100.0)</f>
        <v>100</v>
      </c>
      <c r="I110" s="1">
        <f>IFERROR(__xludf.DUMMYFUNCTION("""COMPUTED_VALUE"""),8000.0)</f>
        <v>8000</v>
      </c>
      <c r="J110" s="1">
        <f>IFERROR(__xludf.DUMMYFUNCTION("""COMPUTED_VALUE"""),100.0)</f>
        <v>100</v>
      </c>
      <c r="K110" s="1">
        <f>IFERROR(__xludf.DUMMYFUNCTION("""COMPUTED_VALUE"""),9700.0)</f>
        <v>9700</v>
      </c>
      <c r="L110" s="1">
        <f>IFERROR(__xludf.DUMMYFUNCTION("""COMPUTED_VALUE"""),5.0)</f>
        <v>5</v>
      </c>
      <c r="M110" s="1">
        <f>IFERROR(__xludf.DUMMYFUNCTION("""COMPUTED_VALUE"""),9800.0)</f>
        <v>9800</v>
      </c>
      <c r="N110" s="1">
        <f>IFERROR(__xludf.DUMMYFUNCTION("""COMPUTED_VALUE"""),111.0)</f>
        <v>111</v>
      </c>
      <c r="O110" s="1">
        <f>IFERROR(__xludf.DUMMYFUNCTION("""COMPUTED_VALUE"""),100.0)</f>
        <v>100</v>
      </c>
      <c r="P110" s="1">
        <f>IFERROR(__xludf.DUMMYFUNCTION("""COMPUTED_VALUE"""),8010.0)</f>
        <v>8010</v>
      </c>
      <c r="Q110" s="1">
        <f>IFERROR(__xludf.DUMMYFUNCTION("""COMPUTED_VALUE"""),200.0)</f>
        <v>200</v>
      </c>
      <c r="R110" s="1">
        <f>IFERROR(__xludf.DUMMYFUNCTION("""COMPUTED_VALUE"""),11000.0)</f>
        <v>11000</v>
      </c>
      <c r="S110" s="1">
        <f>IFERROR(__xludf.DUMMYFUNCTION("""COMPUTED_VALUE"""),2.0)</f>
        <v>2</v>
      </c>
      <c r="T110" s="1">
        <f>IFERROR(__xludf.DUMMYFUNCTION("""COMPUTED_VALUE"""),11000.0)</f>
        <v>11000</v>
      </c>
      <c r="U110" s="1">
        <f>IFERROR(__xludf.DUMMYFUNCTION("""COMPUTED_VALUE"""),3.0)</f>
        <v>3</v>
      </c>
      <c r="V110" s="1"/>
      <c r="W110" s="1"/>
      <c r="X110" s="1">
        <f>IFERROR(__xludf.DUMMYFUNCTION("""COMPUTED_VALUE"""),0.0)</f>
        <v>0</v>
      </c>
      <c r="Y110" s="1">
        <f>IFERROR(__xludf.DUMMYFUNCTION("""COMPUTED_VALUE"""),8000.0)</f>
        <v>8000</v>
      </c>
      <c r="Z110" s="1">
        <f>IFERROR(__xludf.DUMMYFUNCTION("""COMPUTED_VALUE"""),6.0)</f>
        <v>6</v>
      </c>
      <c r="AA110" s="1">
        <f>IFERROR(__xludf.DUMMYFUNCTION("""COMPUTED_VALUE"""),9890.0)</f>
        <v>9890</v>
      </c>
      <c r="AB110" s="1">
        <f>IFERROR(__xludf.DUMMYFUNCTION("""COMPUTED_VALUE"""),106.0)</f>
        <v>106</v>
      </c>
      <c r="AC110" s="1">
        <f>IFERROR(__xludf.DUMMYFUNCTION("""COMPUTED_VALUE"""),100.0)</f>
        <v>100</v>
      </c>
      <c r="AD110" s="1">
        <f>IFERROR(__xludf.DUMMYFUNCTION("""COMPUTED_VALUE"""),8000.0)</f>
        <v>8000</v>
      </c>
      <c r="AE110" s="1">
        <f>IFERROR(__xludf.DUMMYFUNCTION("""COMPUTED_VALUE"""),100.0)</f>
        <v>100</v>
      </c>
      <c r="AF110" s="1">
        <f>IFERROR(__xludf.DUMMYFUNCTION("""COMPUTED_VALUE"""),8211.8603515625)</f>
        <v>8211.860352</v>
      </c>
      <c r="AG110" s="1"/>
      <c r="AH110" s="1"/>
      <c r="AI110" s="1">
        <f>IFERROR(__xludf.DUMMYFUNCTION("""COMPUTED_VALUE"""),0.0)</f>
        <v>0</v>
      </c>
      <c r="AJ110" s="1"/>
      <c r="AK110" s="1"/>
      <c r="AL110" s="1">
        <f>IFERROR(__xludf.DUMMYFUNCTION("""COMPUTED_VALUE"""),0.0)</f>
        <v>0</v>
      </c>
      <c r="AM110" s="1">
        <f>IFERROR(__xludf.DUMMYFUNCTION("""COMPUTED_VALUE"""),8010.0)</f>
        <v>8010</v>
      </c>
      <c r="AN110" s="1">
        <f>IFERROR(__xludf.DUMMYFUNCTION("""COMPUTED_VALUE"""),56.0)</f>
        <v>56</v>
      </c>
      <c r="AO110" s="1">
        <f>IFERROR(__xludf.DUMMYFUNCTION("""COMPUTED_VALUE"""),8010.0)</f>
        <v>8010</v>
      </c>
      <c r="AP110" s="1">
        <f>IFERROR(__xludf.DUMMYFUNCTION("""COMPUTED_VALUE"""),87.0)</f>
        <v>87</v>
      </c>
      <c r="AQ110" s="1">
        <f>IFERROR(__xludf.DUMMYFUNCTION("""COMPUTED_VALUE"""),100.0)</f>
        <v>100</v>
      </c>
      <c r="AR110" s="1">
        <f>IFERROR(__xludf.DUMMYFUNCTION("""COMPUTED_VALUE"""),8000.0)</f>
        <v>8000</v>
      </c>
      <c r="AS110" s="1">
        <f>IFERROR(__xludf.DUMMYFUNCTION("""COMPUTED_VALUE"""),100.0)</f>
        <v>100</v>
      </c>
    </row>
    <row r="111">
      <c r="A111" s="1" t="str">
        <f>IFERROR(__xludf.DUMMYFUNCTION("""COMPUTED_VALUE"""),"EES")</f>
        <v>EES</v>
      </c>
      <c r="B111" s="1"/>
      <c r="C111" s="1"/>
      <c r="D111" s="1">
        <f>IFERROR(__xludf.DUMMYFUNCTION("""COMPUTED_VALUE"""),55000.0)</f>
        <v>55000</v>
      </c>
      <c r="E111" s="1">
        <f>IFERROR(__xludf.DUMMYFUNCTION("""COMPUTED_VALUE"""),92.0)</f>
        <v>92</v>
      </c>
      <c r="F111" s="1">
        <f>IFERROR(__xludf.DUMMYFUNCTION("""COMPUTED_VALUE"""),55000.0)</f>
        <v>55000</v>
      </c>
      <c r="G111" s="1">
        <f>IFERROR(__xludf.DUMMYFUNCTION("""COMPUTED_VALUE"""),932.0)</f>
        <v>932</v>
      </c>
      <c r="H111" s="1"/>
      <c r="I111" s="1"/>
      <c r="J111" s="1">
        <f>IFERROR(__xludf.DUMMYFUNCTION("""COMPUTED_VALUE"""),0.0)</f>
        <v>0</v>
      </c>
      <c r="K111" s="1">
        <f>IFERROR(__xludf.DUMMYFUNCTION("""COMPUTED_VALUE"""),65000.0)</f>
        <v>65000</v>
      </c>
      <c r="L111" s="1">
        <f>IFERROR(__xludf.DUMMYFUNCTION("""COMPUTED_VALUE"""),5.0)</f>
        <v>5</v>
      </c>
      <c r="M111" s="1">
        <f>IFERROR(__xludf.DUMMYFUNCTION("""COMPUTED_VALUE"""),64000.0)</f>
        <v>64000</v>
      </c>
      <c r="N111" s="1">
        <f>IFERROR(__xludf.DUMMYFUNCTION("""COMPUTED_VALUE"""),58.0)</f>
        <v>58</v>
      </c>
      <c r="O111" s="1"/>
      <c r="P111" s="1"/>
      <c r="Q111" s="1">
        <f>IFERROR(__xludf.DUMMYFUNCTION("""COMPUTED_VALUE"""),0.0)</f>
        <v>0</v>
      </c>
      <c r="R111" s="1">
        <f>IFERROR(__xludf.DUMMYFUNCTION("""COMPUTED_VALUE"""),75000.0)</f>
        <v>75000</v>
      </c>
      <c r="S111" s="1">
        <f>IFERROR(__xludf.DUMMYFUNCTION("""COMPUTED_VALUE"""),2.0)</f>
        <v>2</v>
      </c>
      <c r="T111" s="1">
        <f>IFERROR(__xludf.DUMMYFUNCTION("""COMPUTED_VALUE"""),75000.0)</f>
        <v>75000</v>
      </c>
      <c r="U111" s="1">
        <f>IFERROR(__xludf.DUMMYFUNCTION("""COMPUTED_VALUE"""),7.0)</f>
        <v>7</v>
      </c>
      <c r="V111" s="1"/>
      <c r="W111" s="1"/>
      <c r="X111" s="1">
        <f>IFERROR(__xludf.DUMMYFUNCTION("""COMPUTED_VALUE"""),0.0)</f>
        <v>0</v>
      </c>
      <c r="Y111" s="1">
        <f>IFERROR(__xludf.DUMMYFUNCTION("""COMPUTED_VALUE"""),49900.0)</f>
        <v>49900</v>
      </c>
      <c r="Z111" s="1">
        <f>IFERROR(__xludf.DUMMYFUNCTION("""COMPUTED_VALUE"""),3.0)</f>
        <v>3</v>
      </c>
      <c r="AA111" s="1">
        <f>IFERROR(__xludf.DUMMYFUNCTION("""COMPUTED_VALUE"""),60000.0)</f>
        <v>60000</v>
      </c>
      <c r="AB111" s="1">
        <f>IFERROR(__xludf.DUMMYFUNCTION("""COMPUTED_VALUE"""),3.0)</f>
        <v>3</v>
      </c>
      <c r="AC111" s="1">
        <f>IFERROR(__xludf.DUMMYFUNCTION("""COMPUTED_VALUE"""),24.0)</f>
        <v>24</v>
      </c>
      <c r="AD111" s="1">
        <f>IFERROR(__xludf.DUMMYFUNCTION("""COMPUTED_VALUE"""),42000.0)</f>
        <v>42000</v>
      </c>
      <c r="AE111" s="1">
        <f>IFERROR(__xludf.DUMMYFUNCTION("""COMPUTED_VALUE"""),24.0)</f>
        <v>24</v>
      </c>
      <c r="AF111" s="1">
        <f>IFERROR(__xludf.DUMMYFUNCTION("""COMPUTED_VALUE"""),48394.19921875)</f>
        <v>48394.19922</v>
      </c>
      <c r="AG111" s="1"/>
      <c r="AH111" s="1"/>
      <c r="AI111" s="1">
        <f>IFERROR(__xludf.DUMMYFUNCTION("""COMPUTED_VALUE"""),0.0)</f>
        <v>0</v>
      </c>
      <c r="AJ111" s="1"/>
      <c r="AK111" s="1"/>
      <c r="AL111" s="1">
        <f>IFERROR(__xludf.DUMMYFUNCTION("""COMPUTED_VALUE"""),0.0)</f>
        <v>0</v>
      </c>
      <c r="AM111" s="1">
        <f>IFERROR(__xludf.DUMMYFUNCTION("""COMPUTED_VALUE"""),69700.0)</f>
        <v>69700</v>
      </c>
      <c r="AN111" s="1">
        <f>IFERROR(__xludf.DUMMYFUNCTION("""COMPUTED_VALUE"""),2.0)</f>
        <v>2</v>
      </c>
      <c r="AO111" s="1">
        <f>IFERROR(__xludf.DUMMYFUNCTION("""COMPUTED_VALUE"""),69500.0)</f>
        <v>69500</v>
      </c>
      <c r="AP111" s="1">
        <f>IFERROR(__xludf.DUMMYFUNCTION("""COMPUTED_VALUE"""),23.0)</f>
        <v>23</v>
      </c>
      <c r="AQ111" s="1"/>
      <c r="AR111" s="1"/>
      <c r="AS111" s="1">
        <f>IFERROR(__xludf.DUMMYFUNCTION("""COMPUTED_VALUE"""),0.0)</f>
        <v>0</v>
      </c>
    </row>
    <row r="112">
      <c r="A112" s="1" t="str">
        <f>IFERROR(__xludf.DUMMYFUNCTION("""COMPUTED_VALUE"""),"ENG")</f>
        <v>ENG</v>
      </c>
      <c r="B112" s="1"/>
      <c r="C112" s="1"/>
      <c r="D112" s="1">
        <f>IFERROR(__xludf.DUMMYFUNCTION("""COMPUTED_VALUE"""),999000.0)</f>
        <v>999000</v>
      </c>
      <c r="E112" s="1">
        <f>IFERROR(__xludf.DUMMYFUNCTION("""COMPUTED_VALUE"""),1.0)</f>
        <v>1</v>
      </c>
      <c r="F112" s="1">
        <f>IFERROR(__xludf.DUMMYFUNCTION("""COMPUTED_VALUE"""),988000.0)</f>
        <v>988000</v>
      </c>
      <c r="G112" s="1">
        <f>IFERROR(__xludf.DUMMYFUNCTION("""COMPUTED_VALUE"""),8.0)</f>
        <v>8</v>
      </c>
      <c r="H112" s="1">
        <f>IFERROR(__xludf.DUMMYFUNCTION("""COMPUTED_VALUE"""),1.0)</f>
        <v>1</v>
      </c>
      <c r="I112" s="1">
        <f>IFERROR(__xludf.DUMMYFUNCTION("""COMPUTED_VALUE"""),850000.0)</f>
        <v>850000</v>
      </c>
      <c r="J112" s="1">
        <f>IFERROR(__xludf.DUMMYFUNCTION("""COMPUTED_VALUE"""),1.0)</f>
        <v>1</v>
      </c>
      <c r="K112" s="1">
        <f>IFERROR(__xludf.DUMMYFUNCTION("""COMPUTED_VALUE"""),948000.0)</f>
        <v>948000</v>
      </c>
      <c r="L112" s="1">
        <f>IFERROR(__xludf.DUMMYFUNCTION("""COMPUTED_VALUE"""),1.0)</f>
        <v>1</v>
      </c>
      <c r="M112" s="1">
        <f>IFERROR(__xludf.DUMMYFUNCTION("""COMPUTED_VALUE"""),948000.0)</f>
        <v>948000</v>
      </c>
      <c r="N112" s="1">
        <f>IFERROR(__xludf.DUMMYFUNCTION("""COMPUTED_VALUE"""),17.0)</f>
        <v>17</v>
      </c>
      <c r="O112" s="1"/>
      <c r="P112" s="1"/>
      <c r="Q112" s="1">
        <f>IFERROR(__xludf.DUMMYFUNCTION("""COMPUTED_VALUE"""),0.0)</f>
        <v>0</v>
      </c>
      <c r="R112" s="1">
        <f>IFERROR(__xludf.DUMMYFUNCTION("""COMPUTED_VALUE"""),365225.5625)</f>
        <v>365225.5625</v>
      </c>
      <c r="S112" s="1"/>
      <c r="T112" s="1"/>
      <c r="U112" s="1">
        <f>IFERROR(__xludf.DUMMYFUNCTION("""COMPUTED_VALUE"""),0.0)</f>
        <v>0</v>
      </c>
      <c r="V112" s="1"/>
      <c r="W112" s="1"/>
      <c r="X112" s="1">
        <f>IFERROR(__xludf.DUMMYFUNCTION("""COMPUTED_VALUE"""),0.0)</f>
        <v>0</v>
      </c>
      <c r="Y112" s="1">
        <f>IFERROR(__xludf.DUMMYFUNCTION("""COMPUTED_VALUE"""),929000.0)</f>
        <v>929000</v>
      </c>
      <c r="Z112" s="1">
        <f>IFERROR(__xludf.DUMMYFUNCTION("""COMPUTED_VALUE"""),2.0)</f>
        <v>2</v>
      </c>
      <c r="AA112" s="1">
        <f>IFERROR(__xludf.DUMMYFUNCTION("""COMPUTED_VALUE"""),930000.0)</f>
        <v>930000</v>
      </c>
      <c r="AB112" s="1">
        <f>IFERROR(__xludf.DUMMYFUNCTION("""COMPUTED_VALUE"""),7.0)</f>
        <v>7</v>
      </c>
      <c r="AC112" s="1">
        <f>IFERROR(__xludf.DUMMYFUNCTION("""COMPUTED_VALUE"""),1.0)</f>
        <v>1</v>
      </c>
      <c r="AD112" s="1">
        <f>IFERROR(__xludf.DUMMYFUNCTION("""COMPUTED_VALUE"""),357000.0)</f>
        <v>357000</v>
      </c>
      <c r="AE112" s="1">
        <f>IFERROR(__xludf.DUMMYFUNCTION("""COMPUTED_VALUE"""),2.0)</f>
        <v>2</v>
      </c>
      <c r="AF112" s="1">
        <f>IFERROR(__xludf.DUMMYFUNCTION("""COMPUTED_VALUE"""),365225.5625)</f>
        <v>365225.5625</v>
      </c>
      <c r="AG112" s="1"/>
      <c r="AH112" s="1"/>
      <c r="AI112" s="1">
        <f>IFERROR(__xludf.DUMMYFUNCTION("""COMPUTED_VALUE"""),0.0)</f>
        <v>0</v>
      </c>
      <c r="AJ112" s="1"/>
      <c r="AK112" s="1"/>
      <c r="AL112" s="1">
        <f>IFERROR(__xludf.DUMMYFUNCTION("""COMPUTED_VALUE"""),0.0)</f>
        <v>0</v>
      </c>
      <c r="AM112" s="1">
        <f>IFERROR(__xludf.DUMMYFUNCTION("""COMPUTED_VALUE"""),889500.0)</f>
        <v>889500</v>
      </c>
      <c r="AN112" s="1">
        <f>IFERROR(__xludf.DUMMYFUNCTION("""COMPUTED_VALUE"""),1.0)</f>
        <v>1</v>
      </c>
      <c r="AO112" s="1">
        <f>IFERROR(__xludf.DUMMYFUNCTION("""COMPUTED_VALUE"""),1090000.0)</f>
        <v>1090000</v>
      </c>
      <c r="AP112" s="1">
        <f>IFERROR(__xludf.DUMMYFUNCTION("""COMPUTED_VALUE"""),2.0)</f>
        <v>2</v>
      </c>
      <c r="AQ112" s="1">
        <f>IFERROR(__xludf.DUMMYFUNCTION("""COMPUTED_VALUE"""),1.0)</f>
        <v>1</v>
      </c>
      <c r="AR112" s="1">
        <f>IFERROR(__xludf.DUMMYFUNCTION("""COMPUTED_VALUE"""),800000.0)</f>
        <v>800000</v>
      </c>
      <c r="AS112" s="1">
        <f>IFERROR(__xludf.DUMMYFUNCTION("""COMPUTED_VALUE"""),1.0)</f>
        <v>1</v>
      </c>
    </row>
    <row r="113">
      <c r="A113" s="1" t="str">
        <f>IFERROR(__xludf.DUMMYFUNCTION("""COMPUTED_VALUE"""),"EPO")</f>
        <v>EPO</v>
      </c>
      <c r="B113" s="1"/>
      <c r="C113" s="1"/>
      <c r="D113" s="1">
        <f>IFERROR(__xludf.DUMMYFUNCTION("""COMPUTED_VALUE"""),163.460006713867)</f>
        <v>163.4600067</v>
      </c>
      <c r="E113" s="1">
        <f>IFERROR(__xludf.DUMMYFUNCTION("""COMPUTED_VALUE"""),18590.0)</f>
        <v>18590</v>
      </c>
      <c r="F113" s="1">
        <f>IFERROR(__xludf.DUMMYFUNCTION("""COMPUTED_VALUE"""),170.0)</f>
        <v>170</v>
      </c>
      <c r="G113" s="1">
        <f>IFERROR(__xludf.DUMMYFUNCTION("""COMPUTED_VALUE"""),573071.0)</f>
        <v>573071</v>
      </c>
      <c r="H113" s="1">
        <f>IFERROR(__xludf.DUMMYFUNCTION("""COMPUTED_VALUE"""),1750.0)</f>
        <v>1750</v>
      </c>
      <c r="I113" s="1">
        <f>IFERROR(__xludf.DUMMYFUNCTION("""COMPUTED_VALUE"""),163.0)</f>
        <v>163</v>
      </c>
      <c r="J113" s="1">
        <f>IFERROR(__xludf.DUMMYFUNCTION("""COMPUTED_VALUE"""),309864.0)</f>
        <v>309864</v>
      </c>
      <c r="K113" s="1">
        <f>IFERROR(__xludf.DUMMYFUNCTION("""COMPUTED_VALUE"""),162.0)</f>
        <v>162</v>
      </c>
      <c r="L113" s="1">
        <f>IFERROR(__xludf.DUMMYFUNCTION("""COMPUTED_VALUE"""),1440.0)</f>
        <v>1440</v>
      </c>
      <c r="M113" s="1">
        <f>IFERROR(__xludf.DUMMYFUNCTION("""COMPUTED_VALUE"""),162.0)</f>
        <v>162</v>
      </c>
      <c r="N113" s="1">
        <f>IFERROR(__xludf.DUMMYFUNCTION("""COMPUTED_VALUE"""),207955.0)</f>
        <v>207955</v>
      </c>
      <c r="O113" s="1">
        <f>IFERROR(__xludf.DUMMYFUNCTION("""COMPUTED_VALUE"""),1132.0)</f>
        <v>1132</v>
      </c>
      <c r="P113" s="1">
        <f>IFERROR(__xludf.DUMMYFUNCTION("""COMPUTED_VALUE"""),157.0)</f>
        <v>157</v>
      </c>
      <c r="Q113" s="1">
        <f>IFERROR(__xludf.DUMMYFUNCTION("""COMPUTED_VALUE"""),129044.0)</f>
        <v>129044</v>
      </c>
      <c r="R113" s="1">
        <f>IFERROR(__xludf.DUMMYFUNCTION("""COMPUTED_VALUE"""),190.0)</f>
        <v>190</v>
      </c>
      <c r="S113" s="1">
        <f>IFERROR(__xludf.DUMMYFUNCTION("""COMPUTED_VALUE"""),7206.0)</f>
        <v>7206</v>
      </c>
      <c r="T113" s="1">
        <f>IFERROR(__xludf.DUMMYFUNCTION("""COMPUTED_VALUE"""),190.0)</f>
        <v>190</v>
      </c>
      <c r="U113" s="1">
        <f>IFERROR(__xludf.DUMMYFUNCTION("""COMPUTED_VALUE"""),7206.0)</f>
        <v>7206</v>
      </c>
      <c r="V113" s="1">
        <f>IFERROR(__xludf.DUMMYFUNCTION("""COMPUTED_VALUE"""),500.0)</f>
        <v>500</v>
      </c>
      <c r="W113" s="1">
        <f>IFERROR(__xludf.DUMMYFUNCTION("""COMPUTED_VALUE"""),100.0)</f>
        <v>100</v>
      </c>
      <c r="X113" s="1">
        <f>IFERROR(__xludf.DUMMYFUNCTION("""COMPUTED_VALUE"""),500.0)</f>
        <v>500</v>
      </c>
      <c r="Y113" s="1">
        <f>IFERROR(__xludf.DUMMYFUNCTION("""COMPUTED_VALUE"""),177.710006713867)</f>
        <v>177.7100067</v>
      </c>
      <c r="Z113" s="1">
        <f>IFERROR(__xludf.DUMMYFUNCTION("""COMPUTED_VALUE"""),600.0)</f>
        <v>600</v>
      </c>
      <c r="AA113" s="1">
        <f>IFERROR(__xludf.DUMMYFUNCTION("""COMPUTED_VALUE"""),178.0)</f>
        <v>178</v>
      </c>
      <c r="AB113" s="1">
        <f>IFERROR(__xludf.DUMMYFUNCTION("""COMPUTED_VALUE"""),252151.0)</f>
        <v>252151</v>
      </c>
      <c r="AC113" s="1">
        <f>IFERROR(__xludf.DUMMYFUNCTION("""COMPUTED_VALUE"""),5000.0)</f>
        <v>5000</v>
      </c>
      <c r="AD113" s="1">
        <f>IFERROR(__xludf.DUMMYFUNCTION("""COMPUTED_VALUE"""),162.0)</f>
        <v>162</v>
      </c>
      <c r="AE113" s="1">
        <f>IFERROR(__xludf.DUMMYFUNCTION("""COMPUTED_VALUE"""),187949.0)</f>
        <v>187949</v>
      </c>
      <c r="AF113" s="1">
        <f>IFERROR(__xludf.DUMMYFUNCTION("""COMPUTED_VALUE"""),170.0)</f>
        <v>170</v>
      </c>
      <c r="AG113" s="1">
        <f>IFERROR(__xludf.DUMMYFUNCTION("""COMPUTED_VALUE"""),11360.0)</f>
        <v>11360</v>
      </c>
      <c r="AH113" s="1">
        <f>IFERROR(__xludf.DUMMYFUNCTION("""COMPUTED_VALUE"""),170.0)</f>
        <v>170</v>
      </c>
      <c r="AI113" s="1">
        <f>IFERROR(__xludf.DUMMYFUNCTION("""COMPUTED_VALUE"""),15260.0)</f>
        <v>15260</v>
      </c>
      <c r="AJ113" s="1">
        <f>IFERROR(__xludf.DUMMYFUNCTION("""COMPUTED_VALUE"""),500.0)</f>
        <v>500</v>
      </c>
      <c r="AK113" s="1">
        <f>IFERROR(__xludf.DUMMYFUNCTION("""COMPUTED_VALUE"""),100.0)</f>
        <v>100</v>
      </c>
      <c r="AL113" s="1">
        <f>IFERROR(__xludf.DUMMYFUNCTION("""COMPUTED_VALUE"""),500.0)</f>
        <v>500</v>
      </c>
      <c r="AM113" s="1">
        <f>IFERROR(__xludf.DUMMYFUNCTION("""COMPUTED_VALUE"""),153.0)</f>
        <v>153</v>
      </c>
      <c r="AN113" s="1">
        <f>IFERROR(__xludf.DUMMYFUNCTION("""COMPUTED_VALUE"""),250.0)</f>
        <v>250</v>
      </c>
      <c r="AO113" s="1">
        <f>IFERROR(__xludf.DUMMYFUNCTION("""COMPUTED_VALUE"""),170.0)</f>
        <v>170</v>
      </c>
      <c r="AP113" s="1">
        <f>IFERROR(__xludf.DUMMYFUNCTION("""COMPUTED_VALUE"""),81758.0)</f>
        <v>81758</v>
      </c>
      <c r="AQ113" s="1">
        <f>IFERROR(__xludf.DUMMYFUNCTION("""COMPUTED_VALUE"""),36997.0)</f>
        <v>36997</v>
      </c>
      <c r="AR113" s="1">
        <f>IFERROR(__xludf.DUMMYFUNCTION("""COMPUTED_VALUE"""),153.0)</f>
        <v>153</v>
      </c>
      <c r="AS113" s="1">
        <f>IFERROR(__xludf.DUMMYFUNCTION("""COMPUTED_VALUE"""),178718.0)</f>
        <v>178718</v>
      </c>
    </row>
    <row r="114">
      <c r="A114" s="1" t="str">
        <f>IFERROR(__xludf.DUMMYFUNCTION("""COMPUTED_VALUE"""),"ES")</f>
        <v>ES</v>
      </c>
      <c r="B114" s="1"/>
      <c r="C114" s="1"/>
      <c r="D114" s="1">
        <f>IFERROR(__xludf.DUMMYFUNCTION("""COMPUTED_VALUE"""),1500.0)</f>
        <v>1500</v>
      </c>
      <c r="E114" s="1">
        <f>IFERROR(__xludf.DUMMYFUNCTION("""COMPUTED_VALUE"""),325.0)</f>
        <v>325</v>
      </c>
      <c r="F114" s="1">
        <f>IFERROR(__xludf.DUMMYFUNCTION("""COMPUTED_VALUE"""),1500.0)</f>
        <v>1500</v>
      </c>
      <c r="G114" s="1">
        <f>IFERROR(__xludf.DUMMYFUNCTION("""COMPUTED_VALUE"""),4830.0)</f>
        <v>4830</v>
      </c>
      <c r="H114" s="1">
        <f>IFERROR(__xludf.DUMMYFUNCTION("""COMPUTED_VALUE"""),310.0)</f>
        <v>310</v>
      </c>
      <c r="I114" s="1">
        <f>IFERROR(__xludf.DUMMYFUNCTION("""COMPUTED_VALUE"""),1100.0)</f>
        <v>1100</v>
      </c>
      <c r="J114" s="1">
        <f>IFERROR(__xludf.DUMMYFUNCTION("""COMPUTED_VALUE"""),310.0)</f>
        <v>310</v>
      </c>
      <c r="K114" s="1">
        <f>IFERROR(__xludf.DUMMYFUNCTION("""COMPUTED_VALUE"""),1410.0)</f>
        <v>1410</v>
      </c>
      <c r="L114" s="1">
        <f>IFERROR(__xludf.DUMMYFUNCTION("""COMPUTED_VALUE"""),596.0)</f>
        <v>596</v>
      </c>
      <c r="M114" s="1">
        <f>IFERROR(__xludf.DUMMYFUNCTION("""COMPUTED_VALUE"""),1410.0)</f>
        <v>1410</v>
      </c>
      <c r="N114" s="1">
        <f>IFERROR(__xludf.DUMMYFUNCTION("""COMPUTED_VALUE"""),27536.0)</f>
        <v>27536</v>
      </c>
      <c r="O114" s="1">
        <f>IFERROR(__xludf.DUMMYFUNCTION("""COMPUTED_VALUE"""),20.0)</f>
        <v>20</v>
      </c>
      <c r="P114" s="1">
        <f>IFERROR(__xludf.DUMMYFUNCTION("""COMPUTED_VALUE"""),1100.0)</f>
        <v>1100</v>
      </c>
      <c r="Q114" s="1">
        <f>IFERROR(__xludf.DUMMYFUNCTION("""COMPUTED_VALUE"""),1778.0)</f>
        <v>1778</v>
      </c>
      <c r="R114" s="1">
        <f>IFERROR(__xludf.DUMMYFUNCTION("""COMPUTED_VALUE"""),1650.0)</f>
        <v>1650</v>
      </c>
      <c r="S114" s="1">
        <f>IFERROR(__xludf.DUMMYFUNCTION("""COMPUTED_VALUE"""),100.0)</f>
        <v>100</v>
      </c>
      <c r="T114" s="1">
        <f>IFERROR(__xludf.DUMMYFUNCTION("""COMPUTED_VALUE"""),2000.0)</f>
        <v>2000</v>
      </c>
      <c r="U114" s="1">
        <f>IFERROR(__xludf.DUMMYFUNCTION("""COMPUTED_VALUE"""),100.0)</f>
        <v>100</v>
      </c>
      <c r="V114" s="1"/>
      <c r="W114" s="1"/>
      <c r="X114" s="1">
        <f>IFERROR(__xludf.DUMMYFUNCTION("""COMPUTED_VALUE"""),0.0)</f>
        <v>0</v>
      </c>
      <c r="Y114" s="1">
        <f>IFERROR(__xludf.DUMMYFUNCTION("""COMPUTED_VALUE"""),1535.92004394531)</f>
        <v>1535.920044</v>
      </c>
      <c r="Z114" s="1">
        <f>IFERROR(__xludf.DUMMYFUNCTION("""COMPUTED_VALUE"""),744.0)</f>
        <v>744</v>
      </c>
      <c r="AA114" s="1">
        <f>IFERROR(__xludf.DUMMYFUNCTION("""COMPUTED_VALUE"""),1540.0)</f>
        <v>1540</v>
      </c>
      <c r="AB114" s="1">
        <f>IFERROR(__xludf.DUMMYFUNCTION("""COMPUTED_VALUE"""),20178.0)</f>
        <v>20178</v>
      </c>
      <c r="AC114" s="1">
        <f>IFERROR(__xludf.DUMMYFUNCTION("""COMPUTED_VALUE"""),1000.0)</f>
        <v>1000</v>
      </c>
      <c r="AD114" s="1">
        <f>IFERROR(__xludf.DUMMYFUNCTION("""COMPUTED_VALUE"""),1110.0)</f>
        <v>1110</v>
      </c>
      <c r="AE114" s="1">
        <f>IFERROR(__xludf.DUMMYFUNCTION("""COMPUTED_VALUE"""),2802.0)</f>
        <v>2802</v>
      </c>
      <c r="AF114" s="1">
        <f>IFERROR(__xludf.DUMMYFUNCTION("""COMPUTED_VALUE"""),1875.34997558593)</f>
        <v>1875.349976</v>
      </c>
      <c r="AG114" s="1">
        <f>IFERROR(__xludf.DUMMYFUNCTION("""COMPUTED_VALUE"""),20.0)</f>
        <v>20</v>
      </c>
      <c r="AH114" s="1">
        <f>IFERROR(__xludf.DUMMYFUNCTION("""COMPUTED_VALUE"""),1440.0)</f>
        <v>1440</v>
      </c>
      <c r="AI114" s="1">
        <f>IFERROR(__xludf.DUMMYFUNCTION("""COMPUTED_VALUE"""),20.0)</f>
        <v>20</v>
      </c>
      <c r="AJ114" s="1"/>
      <c r="AK114" s="1"/>
      <c r="AL114" s="1">
        <f>IFERROR(__xludf.DUMMYFUNCTION("""COMPUTED_VALUE"""),0.0)</f>
        <v>0</v>
      </c>
      <c r="AM114" s="1">
        <f>IFERROR(__xludf.DUMMYFUNCTION("""COMPUTED_VALUE"""),1500.0)</f>
        <v>1500</v>
      </c>
      <c r="AN114" s="1">
        <f>IFERROR(__xludf.DUMMYFUNCTION("""COMPUTED_VALUE"""),54.0)</f>
        <v>54</v>
      </c>
      <c r="AO114" s="1">
        <f>IFERROR(__xludf.DUMMYFUNCTION("""COMPUTED_VALUE"""),1590.0)</f>
        <v>1590</v>
      </c>
      <c r="AP114" s="1">
        <f>IFERROR(__xludf.DUMMYFUNCTION("""COMPUTED_VALUE"""),1238.0)</f>
        <v>1238</v>
      </c>
      <c r="AQ114" s="1">
        <f>IFERROR(__xludf.DUMMYFUNCTION("""COMPUTED_VALUE"""),194.0)</f>
        <v>194</v>
      </c>
      <c r="AR114" s="1">
        <f>IFERROR(__xludf.DUMMYFUNCTION("""COMPUTED_VALUE"""),1500.0)</f>
        <v>1500</v>
      </c>
      <c r="AS114" s="1">
        <f>IFERROR(__xludf.DUMMYFUNCTION("""COMPUTED_VALUE"""),1244.0)</f>
        <v>1244</v>
      </c>
    </row>
    <row r="115">
      <c r="A115" s="1" t="str">
        <f>IFERROR(__xludf.DUMMYFUNCTION("""COMPUTED_VALUE"""),"ETC")</f>
        <v>ETC</v>
      </c>
      <c r="B115" s="1"/>
      <c r="C115" s="1"/>
      <c r="D115" s="1">
        <f>IFERROR(__xludf.DUMMYFUNCTION("""COMPUTED_VALUE"""),40000.0)</f>
        <v>40000</v>
      </c>
      <c r="E115" s="1">
        <f>IFERROR(__xludf.DUMMYFUNCTION("""COMPUTED_VALUE"""),1.0)</f>
        <v>1</v>
      </c>
      <c r="F115" s="1">
        <f>IFERROR(__xludf.DUMMYFUNCTION("""COMPUTED_VALUE"""),39900.0)</f>
        <v>39900</v>
      </c>
      <c r="G115" s="1">
        <f>IFERROR(__xludf.DUMMYFUNCTION("""COMPUTED_VALUE"""),178.0)</f>
        <v>178</v>
      </c>
      <c r="H115" s="1">
        <f>IFERROR(__xludf.DUMMYFUNCTION("""COMPUTED_VALUE"""),4.0)</f>
        <v>4</v>
      </c>
      <c r="I115" s="1">
        <f>IFERROR(__xludf.DUMMYFUNCTION("""COMPUTED_VALUE"""),12000.0)</f>
        <v>12000</v>
      </c>
      <c r="J115" s="1">
        <f>IFERROR(__xludf.DUMMYFUNCTION("""COMPUTED_VALUE"""),4.0)</f>
        <v>4</v>
      </c>
      <c r="K115" s="1">
        <f>IFERROR(__xludf.DUMMYFUNCTION("""COMPUTED_VALUE"""),24000.0)</f>
        <v>24000</v>
      </c>
      <c r="L115" s="1"/>
      <c r="M115" s="1"/>
      <c r="N115" s="1">
        <f>IFERROR(__xludf.DUMMYFUNCTION("""COMPUTED_VALUE"""),0.0)</f>
        <v>0</v>
      </c>
      <c r="O115" s="1"/>
      <c r="P115" s="1"/>
      <c r="Q115" s="1">
        <f>IFERROR(__xludf.DUMMYFUNCTION("""COMPUTED_VALUE"""),0.0)</f>
        <v>0</v>
      </c>
      <c r="R115" s="1">
        <f>IFERROR(__xludf.DUMMYFUNCTION("""COMPUTED_VALUE"""),15000.0)</f>
        <v>15000</v>
      </c>
      <c r="S115" s="1"/>
      <c r="T115" s="1"/>
      <c r="U115" s="1">
        <f>IFERROR(__xludf.DUMMYFUNCTION("""COMPUTED_VALUE"""),0.0)</f>
        <v>0</v>
      </c>
      <c r="V115" s="1"/>
      <c r="W115" s="1"/>
      <c r="X115" s="1">
        <f>IFERROR(__xludf.DUMMYFUNCTION("""COMPUTED_VALUE"""),0.0)</f>
        <v>0</v>
      </c>
      <c r="Y115" s="1">
        <f>IFERROR(__xludf.DUMMYFUNCTION("""COMPUTED_VALUE"""),20000.0)</f>
        <v>20000</v>
      </c>
      <c r="Z115" s="1">
        <f>IFERROR(__xludf.DUMMYFUNCTION("""COMPUTED_VALUE"""),7.0)</f>
        <v>7</v>
      </c>
      <c r="AA115" s="1">
        <f>IFERROR(__xludf.DUMMYFUNCTION("""COMPUTED_VALUE"""),24000.0)</f>
        <v>24000</v>
      </c>
      <c r="AB115" s="1">
        <f>IFERROR(__xludf.DUMMYFUNCTION("""COMPUTED_VALUE"""),7.0)</f>
        <v>7</v>
      </c>
      <c r="AC115" s="1">
        <f>IFERROR(__xludf.DUMMYFUNCTION("""COMPUTED_VALUE"""),100.0)</f>
        <v>100</v>
      </c>
      <c r="AD115" s="1">
        <f>IFERROR(__xludf.DUMMYFUNCTION("""COMPUTED_VALUE"""),11400.0)</f>
        <v>11400</v>
      </c>
      <c r="AE115" s="1">
        <f>IFERROR(__xludf.DUMMYFUNCTION("""COMPUTED_VALUE"""),190.0)</f>
        <v>190</v>
      </c>
      <c r="AF115" s="1">
        <f>IFERROR(__xludf.DUMMYFUNCTION("""COMPUTED_VALUE"""),10235.5302734375)</f>
        <v>10235.53027</v>
      </c>
      <c r="AG115" s="1"/>
      <c r="AH115" s="1"/>
      <c r="AI115" s="1">
        <f>IFERROR(__xludf.DUMMYFUNCTION("""COMPUTED_VALUE"""),0.0)</f>
        <v>0</v>
      </c>
      <c r="AJ115" s="1"/>
      <c r="AK115" s="1"/>
      <c r="AL115" s="1">
        <f>IFERROR(__xludf.DUMMYFUNCTION("""COMPUTED_VALUE"""),0.0)</f>
        <v>0</v>
      </c>
      <c r="AM115" s="1">
        <f>IFERROR(__xludf.DUMMYFUNCTION("""COMPUTED_VALUE"""),24000.0)</f>
        <v>24000</v>
      </c>
      <c r="AN115" s="1">
        <f>IFERROR(__xludf.DUMMYFUNCTION("""COMPUTED_VALUE"""),4.0)</f>
        <v>4</v>
      </c>
      <c r="AO115" s="1">
        <f>IFERROR(__xludf.DUMMYFUNCTION("""COMPUTED_VALUE"""),24000.0)</f>
        <v>24000</v>
      </c>
      <c r="AP115" s="1">
        <f>IFERROR(__xludf.DUMMYFUNCTION("""COMPUTED_VALUE"""),4.0)</f>
        <v>4</v>
      </c>
      <c r="AQ115" s="1">
        <f>IFERROR(__xludf.DUMMYFUNCTION("""COMPUTED_VALUE"""),8.0)</f>
        <v>8</v>
      </c>
      <c r="AR115" s="1">
        <f>IFERROR(__xludf.DUMMYFUNCTION("""COMPUTED_VALUE"""),8900.0)</f>
        <v>8900</v>
      </c>
      <c r="AS115" s="1">
        <f>IFERROR(__xludf.DUMMYFUNCTION("""COMPUTED_VALUE"""),8.0)</f>
        <v>8</v>
      </c>
    </row>
    <row r="116">
      <c r="A116" s="1" t="str">
        <f>IFERROR(__xludf.DUMMYFUNCTION("""COMPUTED_VALUE"""),"EXO")</f>
        <v>EXO</v>
      </c>
      <c r="B116" s="1"/>
      <c r="C116" s="1"/>
      <c r="D116" s="1">
        <f>IFERROR(__xludf.DUMMYFUNCTION("""COMPUTED_VALUE"""),325.0)</f>
        <v>325</v>
      </c>
      <c r="E116" s="1">
        <f>IFERROR(__xludf.DUMMYFUNCTION("""COMPUTED_VALUE"""),466.0)</f>
        <v>466</v>
      </c>
      <c r="F116" s="1">
        <f>IFERROR(__xludf.DUMMYFUNCTION("""COMPUTED_VALUE"""),325.0)</f>
        <v>325</v>
      </c>
      <c r="G116" s="1">
        <f>IFERROR(__xludf.DUMMYFUNCTION("""COMPUTED_VALUE"""),11252.0)</f>
        <v>11252</v>
      </c>
      <c r="H116" s="1">
        <f>IFERROR(__xludf.DUMMYFUNCTION("""COMPUTED_VALUE"""),117.0)</f>
        <v>117</v>
      </c>
      <c r="I116" s="1">
        <f>IFERROR(__xludf.DUMMYFUNCTION("""COMPUTED_VALUE"""),261.0)</f>
        <v>261</v>
      </c>
      <c r="J116" s="1">
        <f>IFERROR(__xludf.DUMMYFUNCTION("""COMPUTED_VALUE"""),20072.0)</f>
        <v>20072</v>
      </c>
      <c r="K116" s="1">
        <f>IFERROR(__xludf.DUMMYFUNCTION("""COMPUTED_VALUE"""),261.25)</f>
        <v>261.25</v>
      </c>
      <c r="L116" s="1">
        <f>IFERROR(__xludf.DUMMYFUNCTION("""COMPUTED_VALUE"""),265.0)</f>
        <v>265</v>
      </c>
      <c r="M116" s="1">
        <f>IFERROR(__xludf.DUMMYFUNCTION("""COMPUTED_VALUE"""),268.0)</f>
        <v>268</v>
      </c>
      <c r="N116" s="1">
        <f>IFERROR(__xludf.DUMMYFUNCTION("""COMPUTED_VALUE"""),24389.0)</f>
        <v>24389</v>
      </c>
      <c r="O116" s="1">
        <f>IFERROR(__xludf.DUMMYFUNCTION("""COMPUTED_VALUE"""),618.0)</f>
        <v>618</v>
      </c>
      <c r="P116" s="1">
        <f>IFERROR(__xludf.DUMMYFUNCTION("""COMPUTED_VALUE"""),261.0)</f>
        <v>261</v>
      </c>
      <c r="Q116" s="1">
        <f>IFERROR(__xludf.DUMMYFUNCTION("""COMPUTED_VALUE"""),8489.0)</f>
        <v>8489</v>
      </c>
      <c r="R116" s="1">
        <f>IFERROR(__xludf.DUMMYFUNCTION("""COMPUTED_VALUE"""),299.0)</f>
        <v>299</v>
      </c>
      <c r="S116" s="1">
        <f>IFERROR(__xludf.DUMMYFUNCTION("""COMPUTED_VALUE"""),590.0)</f>
        <v>590</v>
      </c>
      <c r="T116" s="1">
        <f>IFERROR(__xludf.DUMMYFUNCTION("""COMPUTED_VALUE"""),299.0)</f>
        <v>299</v>
      </c>
      <c r="U116" s="1">
        <f>IFERROR(__xludf.DUMMYFUNCTION("""COMPUTED_VALUE"""),1690.0)</f>
        <v>1690</v>
      </c>
      <c r="V116" s="1"/>
      <c r="W116" s="1"/>
      <c r="X116" s="1">
        <f>IFERROR(__xludf.DUMMYFUNCTION("""COMPUTED_VALUE"""),0.0)</f>
        <v>0</v>
      </c>
      <c r="Y116" s="1">
        <f>IFERROR(__xludf.DUMMYFUNCTION("""COMPUTED_VALUE"""),310.0)</f>
        <v>310</v>
      </c>
      <c r="Z116" s="1">
        <f>IFERROR(__xludf.DUMMYFUNCTION("""COMPUTED_VALUE"""),286.0)</f>
        <v>286</v>
      </c>
      <c r="AA116" s="1">
        <f>IFERROR(__xludf.DUMMYFUNCTION("""COMPUTED_VALUE"""),310.0)</f>
        <v>310</v>
      </c>
      <c r="AB116" s="1">
        <f>IFERROR(__xludf.DUMMYFUNCTION("""COMPUTED_VALUE"""),15775.0)</f>
        <v>15775</v>
      </c>
      <c r="AC116" s="1">
        <f>IFERROR(__xludf.DUMMYFUNCTION("""COMPUTED_VALUE"""),15.0)</f>
        <v>15</v>
      </c>
      <c r="AD116" s="1">
        <f>IFERROR(__xludf.DUMMYFUNCTION("""COMPUTED_VALUE"""),301.0)</f>
        <v>301</v>
      </c>
      <c r="AE116" s="1">
        <f>IFERROR(__xludf.DUMMYFUNCTION("""COMPUTED_VALUE"""),18963.0)</f>
        <v>18963</v>
      </c>
      <c r="AF116" s="1">
        <f>IFERROR(__xludf.DUMMYFUNCTION("""COMPUTED_VALUE"""),310.0)</f>
        <v>310</v>
      </c>
      <c r="AG116" s="1">
        <f>IFERROR(__xludf.DUMMYFUNCTION("""COMPUTED_VALUE"""),352.0)</f>
        <v>352</v>
      </c>
      <c r="AH116" s="1">
        <f>IFERROR(__xludf.DUMMYFUNCTION("""COMPUTED_VALUE"""),310.0)</f>
        <v>310</v>
      </c>
      <c r="AI116" s="1">
        <f>IFERROR(__xludf.DUMMYFUNCTION("""COMPUTED_VALUE"""),2717.0)</f>
        <v>2717</v>
      </c>
      <c r="AJ116" s="1"/>
      <c r="AK116" s="1"/>
      <c r="AL116" s="1">
        <f>IFERROR(__xludf.DUMMYFUNCTION("""COMPUTED_VALUE"""),0.0)</f>
        <v>0</v>
      </c>
      <c r="AM116" s="1">
        <f>IFERROR(__xludf.DUMMYFUNCTION("""COMPUTED_VALUE"""),332.0)</f>
        <v>332</v>
      </c>
      <c r="AN116" s="1">
        <f>IFERROR(__xludf.DUMMYFUNCTION("""COMPUTED_VALUE"""),1716.0)</f>
        <v>1716</v>
      </c>
      <c r="AO116" s="1">
        <f>IFERROR(__xludf.DUMMYFUNCTION("""COMPUTED_VALUE"""),332.0)</f>
        <v>332</v>
      </c>
      <c r="AP116" s="1">
        <f>IFERROR(__xludf.DUMMYFUNCTION("""COMPUTED_VALUE"""),14930.0)</f>
        <v>14930</v>
      </c>
      <c r="AQ116" s="1">
        <f>IFERROR(__xludf.DUMMYFUNCTION("""COMPUTED_VALUE"""),456.0)</f>
        <v>456</v>
      </c>
      <c r="AR116" s="1">
        <f>IFERROR(__xludf.DUMMYFUNCTION("""COMPUTED_VALUE"""),330.0)</f>
        <v>330</v>
      </c>
      <c r="AS116" s="1">
        <f>IFERROR(__xludf.DUMMYFUNCTION("""COMPUTED_VALUE"""),11090.0)</f>
        <v>11090</v>
      </c>
    </row>
    <row r="117">
      <c r="A117" s="1" t="str">
        <f>IFERROR(__xludf.DUMMYFUNCTION("""COMPUTED_VALUE"""),"F")</f>
        <v>F</v>
      </c>
      <c r="B117" s="1"/>
      <c r="C117" s="1"/>
      <c r="D117" s="1">
        <f>IFERROR(__xludf.DUMMYFUNCTION("""COMPUTED_VALUE"""),2750.0)</f>
        <v>2750</v>
      </c>
      <c r="E117" s="1">
        <f>IFERROR(__xludf.DUMMYFUNCTION("""COMPUTED_VALUE"""),24.0)</f>
        <v>24</v>
      </c>
      <c r="F117" s="1">
        <f>IFERROR(__xludf.DUMMYFUNCTION("""COMPUTED_VALUE"""),2750.0)</f>
        <v>2750</v>
      </c>
      <c r="G117" s="1">
        <f>IFERROR(__xludf.DUMMYFUNCTION("""COMPUTED_VALUE"""),245.0)</f>
        <v>245</v>
      </c>
      <c r="H117" s="1">
        <f>IFERROR(__xludf.DUMMYFUNCTION("""COMPUTED_VALUE"""),10.0)</f>
        <v>10</v>
      </c>
      <c r="I117" s="1">
        <f>IFERROR(__xludf.DUMMYFUNCTION("""COMPUTED_VALUE"""),1010.0)</f>
        <v>1010</v>
      </c>
      <c r="J117" s="1">
        <f>IFERROR(__xludf.DUMMYFUNCTION("""COMPUTED_VALUE"""),410.0)</f>
        <v>410</v>
      </c>
      <c r="K117" s="1">
        <f>IFERROR(__xludf.DUMMYFUNCTION("""COMPUTED_VALUE"""),1500.0)</f>
        <v>1500</v>
      </c>
      <c r="L117" s="1">
        <f>IFERROR(__xludf.DUMMYFUNCTION("""COMPUTED_VALUE"""),44.0)</f>
        <v>44</v>
      </c>
      <c r="M117" s="1">
        <f>IFERROR(__xludf.DUMMYFUNCTION("""COMPUTED_VALUE"""),5000.0)</f>
        <v>5000</v>
      </c>
      <c r="N117" s="1">
        <f>IFERROR(__xludf.DUMMYFUNCTION("""COMPUTED_VALUE"""),144.0)</f>
        <v>144</v>
      </c>
      <c r="O117" s="1">
        <f>IFERROR(__xludf.DUMMYFUNCTION("""COMPUTED_VALUE"""),5.0)</f>
        <v>5</v>
      </c>
      <c r="P117" s="1">
        <f>IFERROR(__xludf.DUMMYFUNCTION("""COMPUTED_VALUE"""),1000.0)</f>
        <v>1000</v>
      </c>
      <c r="Q117" s="1">
        <f>IFERROR(__xludf.DUMMYFUNCTION("""COMPUTED_VALUE"""),70.0)</f>
        <v>70</v>
      </c>
      <c r="R117" s="1">
        <f>IFERROR(__xludf.DUMMYFUNCTION("""COMPUTED_VALUE"""),1000.0)</f>
        <v>1000</v>
      </c>
      <c r="S117" s="1"/>
      <c r="T117" s="1"/>
      <c r="U117" s="1">
        <f>IFERROR(__xludf.DUMMYFUNCTION("""COMPUTED_VALUE"""),0.0)</f>
        <v>0</v>
      </c>
      <c r="V117" s="1"/>
      <c r="W117" s="1"/>
      <c r="X117" s="1">
        <f>IFERROR(__xludf.DUMMYFUNCTION("""COMPUTED_VALUE"""),0.0)</f>
        <v>0</v>
      </c>
      <c r="Y117" s="1">
        <f>IFERROR(__xludf.DUMMYFUNCTION("""COMPUTED_VALUE"""),2000.0)</f>
        <v>2000</v>
      </c>
      <c r="Z117" s="1">
        <f>IFERROR(__xludf.DUMMYFUNCTION("""COMPUTED_VALUE"""),6718.0)</f>
        <v>6718</v>
      </c>
      <c r="AA117" s="1">
        <f>IFERROR(__xludf.DUMMYFUNCTION("""COMPUTED_VALUE"""),2000.0)</f>
        <v>2000</v>
      </c>
      <c r="AB117" s="1">
        <f>IFERROR(__xludf.DUMMYFUNCTION("""COMPUTED_VALUE"""),18197.0)</f>
        <v>18197</v>
      </c>
      <c r="AC117" s="1">
        <f>IFERROR(__xludf.DUMMYFUNCTION("""COMPUTED_VALUE"""),112.0)</f>
        <v>112</v>
      </c>
      <c r="AD117" s="1">
        <f>IFERROR(__xludf.DUMMYFUNCTION("""COMPUTED_VALUE"""),1600.0)</f>
        <v>1600</v>
      </c>
      <c r="AE117" s="1">
        <f>IFERROR(__xludf.DUMMYFUNCTION("""COMPUTED_VALUE"""),312.0)</f>
        <v>312</v>
      </c>
      <c r="AF117" s="1">
        <f>IFERROR(__xludf.DUMMYFUNCTION("""COMPUTED_VALUE"""),222.220001220703)</f>
        <v>222.2200012</v>
      </c>
      <c r="AG117" s="1">
        <f>IFERROR(__xludf.DUMMYFUNCTION("""COMPUTED_VALUE"""),1000.0)</f>
        <v>1000</v>
      </c>
      <c r="AH117" s="1">
        <f>IFERROR(__xludf.DUMMYFUNCTION("""COMPUTED_VALUE"""),2900.0)</f>
        <v>2900</v>
      </c>
      <c r="AI117" s="1">
        <f>IFERROR(__xludf.DUMMYFUNCTION("""COMPUTED_VALUE"""),7010.0)</f>
        <v>7010</v>
      </c>
      <c r="AJ117" s="1"/>
      <c r="AK117" s="1"/>
      <c r="AL117" s="1">
        <f>IFERROR(__xludf.DUMMYFUNCTION("""COMPUTED_VALUE"""),0.0)</f>
        <v>0</v>
      </c>
      <c r="AM117" s="1">
        <f>IFERROR(__xludf.DUMMYFUNCTION("""COMPUTED_VALUE"""),2000.0)</f>
        <v>2000</v>
      </c>
      <c r="AN117" s="1">
        <f>IFERROR(__xludf.DUMMYFUNCTION("""COMPUTED_VALUE"""),150.0)</f>
        <v>150</v>
      </c>
      <c r="AO117" s="1">
        <f>IFERROR(__xludf.DUMMYFUNCTION("""COMPUTED_VALUE"""),1500.0)</f>
        <v>1500</v>
      </c>
      <c r="AP117" s="1">
        <f>IFERROR(__xludf.DUMMYFUNCTION("""COMPUTED_VALUE"""),1795.0)</f>
        <v>1795</v>
      </c>
      <c r="AQ117" s="1">
        <f>IFERROR(__xludf.DUMMYFUNCTION("""COMPUTED_VALUE"""),1000.0)</f>
        <v>1000</v>
      </c>
      <c r="AR117" s="1">
        <f>IFERROR(__xludf.DUMMYFUNCTION("""COMPUTED_VALUE"""),311.0)</f>
        <v>311</v>
      </c>
      <c r="AS117" s="1">
        <f>IFERROR(__xludf.DUMMYFUNCTION("""COMPUTED_VALUE"""),1600.0)</f>
        <v>1600</v>
      </c>
    </row>
    <row r="118">
      <c r="A118" s="1" t="str">
        <f>IFERROR(__xludf.DUMMYFUNCTION("""COMPUTED_VALUE"""),"FAL")</f>
        <v>FAL</v>
      </c>
      <c r="B118" s="1"/>
      <c r="C118" s="1"/>
      <c r="D118" s="1">
        <f>IFERROR(__xludf.DUMMYFUNCTION("""COMPUTED_VALUE"""),3000.0)</f>
        <v>3000</v>
      </c>
      <c r="E118" s="1">
        <f>IFERROR(__xludf.DUMMYFUNCTION("""COMPUTED_VALUE"""),100.0)</f>
        <v>100</v>
      </c>
      <c r="F118" s="1">
        <f>IFERROR(__xludf.DUMMYFUNCTION("""COMPUTED_VALUE"""),3240.0)</f>
        <v>3240</v>
      </c>
      <c r="G118" s="1">
        <f>IFERROR(__xludf.DUMMYFUNCTION("""COMPUTED_VALUE"""),1997.0)</f>
        <v>1997</v>
      </c>
      <c r="H118" s="1">
        <f>IFERROR(__xludf.DUMMYFUNCTION("""COMPUTED_VALUE"""),1000.0)</f>
        <v>1000</v>
      </c>
      <c r="I118" s="1">
        <f>IFERROR(__xludf.DUMMYFUNCTION("""COMPUTED_VALUE"""),1790.0)</f>
        <v>1790</v>
      </c>
      <c r="J118" s="1">
        <f>IFERROR(__xludf.DUMMYFUNCTION("""COMPUTED_VALUE"""),1523.0)</f>
        <v>1523</v>
      </c>
      <c r="K118" s="1">
        <f>IFERROR(__xludf.DUMMYFUNCTION("""COMPUTED_VALUE"""),2760.0)</f>
        <v>2760</v>
      </c>
      <c r="L118" s="1">
        <f>IFERROR(__xludf.DUMMYFUNCTION("""COMPUTED_VALUE"""),171.0)</f>
        <v>171</v>
      </c>
      <c r="M118" s="1">
        <f>IFERROR(__xludf.DUMMYFUNCTION("""COMPUTED_VALUE"""),2400.0)</f>
        <v>2400</v>
      </c>
      <c r="N118" s="1">
        <f>IFERROR(__xludf.DUMMYFUNCTION("""COMPUTED_VALUE"""),666.0)</f>
        <v>666</v>
      </c>
      <c r="O118" s="1">
        <f>IFERROR(__xludf.DUMMYFUNCTION("""COMPUTED_VALUE"""),1000.0)</f>
        <v>1000</v>
      </c>
      <c r="P118" s="1">
        <f>IFERROR(__xludf.DUMMYFUNCTION("""COMPUTED_VALUE"""),1610.0)</f>
        <v>1610</v>
      </c>
      <c r="Q118" s="1">
        <f>IFERROR(__xludf.DUMMYFUNCTION("""COMPUTED_VALUE"""),1203.0)</f>
        <v>1203</v>
      </c>
      <c r="R118" s="1">
        <f>IFERROR(__xludf.DUMMYFUNCTION("""COMPUTED_VALUE"""),1025.39001464843)</f>
        <v>1025.390015</v>
      </c>
      <c r="S118" s="1"/>
      <c r="T118" s="1"/>
      <c r="U118" s="1">
        <f>IFERROR(__xludf.DUMMYFUNCTION("""COMPUTED_VALUE"""),0.0)</f>
        <v>0</v>
      </c>
      <c r="V118" s="1"/>
      <c r="W118" s="1"/>
      <c r="X118" s="1">
        <f>IFERROR(__xludf.DUMMYFUNCTION("""COMPUTED_VALUE"""),0.0)</f>
        <v>0</v>
      </c>
      <c r="Y118" s="1">
        <f>IFERROR(__xludf.DUMMYFUNCTION("""COMPUTED_VALUE"""),2500.0)</f>
        <v>2500</v>
      </c>
      <c r="Z118" s="1">
        <f>IFERROR(__xludf.DUMMYFUNCTION("""COMPUTED_VALUE"""),58.0)</f>
        <v>58</v>
      </c>
      <c r="AA118" s="1">
        <f>IFERROR(__xludf.DUMMYFUNCTION("""COMPUTED_VALUE"""),2500.0)</f>
        <v>2500</v>
      </c>
      <c r="AB118" s="1">
        <f>IFERROR(__xludf.DUMMYFUNCTION("""COMPUTED_VALUE"""),1231.0)</f>
        <v>1231</v>
      </c>
      <c r="AC118" s="1">
        <f>IFERROR(__xludf.DUMMYFUNCTION("""COMPUTED_VALUE"""),100.0)</f>
        <v>100</v>
      </c>
      <c r="AD118" s="1">
        <f>IFERROR(__xludf.DUMMYFUNCTION("""COMPUTED_VALUE"""),2000.0)</f>
        <v>2000</v>
      </c>
      <c r="AE118" s="1">
        <f>IFERROR(__xludf.DUMMYFUNCTION("""COMPUTED_VALUE"""),800.0)</f>
        <v>800</v>
      </c>
      <c r="AF118" s="1">
        <f>IFERROR(__xludf.DUMMYFUNCTION("""COMPUTED_VALUE"""),1025.39001464843)</f>
        <v>1025.390015</v>
      </c>
      <c r="AG118" s="1"/>
      <c r="AH118" s="1"/>
      <c r="AI118" s="1">
        <f>IFERROR(__xludf.DUMMYFUNCTION("""COMPUTED_VALUE"""),0.0)</f>
        <v>0</v>
      </c>
      <c r="AJ118" s="1"/>
      <c r="AK118" s="1"/>
      <c r="AL118" s="1">
        <f>IFERROR(__xludf.DUMMYFUNCTION("""COMPUTED_VALUE"""),0.0)</f>
        <v>0</v>
      </c>
      <c r="AM118" s="1">
        <f>IFERROR(__xludf.DUMMYFUNCTION("""COMPUTED_VALUE"""),2700.0)</f>
        <v>2700</v>
      </c>
      <c r="AN118" s="1">
        <f>IFERROR(__xludf.DUMMYFUNCTION("""COMPUTED_VALUE"""),34.0)</f>
        <v>34</v>
      </c>
      <c r="AO118" s="1">
        <f>IFERROR(__xludf.DUMMYFUNCTION("""COMPUTED_VALUE"""),2700.0)</f>
        <v>2700</v>
      </c>
      <c r="AP118" s="1">
        <f>IFERROR(__xludf.DUMMYFUNCTION("""COMPUTED_VALUE"""),342.0)</f>
        <v>342</v>
      </c>
      <c r="AQ118" s="1">
        <f>IFERROR(__xludf.DUMMYFUNCTION("""COMPUTED_VALUE"""),1000.0)</f>
        <v>1000</v>
      </c>
      <c r="AR118" s="1">
        <f>IFERROR(__xludf.DUMMYFUNCTION("""COMPUTED_VALUE"""),1520.0)</f>
        <v>1520</v>
      </c>
      <c r="AS118" s="1">
        <f>IFERROR(__xludf.DUMMYFUNCTION("""COMPUTED_VALUE"""),1182.0)</f>
        <v>1182</v>
      </c>
    </row>
    <row r="119">
      <c r="A119" s="1" t="str">
        <f>IFERROR(__xludf.DUMMYFUNCTION("""COMPUTED_VALUE"""),"FAN")</f>
        <v>FAN</v>
      </c>
      <c r="B119" s="1"/>
      <c r="C119" s="1"/>
      <c r="D119" s="1">
        <f>IFERROR(__xludf.DUMMYFUNCTION("""COMPUTED_VALUE"""),2240.0)</f>
        <v>2240</v>
      </c>
      <c r="E119" s="1">
        <f>IFERROR(__xludf.DUMMYFUNCTION("""COMPUTED_VALUE"""),101.0)</f>
        <v>101</v>
      </c>
      <c r="F119" s="1">
        <f>IFERROR(__xludf.DUMMYFUNCTION("""COMPUTED_VALUE"""),2240.0)</f>
        <v>2240</v>
      </c>
      <c r="G119" s="1">
        <f>IFERROR(__xludf.DUMMYFUNCTION("""COMPUTED_VALUE"""),1904.0)</f>
        <v>1904</v>
      </c>
      <c r="H119" s="1">
        <f>IFERROR(__xludf.DUMMYFUNCTION("""COMPUTED_VALUE"""),107.0)</f>
        <v>107</v>
      </c>
      <c r="I119" s="1">
        <f>IFERROR(__xludf.DUMMYFUNCTION("""COMPUTED_VALUE"""),1850.0)</f>
        <v>1850</v>
      </c>
      <c r="J119" s="1">
        <f>IFERROR(__xludf.DUMMYFUNCTION("""COMPUTED_VALUE"""),1172.0)</f>
        <v>1172</v>
      </c>
      <c r="K119" s="1">
        <f>IFERROR(__xludf.DUMMYFUNCTION("""COMPUTED_VALUE"""),2100.0)</f>
        <v>2100</v>
      </c>
      <c r="L119" s="1">
        <f>IFERROR(__xludf.DUMMYFUNCTION("""COMPUTED_VALUE"""),142.0)</f>
        <v>142</v>
      </c>
      <c r="M119" s="1">
        <f>IFERROR(__xludf.DUMMYFUNCTION("""COMPUTED_VALUE"""),2100.0)</f>
        <v>2100</v>
      </c>
      <c r="N119" s="1">
        <f>IFERROR(__xludf.DUMMYFUNCTION("""COMPUTED_VALUE"""),1258.0)</f>
        <v>1258</v>
      </c>
      <c r="O119" s="1"/>
      <c r="P119" s="1"/>
      <c r="Q119" s="1">
        <f>IFERROR(__xludf.DUMMYFUNCTION("""COMPUTED_VALUE"""),0.0)</f>
        <v>0</v>
      </c>
      <c r="R119" s="1">
        <f>IFERROR(__xludf.DUMMYFUNCTION("""COMPUTED_VALUE"""),971.950012207031)</f>
        <v>971.9500122</v>
      </c>
      <c r="S119" s="1"/>
      <c r="T119" s="1"/>
      <c r="U119" s="1">
        <f>IFERROR(__xludf.DUMMYFUNCTION("""COMPUTED_VALUE"""),0.0)</f>
        <v>0</v>
      </c>
      <c r="V119" s="1"/>
      <c r="W119" s="1"/>
      <c r="X119" s="1">
        <f>IFERROR(__xludf.DUMMYFUNCTION("""COMPUTED_VALUE"""),0.0)</f>
        <v>0</v>
      </c>
      <c r="Y119" s="1">
        <f>IFERROR(__xludf.DUMMYFUNCTION("""COMPUTED_VALUE"""),2090.0)</f>
        <v>2090</v>
      </c>
      <c r="Z119" s="1">
        <f>IFERROR(__xludf.DUMMYFUNCTION("""COMPUTED_VALUE"""),136.0)</f>
        <v>136</v>
      </c>
      <c r="AA119" s="1">
        <f>IFERROR(__xludf.DUMMYFUNCTION("""COMPUTED_VALUE"""),2100.0)</f>
        <v>2100</v>
      </c>
      <c r="AB119" s="1">
        <f>IFERROR(__xludf.DUMMYFUNCTION("""COMPUTED_VALUE"""),1771.0)</f>
        <v>1771</v>
      </c>
      <c r="AC119" s="1">
        <f>IFERROR(__xludf.DUMMYFUNCTION("""COMPUTED_VALUE"""),136.0)</f>
        <v>136</v>
      </c>
      <c r="AD119" s="1">
        <f>IFERROR(__xludf.DUMMYFUNCTION("""COMPUTED_VALUE"""),1900.0)</f>
        <v>1900</v>
      </c>
      <c r="AE119" s="1">
        <f>IFERROR(__xludf.DUMMYFUNCTION("""COMPUTED_VALUE"""),686.0)</f>
        <v>686</v>
      </c>
      <c r="AF119" s="1">
        <f>IFERROR(__xludf.DUMMYFUNCTION("""COMPUTED_VALUE"""),1000.0)</f>
        <v>1000</v>
      </c>
      <c r="AG119" s="1">
        <f>IFERROR(__xludf.DUMMYFUNCTION("""COMPUTED_VALUE"""),10.0)</f>
        <v>10</v>
      </c>
      <c r="AH119" s="1">
        <f>IFERROR(__xludf.DUMMYFUNCTION("""COMPUTED_VALUE"""),2250.0)</f>
        <v>2250</v>
      </c>
      <c r="AI119" s="1">
        <f>IFERROR(__xludf.DUMMYFUNCTION("""COMPUTED_VALUE"""),10.0)</f>
        <v>10</v>
      </c>
      <c r="AJ119" s="1"/>
      <c r="AK119" s="1"/>
      <c r="AL119" s="1">
        <f>IFERROR(__xludf.DUMMYFUNCTION("""COMPUTED_VALUE"""),0.0)</f>
        <v>0</v>
      </c>
      <c r="AM119" s="1">
        <f>IFERROR(__xludf.DUMMYFUNCTION("""COMPUTED_VALUE"""),2200.0)</f>
        <v>2200</v>
      </c>
      <c r="AN119" s="1">
        <f>IFERROR(__xludf.DUMMYFUNCTION("""COMPUTED_VALUE"""),79.0)</f>
        <v>79</v>
      </c>
      <c r="AO119" s="1">
        <f>IFERROR(__xludf.DUMMYFUNCTION("""COMPUTED_VALUE"""),2200.0)</f>
        <v>2200</v>
      </c>
      <c r="AP119" s="1">
        <f>IFERROR(__xludf.DUMMYFUNCTION("""COMPUTED_VALUE"""),79.0)</f>
        <v>79</v>
      </c>
      <c r="AQ119" s="1"/>
      <c r="AR119" s="1"/>
      <c r="AS119" s="1">
        <f>IFERROR(__xludf.DUMMYFUNCTION("""COMPUTED_VALUE"""),0.0)</f>
        <v>0</v>
      </c>
    </row>
    <row r="120">
      <c r="A120" s="1" t="str">
        <f>IFERROR(__xludf.DUMMYFUNCTION("""COMPUTED_VALUE"""),"FC")</f>
        <v>FC</v>
      </c>
      <c r="B120" s="1"/>
      <c r="C120" s="1"/>
      <c r="D120" s="1">
        <f>IFERROR(__xludf.DUMMYFUNCTION("""COMPUTED_VALUE"""),5550.0)</f>
        <v>5550</v>
      </c>
      <c r="E120" s="1">
        <f>IFERROR(__xludf.DUMMYFUNCTION("""COMPUTED_VALUE"""),7.0)</f>
        <v>7</v>
      </c>
      <c r="F120" s="1">
        <f>IFERROR(__xludf.DUMMYFUNCTION("""COMPUTED_VALUE"""),8000.0)</f>
        <v>8000</v>
      </c>
      <c r="G120" s="1">
        <f>IFERROR(__xludf.DUMMYFUNCTION("""COMPUTED_VALUE"""),1302.0)</f>
        <v>1302</v>
      </c>
      <c r="H120" s="1">
        <f>IFERROR(__xludf.DUMMYFUNCTION("""COMPUTED_VALUE"""),65.0)</f>
        <v>65</v>
      </c>
      <c r="I120" s="1">
        <f>IFERROR(__xludf.DUMMYFUNCTION("""COMPUTED_VALUE"""),5550.0)</f>
        <v>5550</v>
      </c>
      <c r="J120" s="1">
        <f>IFERROR(__xludf.DUMMYFUNCTION("""COMPUTED_VALUE"""),602.0)</f>
        <v>602</v>
      </c>
      <c r="K120" s="1">
        <f>IFERROR(__xludf.DUMMYFUNCTION("""COMPUTED_VALUE"""),5689.43017578125)</f>
        <v>5689.430176</v>
      </c>
      <c r="L120" s="1">
        <f>IFERROR(__xludf.DUMMYFUNCTION("""COMPUTED_VALUE"""),6.0)</f>
        <v>6</v>
      </c>
      <c r="M120" s="1">
        <f>IFERROR(__xludf.DUMMYFUNCTION("""COMPUTED_VALUE"""),6000.0)</f>
        <v>6000</v>
      </c>
      <c r="N120" s="1">
        <f>IFERROR(__xludf.DUMMYFUNCTION("""COMPUTED_VALUE"""),78.0)</f>
        <v>78</v>
      </c>
      <c r="O120" s="1">
        <f>IFERROR(__xludf.DUMMYFUNCTION("""COMPUTED_VALUE"""),306.0)</f>
        <v>306</v>
      </c>
      <c r="P120" s="1">
        <f>IFERROR(__xludf.DUMMYFUNCTION("""COMPUTED_VALUE"""),4650.0)</f>
        <v>4650</v>
      </c>
      <c r="Q120" s="1">
        <f>IFERROR(__xludf.DUMMYFUNCTION("""COMPUTED_VALUE"""),767.0)</f>
        <v>767</v>
      </c>
      <c r="R120" s="1">
        <f>IFERROR(__xludf.DUMMYFUNCTION("""COMPUTED_VALUE"""),2253.13989257812)</f>
        <v>2253.139893</v>
      </c>
      <c r="S120" s="1"/>
      <c r="T120" s="1"/>
      <c r="U120" s="1">
        <f>IFERROR(__xludf.DUMMYFUNCTION("""COMPUTED_VALUE"""),0.0)</f>
        <v>0</v>
      </c>
      <c r="V120" s="1"/>
      <c r="W120" s="1"/>
      <c r="X120" s="1">
        <f>IFERROR(__xludf.DUMMYFUNCTION("""COMPUTED_VALUE"""),0.0)</f>
        <v>0</v>
      </c>
      <c r="Y120" s="1">
        <f>IFERROR(__xludf.DUMMYFUNCTION("""COMPUTED_VALUE"""),5250.0)</f>
        <v>5250</v>
      </c>
      <c r="Z120" s="1">
        <f>IFERROR(__xludf.DUMMYFUNCTION("""COMPUTED_VALUE"""),5.0)</f>
        <v>5</v>
      </c>
      <c r="AA120" s="1">
        <f>IFERROR(__xludf.DUMMYFUNCTION("""COMPUTED_VALUE"""),6190.0)</f>
        <v>6190</v>
      </c>
      <c r="AB120" s="1">
        <f>IFERROR(__xludf.DUMMYFUNCTION("""COMPUTED_VALUE"""),882.0)</f>
        <v>882</v>
      </c>
      <c r="AC120" s="1">
        <f>IFERROR(__xludf.DUMMYFUNCTION("""COMPUTED_VALUE"""),92.0)</f>
        <v>92</v>
      </c>
      <c r="AD120" s="1">
        <f>IFERROR(__xludf.DUMMYFUNCTION("""COMPUTED_VALUE"""),5250.0)</f>
        <v>5250</v>
      </c>
      <c r="AE120" s="1">
        <f>IFERROR(__xludf.DUMMYFUNCTION("""COMPUTED_VALUE"""),1315.0)</f>
        <v>1315</v>
      </c>
      <c r="AF120" s="1">
        <f>IFERROR(__xludf.DUMMYFUNCTION("""COMPUTED_VALUE"""),2253.13989257812)</f>
        <v>2253.139893</v>
      </c>
      <c r="AG120" s="1"/>
      <c r="AH120" s="1"/>
      <c r="AI120" s="1">
        <f>IFERROR(__xludf.DUMMYFUNCTION("""COMPUTED_VALUE"""),0.0)</f>
        <v>0</v>
      </c>
      <c r="AJ120" s="1"/>
      <c r="AK120" s="1"/>
      <c r="AL120" s="1">
        <f>IFERROR(__xludf.DUMMYFUNCTION("""COMPUTED_VALUE"""),0.0)</f>
        <v>0</v>
      </c>
      <c r="AM120" s="1">
        <f>IFERROR(__xludf.DUMMYFUNCTION("""COMPUTED_VALUE"""),6000.0)</f>
        <v>6000</v>
      </c>
      <c r="AN120" s="1"/>
      <c r="AO120" s="1"/>
      <c r="AP120" s="1">
        <f>IFERROR(__xludf.DUMMYFUNCTION("""COMPUTED_VALUE"""),0.0)</f>
        <v>0</v>
      </c>
      <c r="AQ120" s="1">
        <f>IFERROR(__xludf.DUMMYFUNCTION("""COMPUTED_VALUE"""),59.0)</f>
        <v>59</v>
      </c>
      <c r="AR120" s="1">
        <f>IFERROR(__xludf.DUMMYFUNCTION("""COMPUTED_VALUE"""),5020.0)</f>
        <v>5020</v>
      </c>
      <c r="AS120" s="1">
        <f>IFERROR(__xludf.DUMMYFUNCTION("""COMPUTED_VALUE"""),359.0)</f>
        <v>359</v>
      </c>
    </row>
    <row r="121">
      <c r="A121" s="1" t="str">
        <f>IFERROR(__xludf.DUMMYFUNCTION("""COMPUTED_VALUE"""),"FE")</f>
        <v>FE</v>
      </c>
      <c r="B121" s="1"/>
      <c r="C121" s="1"/>
      <c r="D121" s="1">
        <f>IFERROR(__xludf.DUMMYFUNCTION("""COMPUTED_VALUE"""),990.0)</f>
        <v>990</v>
      </c>
      <c r="E121" s="1">
        <f>IFERROR(__xludf.DUMMYFUNCTION("""COMPUTED_VALUE"""),14.0)</f>
        <v>14</v>
      </c>
      <c r="F121" s="1">
        <f>IFERROR(__xludf.DUMMYFUNCTION("""COMPUTED_VALUE"""),990.0)</f>
        <v>990</v>
      </c>
      <c r="G121" s="1">
        <f>IFERROR(__xludf.DUMMYFUNCTION("""COMPUTED_VALUE"""),19594.0)</f>
        <v>19594</v>
      </c>
      <c r="H121" s="1">
        <f>IFERROR(__xludf.DUMMYFUNCTION("""COMPUTED_VALUE"""),43.0)</f>
        <v>43</v>
      </c>
      <c r="I121" s="1">
        <f>IFERROR(__xludf.DUMMYFUNCTION("""COMPUTED_VALUE"""),903.0)</f>
        <v>903</v>
      </c>
      <c r="J121" s="1">
        <f>IFERROR(__xludf.DUMMYFUNCTION("""COMPUTED_VALUE"""),4082.0)</f>
        <v>4082</v>
      </c>
      <c r="K121" s="1">
        <f>IFERROR(__xludf.DUMMYFUNCTION("""COMPUTED_VALUE"""),860.0)</f>
        <v>860</v>
      </c>
      <c r="L121" s="1">
        <f>IFERROR(__xludf.DUMMYFUNCTION("""COMPUTED_VALUE"""),7.0)</f>
        <v>7</v>
      </c>
      <c r="M121" s="1">
        <f>IFERROR(__xludf.DUMMYFUNCTION("""COMPUTED_VALUE"""),880.0)</f>
        <v>880</v>
      </c>
      <c r="N121" s="1">
        <f>IFERROR(__xludf.DUMMYFUNCTION("""COMPUTED_VALUE"""),3927.0)</f>
        <v>3927</v>
      </c>
      <c r="O121" s="1">
        <f>IFERROR(__xludf.DUMMYFUNCTION("""COMPUTED_VALUE"""),289.0)</f>
        <v>289</v>
      </c>
      <c r="P121" s="1">
        <f>IFERROR(__xludf.DUMMYFUNCTION("""COMPUTED_VALUE"""),860.0)</f>
        <v>860</v>
      </c>
      <c r="Q121" s="1">
        <f>IFERROR(__xludf.DUMMYFUNCTION("""COMPUTED_VALUE"""),6423.0)</f>
        <v>6423</v>
      </c>
      <c r="R121" s="1">
        <f>IFERROR(__xludf.DUMMYFUNCTION("""COMPUTED_VALUE"""),500.0)</f>
        <v>500</v>
      </c>
      <c r="S121" s="1"/>
      <c r="T121" s="1"/>
      <c r="U121" s="1">
        <f>IFERROR(__xludf.DUMMYFUNCTION("""COMPUTED_VALUE"""),0.0)</f>
        <v>0</v>
      </c>
      <c r="V121" s="1">
        <f>IFERROR(__xludf.DUMMYFUNCTION("""COMPUTED_VALUE"""),1.0)</f>
        <v>1</v>
      </c>
      <c r="W121" s="1">
        <f>IFERROR(__xludf.DUMMYFUNCTION("""COMPUTED_VALUE"""),500.0)</f>
        <v>500</v>
      </c>
      <c r="X121" s="1">
        <f>IFERROR(__xludf.DUMMYFUNCTION("""COMPUTED_VALUE"""),21.0)</f>
        <v>21</v>
      </c>
      <c r="Y121" s="1">
        <f>IFERROR(__xludf.DUMMYFUNCTION("""COMPUTED_VALUE"""),885.0)</f>
        <v>885</v>
      </c>
      <c r="Z121" s="1">
        <f>IFERROR(__xludf.DUMMYFUNCTION("""COMPUTED_VALUE"""),39.0)</f>
        <v>39</v>
      </c>
      <c r="AA121" s="1">
        <f>IFERROR(__xludf.DUMMYFUNCTION("""COMPUTED_VALUE"""),889.0)</f>
        <v>889</v>
      </c>
      <c r="AB121" s="1">
        <f>IFERROR(__xludf.DUMMYFUNCTION("""COMPUTED_VALUE"""),24105.0)</f>
        <v>24105</v>
      </c>
      <c r="AC121" s="1">
        <f>IFERROR(__xludf.DUMMYFUNCTION("""COMPUTED_VALUE"""),500.0)</f>
        <v>500</v>
      </c>
      <c r="AD121" s="1">
        <f>IFERROR(__xludf.DUMMYFUNCTION("""COMPUTED_VALUE"""),734.0)</f>
        <v>734</v>
      </c>
      <c r="AE121" s="1">
        <f>IFERROR(__xludf.DUMMYFUNCTION("""COMPUTED_VALUE"""),3980.0)</f>
        <v>3980</v>
      </c>
      <c r="AF121" s="1">
        <f>IFERROR(__xludf.DUMMYFUNCTION("""COMPUTED_VALUE"""),850.0)</f>
        <v>850</v>
      </c>
      <c r="AG121" s="1">
        <f>IFERROR(__xludf.DUMMYFUNCTION("""COMPUTED_VALUE"""),210.0)</f>
        <v>210</v>
      </c>
      <c r="AH121" s="1">
        <f>IFERROR(__xludf.DUMMYFUNCTION("""COMPUTED_VALUE"""),850.0)</f>
        <v>850</v>
      </c>
      <c r="AI121" s="1">
        <f>IFERROR(__xludf.DUMMYFUNCTION("""COMPUTED_VALUE"""),1618.0)</f>
        <v>1618</v>
      </c>
      <c r="AJ121" s="1">
        <f>IFERROR(__xludf.DUMMYFUNCTION("""COMPUTED_VALUE"""),25.0)</f>
        <v>25</v>
      </c>
      <c r="AK121" s="1">
        <f>IFERROR(__xludf.DUMMYFUNCTION("""COMPUTED_VALUE"""),700.0)</f>
        <v>700</v>
      </c>
      <c r="AL121" s="1">
        <f>IFERROR(__xludf.DUMMYFUNCTION("""COMPUTED_VALUE"""),33.0)</f>
        <v>33</v>
      </c>
      <c r="AM121" s="1">
        <f>IFERROR(__xludf.DUMMYFUNCTION("""COMPUTED_VALUE"""),800.0)</f>
        <v>800</v>
      </c>
      <c r="AN121" s="1">
        <f>IFERROR(__xludf.DUMMYFUNCTION("""COMPUTED_VALUE"""),1500.0)</f>
        <v>1500</v>
      </c>
      <c r="AO121" s="1">
        <f>IFERROR(__xludf.DUMMYFUNCTION("""COMPUTED_VALUE"""),874.0)</f>
        <v>874</v>
      </c>
      <c r="AP121" s="1">
        <f>IFERROR(__xludf.DUMMYFUNCTION("""COMPUTED_VALUE"""),6678.0)</f>
        <v>6678</v>
      </c>
      <c r="AQ121" s="1">
        <f>IFERROR(__xludf.DUMMYFUNCTION("""COMPUTED_VALUE"""),19.0)</f>
        <v>19</v>
      </c>
      <c r="AR121" s="1">
        <f>IFERROR(__xludf.DUMMYFUNCTION("""COMPUTED_VALUE"""),800.0)</f>
        <v>800</v>
      </c>
      <c r="AS121" s="1">
        <f>IFERROR(__xludf.DUMMYFUNCTION("""COMPUTED_VALUE"""),3139.0)</f>
        <v>3139</v>
      </c>
    </row>
    <row r="122">
      <c r="A122" s="1" t="str">
        <f>IFERROR(__xludf.DUMMYFUNCTION("""COMPUTED_VALUE"""),"FEO")</f>
        <v>FEO</v>
      </c>
      <c r="B122" s="1">
        <f>IFERROR(__xludf.DUMMYFUNCTION("""COMPUTED_VALUE"""),32.0)</f>
        <v>32</v>
      </c>
      <c r="C122" s="1"/>
      <c r="D122" s="1">
        <f>IFERROR(__xludf.DUMMYFUNCTION("""COMPUTED_VALUE"""),191.0)</f>
        <v>191</v>
      </c>
      <c r="E122" s="1">
        <f>IFERROR(__xludf.DUMMYFUNCTION("""COMPUTED_VALUE"""),498.0)</f>
        <v>498</v>
      </c>
      <c r="F122" s="1">
        <f>IFERROR(__xludf.DUMMYFUNCTION("""COMPUTED_VALUE"""),218.0)</f>
        <v>218</v>
      </c>
      <c r="G122" s="1">
        <f>IFERROR(__xludf.DUMMYFUNCTION("""COMPUTED_VALUE"""),35426.0)</f>
        <v>35426</v>
      </c>
      <c r="H122" s="1">
        <f>IFERROR(__xludf.DUMMYFUNCTION("""COMPUTED_VALUE"""),514.0)</f>
        <v>514</v>
      </c>
      <c r="I122" s="1">
        <f>IFERROR(__xludf.DUMMYFUNCTION("""COMPUTED_VALUE"""),191.0)</f>
        <v>191</v>
      </c>
      <c r="J122" s="1">
        <f>IFERROR(__xludf.DUMMYFUNCTION("""COMPUTED_VALUE"""),6259.0)</f>
        <v>6259</v>
      </c>
      <c r="K122" s="1">
        <f>IFERROR(__xludf.DUMMYFUNCTION("""COMPUTED_VALUE"""),176.0)</f>
        <v>176</v>
      </c>
      <c r="L122" s="1">
        <f>IFERROR(__xludf.DUMMYFUNCTION("""COMPUTED_VALUE"""),31.0)</f>
        <v>31</v>
      </c>
      <c r="M122" s="1">
        <f>IFERROR(__xludf.DUMMYFUNCTION("""COMPUTED_VALUE"""),170.0)</f>
        <v>170</v>
      </c>
      <c r="N122" s="1">
        <f>IFERROR(__xludf.DUMMYFUNCTION("""COMPUTED_VALUE"""),2463.0)</f>
        <v>2463</v>
      </c>
      <c r="O122" s="1">
        <f>IFERROR(__xludf.DUMMYFUNCTION("""COMPUTED_VALUE"""),1000.0)</f>
        <v>1000</v>
      </c>
      <c r="P122" s="1">
        <f>IFERROR(__xludf.DUMMYFUNCTION("""COMPUTED_VALUE"""),85.0999984741211)</f>
        <v>85.09999847</v>
      </c>
      <c r="Q122" s="1">
        <f>IFERROR(__xludf.DUMMYFUNCTION("""COMPUTED_VALUE"""),2055.0)</f>
        <v>2055</v>
      </c>
      <c r="R122" s="1">
        <f>IFERROR(__xludf.DUMMYFUNCTION("""COMPUTED_VALUE"""),60.0)</f>
        <v>60</v>
      </c>
      <c r="S122" s="1"/>
      <c r="T122" s="1"/>
      <c r="U122" s="1">
        <f>IFERROR(__xludf.DUMMYFUNCTION("""COMPUTED_VALUE"""),0.0)</f>
        <v>0</v>
      </c>
      <c r="V122" s="1">
        <f>IFERROR(__xludf.DUMMYFUNCTION("""COMPUTED_VALUE"""),953.0)</f>
        <v>953</v>
      </c>
      <c r="W122" s="1">
        <f>IFERROR(__xludf.DUMMYFUNCTION("""COMPUTED_VALUE"""),40.0)</f>
        <v>40</v>
      </c>
      <c r="X122" s="1">
        <f>IFERROR(__xludf.DUMMYFUNCTION("""COMPUTED_VALUE"""),953.0)</f>
        <v>953</v>
      </c>
      <c r="Y122" s="1">
        <f>IFERROR(__xludf.DUMMYFUNCTION("""COMPUTED_VALUE"""),103.0)</f>
        <v>103</v>
      </c>
      <c r="Z122" s="1">
        <f>IFERROR(__xludf.DUMMYFUNCTION("""COMPUTED_VALUE"""),50.0)</f>
        <v>50</v>
      </c>
      <c r="AA122" s="1">
        <f>IFERROR(__xludf.DUMMYFUNCTION("""COMPUTED_VALUE"""),117.0)</f>
        <v>117</v>
      </c>
      <c r="AB122" s="1">
        <f>IFERROR(__xludf.DUMMYFUNCTION("""COMPUTED_VALUE"""),21014.0)</f>
        <v>21014</v>
      </c>
      <c r="AC122" s="1">
        <f>IFERROR(__xludf.DUMMYFUNCTION("""COMPUTED_VALUE"""),1899.0)</f>
        <v>1899</v>
      </c>
      <c r="AD122" s="1">
        <f>IFERROR(__xludf.DUMMYFUNCTION("""COMPUTED_VALUE"""),103.0)</f>
        <v>103</v>
      </c>
      <c r="AE122" s="1">
        <f>IFERROR(__xludf.DUMMYFUNCTION("""COMPUTED_VALUE"""),36957.0)</f>
        <v>36957</v>
      </c>
      <c r="AF122" s="1">
        <f>IFERROR(__xludf.DUMMYFUNCTION("""COMPUTED_VALUE"""),120.0)</f>
        <v>120</v>
      </c>
      <c r="AG122" s="1">
        <f>IFERROR(__xludf.DUMMYFUNCTION("""COMPUTED_VALUE"""),2889.0)</f>
        <v>2889</v>
      </c>
      <c r="AH122" s="1">
        <f>IFERROR(__xludf.DUMMYFUNCTION("""COMPUTED_VALUE"""),130.0)</f>
        <v>130</v>
      </c>
      <c r="AI122" s="1">
        <f>IFERROR(__xludf.DUMMYFUNCTION("""COMPUTED_VALUE"""),7697.0)</f>
        <v>7697</v>
      </c>
      <c r="AJ122" s="1"/>
      <c r="AK122" s="1"/>
      <c r="AL122" s="1">
        <f>IFERROR(__xludf.DUMMYFUNCTION("""COMPUTED_VALUE"""),0.0)</f>
        <v>0</v>
      </c>
      <c r="AM122" s="1">
        <f>IFERROR(__xludf.DUMMYFUNCTION("""COMPUTED_VALUE"""),80.0999984741211)</f>
        <v>80.09999847</v>
      </c>
      <c r="AN122" s="1">
        <f>IFERROR(__xludf.DUMMYFUNCTION("""COMPUTED_VALUE"""),545.0)</f>
        <v>545</v>
      </c>
      <c r="AO122" s="1">
        <f>IFERROR(__xludf.DUMMYFUNCTION("""COMPUTED_VALUE"""),115.0)</f>
        <v>115</v>
      </c>
      <c r="AP122" s="1">
        <f>IFERROR(__xludf.DUMMYFUNCTION("""COMPUTED_VALUE"""),6257.0)</f>
        <v>6257</v>
      </c>
      <c r="AQ122" s="1">
        <f>IFERROR(__xludf.DUMMYFUNCTION("""COMPUTED_VALUE"""),996.0)</f>
        <v>996</v>
      </c>
      <c r="AR122" s="1">
        <f>IFERROR(__xludf.DUMMYFUNCTION("""COMPUTED_VALUE"""),80.0999984741211)</f>
        <v>80.09999847</v>
      </c>
      <c r="AS122" s="1">
        <f>IFERROR(__xludf.DUMMYFUNCTION("""COMPUTED_VALUE"""),5707.0)</f>
        <v>5707</v>
      </c>
    </row>
    <row r="123">
      <c r="A123" s="1" t="str">
        <f>IFERROR(__xludf.DUMMYFUNCTION("""COMPUTED_VALUE"""),"FET")</f>
        <v>FET</v>
      </c>
      <c r="B123" s="1"/>
      <c r="C123" s="1"/>
      <c r="D123" s="1">
        <f>IFERROR(__xludf.DUMMYFUNCTION("""COMPUTED_VALUE"""),5000.0)</f>
        <v>5000</v>
      </c>
      <c r="E123" s="1">
        <f>IFERROR(__xludf.DUMMYFUNCTION("""COMPUTED_VALUE"""),350.0)</f>
        <v>350</v>
      </c>
      <c r="F123" s="1">
        <f>IFERROR(__xludf.DUMMYFUNCTION("""COMPUTED_VALUE"""),5000.0)</f>
        <v>5000</v>
      </c>
      <c r="G123" s="1">
        <f>IFERROR(__xludf.DUMMYFUNCTION("""COMPUTED_VALUE"""),1656.0)</f>
        <v>1656</v>
      </c>
      <c r="H123" s="1">
        <f>IFERROR(__xludf.DUMMYFUNCTION("""COMPUTED_VALUE"""),1000.0)</f>
        <v>1000</v>
      </c>
      <c r="I123" s="1">
        <f>IFERROR(__xludf.DUMMYFUNCTION("""COMPUTED_VALUE"""),3010.0)</f>
        <v>3010</v>
      </c>
      <c r="J123" s="1">
        <f>IFERROR(__xludf.DUMMYFUNCTION("""COMPUTED_VALUE"""),2611.0)</f>
        <v>2611</v>
      </c>
      <c r="K123" s="1">
        <f>IFERROR(__xludf.DUMMYFUNCTION("""COMPUTED_VALUE"""),4680.0)</f>
        <v>4680</v>
      </c>
      <c r="L123" s="1">
        <f>IFERROR(__xludf.DUMMYFUNCTION("""COMPUTED_VALUE"""),32.0)</f>
        <v>32</v>
      </c>
      <c r="M123" s="1">
        <f>IFERROR(__xludf.DUMMYFUNCTION("""COMPUTED_VALUE"""),6000.0)</f>
        <v>6000</v>
      </c>
      <c r="N123" s="1">
        <f>IFERROR(__xludf.DUMMYFUNCTION("""COMPUTED_VALUE"""),32.0)</f>
        <v>32</v>
      </c>
      <c r="O123" s="1">
        <f>IFERROR(__xludf.DUMMYFUNCTION("""COMPUTED_VALUE"""),1000.0)</f>
        <v>1000</v>
      </c>
      <c r="P123" s="1">
        <f>IFERROR(__xludf.DUMMYFUNCTION("""COMPUTED_VALUE"""),2610.0)</f>
        <v>2610</v>
      </c>
      <c r="Q123" s="1">
        <f>IFERROR(__xludf.DUMMYFUNCTION("""COMPUTED_VALUE"""),1615.0)</f>
        <v>1615</v>
      </c>
      <c r="R123" s="1">
        <f>IFERROR(__xludf.DUMMYFUNCTION("""COMPUTED_VALUE"""),1610.84997558593)</f>
        <v>1610.849976</v>
      </c>
      <c r="S123" s="1"/>
      <c r="T123" s="1"/>
      <c r="U123" s="1">
        <f>IFERROR(__xludf.DUMMYFUNCTION("""COMPUTED_VALUE"""),0.0)</f>
        <v>0</v>
      </c>
      <c r="V123" s="1"/>
      <c r="W123" s="1"/>
      <c r="X123" s="1">
        <f>IFERROR(__xludf.DUMMYFUNCTION("""COMPUTED_VALUE"""),0.0)</f>
        <v>0</v>
      </c>
      <c r="Y123" s="1">
        <f>IFERROR(__xludf.DUMMYFUNCTION("""COMPUTED_VALUE"""),3400.0)</f>
        <v>3400</v>
      </c>
      <c r="Z123" s="1">
        <f>IFERROR(__xludf.DUMMYFUNCTION("""COMPUTED_VALUE"""),312.0)</f>
        <v>312</v>
      </c>
      <c r="AA123" s="1">
        <f>IFERROR(__xludf.DUMMYFUNCTION("""COMPUTED_VALUE"""),3300.0)</f>
        <v>3300</v>
      </c>
      <c r="AB123" s="1">
        <f>IFERROR(__xludf.DUMMYFUNCTION("""COMPUTED_VALUE"""),7755.0)</f>
        <v>7755</v>
      </c>
      <c r="AC123" s="1">
        <f>IFERROR(__xludf.DUMMYFUNCTION("""COMPUTED_VALUE"""),500.0)</f>
        <v>500</v>
      </c>
      <c r="AD123" s="1">
        <f>IFERROR(__xludf.DUMMYFUNCTION("""COMPUTED_VALUE"""),2970.0)</f>
        <v>2970</v>
      </c>
      <c r="AE123" s="1">
        <f>IFERROR(__xludf.DUMMYFUNCTION("""COMPUTED_VALUE"""),1431.0)</f>
        <v>1431</v>
      </c>
      <c r="AF123" s="1">
        <f>IFERROR(__xludf.DUMMYFUNCTION("""COMPUTED_VALUE"""),1610.84997558593)</f>
        <v>1610.849976</v>
      </c>
      <c r="AG123" s="1"/>
      <c r="AH123" s="1"/>
      <c r="AI123" s="1">
        <f>IFERROR(__xludf.DUMMYFUNCTION("""COMPUTED_VALUE"""),0.0)</f>
        <v>0</v>
      </c>
      <c r="AJ123" s="1"/>
      <c r="AK123" s="1"/>
      <c r="AL123" s="1">
        <f>IFERROR(__xludf.DUMMYFUNCTION("""COMPUTED_VALUE"""),0.0)</f>
        <v>0</v>
      </c>
      <c r="AM123" s="1">
        <f>IFERROR(__xludf.DUMMYFUNCTION("""COMPUTED_VALUE"""),3733.4599609375)</f>
        <v>3733.459961</v>
      </c>
      <c r="AN123" s="1">
        <f>IFERROR(__xludf.DUMMYFUNCTION("""COMPUTED_VALUE"""),246.0)</f>
        <v>246</v>
      </c>
      <c r="AO123" s="1">
        <f>IFERROR(__xludf.DUMMYFUNCTION("""COMPUTED_VALUE"""),6000.0)</f>
        <v>6000</v>
      </c>
      <c r="AP123" s="1">
        <f>IFERROR(__xludf.DUMMYFUNCTION("""COMPUTED_VALUE"""),246.0)</f>
        <v>246</v>
      </c>
      <c r="AQ123" s="1">
        <f>IFERROR(__xludf.DUMMYFUNCTION("""COMPUTED_VALUE"""),1000.0)</f>
        <v>1000</v>
      </c>
      <c r="AR123" s="1">
        <f>IFERROR(__xludf.DUMMYFUNCTION("""COMPUTED_VALUE"""),3000.0)</f>
        <v>3000</v>
      </c>
      <c r="AS123" s="1">
        <f>IFERROR(__xludf.DUMMYFUNCTION("""COMPUTED_VALUE"""),1010.0)</f>
        <v>1010</v>
      </c>
    </row>
    <row r="124">
      <c r="A124" s="1" t="str">
        <f>IFERROR(__xludf.DUMMYFUNCTION("""COMPUTED_VALUE"""),"FF")</f>
        <v>FF</v>
      </c>
      <c r="B124" s="1">
        <f>IFERROR(__xludf.DUMMYFUNCTION("""COMPUTED_VALUE"""),9.0)</f>
        <v>9</v>
      </c>
      <c r="C124" s="1">
        <f>IFERROR(__xludf.DUMMYFUNCTION("""COMPUTED_VALUE"""),24.0)</f>
        <v>24</v>
      </c>
      <c r="D124" s="1">
        <f>IFERROR(__xludf.DUMMYFUNCTION("""COMPUTED_VALUE"""),18.0)</f>
        <v>18</v>
      </c>
      <c r="E124" s="1">
        <f>IFERROR(__xludf.DUMMYFUNCTION("""COMPUTED_VALUE"""),41375.0)</f>
        <v>41375</v>
      </c>
      <c r="F124" s="1">
        <f>IFERROR(__xludf.DUMMYFUNCTION("""COMPUTED_VALUE"""),18.0)</f>
        <v>18</v>
      </c>
      <c r="G124" s="1">
        <f>IFERROR(__xludf.DUMMYFUNCTION("""COMPUTED_VALUE"""),1071448.0)</f>
        <v>1071448</v>
      </c>
      <c r="H124" s="1">
        <f>IFERROR(__xludf.DUMMYFUNCTION("""COMPUTED_VALUE"""),600.0)</f>
        <v>600</v>
      </c>
      <c r="I124" s="1">
        <f>IFERROR(__xludf.DUMMYFUNCTION("""COMPUTED_VALUE"""),17.2000007629394)</f>
        <v>17.20000076</v>
      </c>
      <c r="J124" s="1">
        <f>IFERROR(__xludf.DUMMYFUNCTION("""COMPUTED_VALUE"""),279259.0)</f>
        <v>279259</v>
      </c>
      <c r="K124" s="1">
        <f>IFERROR(__xludf.DUMMYFUNCTION("""COMPUTED_VALUE"""),17.5)</f>
        <v>17.5</v>
      </c>
      <c r="L124" s="1">
        <f>IFERROR(__xludf.DUMMYFUNCTION("""COMPUTED_VALUE"""),89396.0)</f>
        <v>89396</v>
      </c>
      <c r="M124" s="1">
        <f>IFERROR(__xludf.DUMMYFUNCTION("""COMPUTED_VALUE"""),17.5)</f>
        <v>17.5</v>
      </c>
      <c r="N124" s="1">
        <f>IFERROR(__xludf.DUMMYFUNCTION("""COMPUTED_VALUE"""),1222659.0)</f>
        <v>1222659</v>
      </c>
      <c r="O124" s="1">
        <f>IFERROR(__xludf.DUMMYFUNCTION("""COMPUTED_VALUE"""),46279.0)</f>
        <v>46279</v>
      </c>
      <c r="P124" s="1">
        <f>IFERROR(__xludf.DUMMYFUNCTION("""COMPUTED_VALUE"""),16.0)</f>
        <v>16</v>
      </c>
      <c r="Q124" s="1">
        <f>IFERROR(__xludf.DUMMYFUNCTION("""COMPUTED_VALUE"""),544958.0)</f>
        <v>544958</v>
      </c>
      <c r="R124" s="1">
        <f>IFERROR(__xludf.DUMMYFUNCTION("""COMPUTED_VALUE"""),19.7299995422363)</f>
        <v>19.72999954</v>
      </c>
      <c r="S124" s="1">
        <f>IFERROR(__xludf.DUMMYFUNCTION("""COMPUTED_VALUE"""),36290.0)</f>
        <v>36290</v>
      </c>
      <c r="T124" s="1">
        <f>IFERROR(__xludf.DUMMYFUNCTION("""COMPUTED_VALUE"""),20.0)</f>
        <v>20</v>
      </c>
      <c r="U124" s="1">
        <f>IFERROR(__xludf.DUMMYFUNCTION("""COMPUTED_VALUE"""),181820.0)</f>
        <v>181820</v>
      </c>
      <c r="V124" s="1">
        <f>IFERROR(__xludf.DUMMYFUNCTION("""COMPUTED_VALUE"""),4424.0)</f>
        <v>4424</v>
      </c>
      <c r="W124" s="1">
        <f>IFERROR(__xludf.DUMMYFUNCTION("""COMPUTED_VALUE"""),15.0)</f>
        <v>15</v>
      </c>
      <c r="X124" s="1">
        <f>IFERROR(__xludf.DUMMYFUNCTION("""COMPUTED_VALUE"""),33355.0)</f>
        <v>33355</v>
      </c>
      <c r="Y124" s="1">
        <f>IFERROR(__xludf.DUMMYFUNCTION("""COMPUTED_VALUE"""),17.2000007629394)</f>
        <v>17.20000076</v>
      </c>
      <c r="Z124" s="1">
        <f>IFERROR(__xludf.DUMMYFUNCTION("""COMPUTED_VALUE"""),29743.0)</f>
        <v>29743</v>
      </c>
      <c r="AA124" s="1">
        <f>IFERROR(__xludf.DUMMYFUNCTION("""COMPUTED_VALUE"""),17.2000007629394)</f>
        <v>17.20000076</v>
      </c>
      <c r="AB124" s="1">
        <f>IFERROR(__xludf.DUMMYFUNCTION("""COMPUTED_VALUE"""),1870228.0)</f>
        <v>1870228</v>
      </c>
      <c r="AC124" s="1">
        <f>IFERROR(__xludf.DUMMYFUNCTION("""COMPUTED_VALUE"""),100.0)</f>
        <v>100</v>
      </c>
      <c r="AD124" s="1">
        <f>IFERROR(__xludf.DUMMYFUNCTION("""COMPUTED_VALUE"""),16.7000007629394)</f>
        <v>16.70000076</v>
      </c>
      <c r="AE124" s="1">
        <f>IFERROR(__xludf.DUMMYFUNCTION("""COMPUTED_VALUE"""),293925.0)</f>
        <v>293925</v>
      </c>
      <c r="AF124" s="1">
        <f>IFERROR(__xludf.DUMMYFUNCTION("""COMPUTED_VALUE"""),19.3999996185302)</f>
        <v>19.39999962</v>
      </c>
      <c r="AG124" s="1">
        <f>IFERROR(__xludf.DUMMYFUNCTION("""COMPUTED_VALUE"""),1064.0)</f>
        <v>1064</v>
      </c>
      <c r="AH124" s="1">
        <f>IFERROR(__xludf.DUMMYFUNCTION("""COMPUTED_VALUE"""),19.3999996185302)</f>
        <v>19.39999962</v>
      </c>
      <c r="AI124" s="1">
        <f>IFERROR(__xludf.DUMMYFUNCTION("""COMPUTED_VALUE"""),200679.0)</f>
        <v>200679</v>
      </c>
      <c r="AJ124" s="1">
        <f>IFERROR(__xludf.DUMMYFUNCTION("""COMPUTED_VALUE"""),1000.0)</f>
        <v>1000</v>
      </c>
      <c r="AK124" s="1">
        <f>IFERROR(__xludf.DUMMYFUNCTION("""COMPUTED_VALUE"""),17.2999992370605)</f>
        <v>17.29999924</v>
      </c>
      <c r="AL124" s="1">
        <f>IFERROR(__xludf.DUMMYFUNCTION("""COMPUTED_VALUE"""),24727.0)</f>
        <v>24727</v>
      </c>
      <c r="AM124" s="1">
        <f>IFERROR(__xludf.DUMMYFUNCTION("""COMPUTED_VALUE"""),16.8999996185302)</f>
        <v>16.89999962</v>
      </c>
      <c r="AN124" s="1">
        <f>IFERROR(__xludf.DUMMYFUNCTION("""COMPUTED_VALUE"""),2753.0)</f>
        <v>2753</v>
      </c>
      <c r="AO124" s="1">
        <f>IFERROR(__xludf.DUMMYFUNCTION("""COMPUTED_VALUE"""),16.8999996185302)</f>
        <v>16.89999962</v>
      </c>
      <c r="AP124" s="1">
        <f>IFERROR(__xludf.DUMMYFUNCTION("""COMPUTED_VALUE"""),1093169.0)</f>
        <v>1093169</v>
      </c>
      <c r="AQ124" s="1">
        <f>IFERROR(__xludf.DUMMYFUNCTION("""COMPUTED_VALUE"""),5594.0)</f>
        <v>5594</v>
      </c>
      <c r="AR124" s="1">
        <f>IFERROR(__xludf.DUMMYFUNCTION("""COMPUTED_VALUE"""),16.5)</f>
        <v>16.5</v>
      </c>
      <c r="AS124" s="1">
        <f>IFERROR(__xludf.DUMMYFUNCTION("""COMPUTED_VALUE"""),460114.0)</f>
        <v>460114</v>
      </c>
    </row>
    <row r="125">
      <c r="A125" s="1" t="str">
        <f>IFERROR(__xludf.DUMMYFUNCTION("""COMPUTED_VALUE"""),"FFC")</f>
        <v>FFC</v>
      </c>
      <c r="B125" s="1">
        <f>IFERROR(__xludf.DUMMYFUNCTION("""COMPUTED_VALUE"""),240000.0)</f>
        <v>240000</v>
      </c>
      <c r="C125" s="1"/>
      <c r="D125" s="1">
        <f>IFERROR(__xludf.DUMMYFUNCTION("""COMPUTED_VALUE"""),258000.0)</f>
        <v>258000</v>
      </c>
      <c r="E125" s="1">
        <f>IFERROR(__xludf.DUMMYFUNCTION("""COMPUTED_VALUE"""),1.0)</f>
        <v>1</v>
      </c>
      <c r="F125" s="1">
        <f>IFERROR(__xludf.DUMMYFUNCTION("""COMPUTED_VALUE"""),258000.0)</f>
        <v>258000</v>
      </c>
      <c r="G125" s="1">
        <f>IFERROR(__xludf.DUMMYFUNCTION("""COMPUTED_VALUE"""),24.0)</f>
        <v>24</v>
      </c>
      <c r="H125" s="1">
        <f>IFERROR(__xludf.DUMMYFUNCTION("""COMPUTED_VALUE"""),100.0)</f>
        <v>100</v>
      </c>
      <c r="I125" s="1">
        <f>IFERROR(__xludf.DUMMYFUNCTION("""COMPUTED_VALUE"""),240000.0)</f>
        <v>240000</v>
      </c>
      <c r="J125" s="1">
        <f>IFERROR(__xludf.DUMMYFUNCTION("""COMPUTED_VALUE"""),100.0)</f>
        <v>100</v>
      </c>
      <c r="K125" s="1">
        <f>IFERROR(__xludf.DUMMYFUNCTION("""COMPUTED_VALUE"""),249000.0)</f>
        <v>249000</v>
      </c>
      <c r="L125" s="1">
        <f>IFERROR(__xludf.DUMMYFUNCTION("""COMPUTED_VALUE"""),1.0)</f>
        <v>1</v>
      </c>
      <c r="M125" s="1">
        <f>IFERROR(__xludf.DUMMYFUNCTION("""COMPUTED_VALUE"""),250000.0)</f>
        <v>250000</v>
      </c>
      <c r="N125" s="1">
        <f>IFERROR(__xludf.DUMMYFUNCTION("""COMPUTED_VALUE"""),8.0)</f>
        <v>8</v>
      </c>
      <c r="O125" s="1">
        <f>IFERROR(__xludf.DUMMYFUNCTION("""COMPUTED_VALUE"""),100.0)</f>
        <v>100</v>
      </c>
      <c r="P125" s="1">
        <f>IFERROR(__xludf.DUMMYFUNCTION("""COMPUTED_VALUE"""),240000.0)</f>
        <v>240000</v>
      </c>
      <c r="Q125" s="1">
        <f>IFERROR(__xludf.DUMMYFUNCTION("""COMPUTED_VALUE"""),100.0)</f>
        <v>100</v>
      </c>
      <c r="R125" s="1">
        <f>IFERROR(__xludf.DUMMYFUNCTION("""COMPUTED_VALUE"""),143944.21875)</f>
        <v>143944.2188</v>
      </c>
      <c r="S125" s="1"/>
      <c r="T125" s="1"/>
      <c r="U125" s="1">
        <f>IFERROR(__xludf.DUMMYFUNCTION("""COMPUTED_VALUE"""),0.0)</f>
        <v>0</v>
      </c>
      <c r="V125" s="1"/>
      <c r="W125" s="1"/>
      <c r="X125" s="1">
        <f>IFERROR(__xludf.DUMMYFUNCTION("""COMPUTED_VALUE"""),0.0)</f>
        <v>0</v>
      </c>
      <c r="Y125" s="1">
        <f>IFERROR(__xludf.DUMMYFUNCTION("""COMPUTED_VALUE"""),259000.0)</f>
        <v>259000</v>
      </c>
      <c r="Z125" s="1">
        <f>IFERROR(__xludf.DUMMYFUNCTION("""COMPUTED_VALUE"""),1.0)</f>
        <v>1</v>
      </c>
      <c r="AA125" s="1">
        <f>IFERROR(__xludf.DUMMYFUNCTION("""COMPUTED_VALUE"""),259000.0)</f>
        <v>259000</v>
      </c>
      <c r="AB125" s="1">
        <f>IFERROR(__xludf.DUMMYFUNCTION("""COMPUTED_VALUE"""),23.0)</f>
        <v>23</v>
      </c>
      <c r="AC125" s="1">
        <f>IFERROR(__xludf.DUMMYFUNCTION("""COMPUTED_VALUE"""),100.0)</f>
        <v>100</v>
      </c>
      <c r="AD125" s="1">
        <f>IFERROR(__xludf.DUMMYFUNCTION("""COMPUTED_VALUE"""),240000.0)</f>
        <v>240000</v>
      </c>
      <c r="AE125" s="1">
        <f>IFERROR(__xludf.DUMMYFUNCTION("""COMPUTED_VALUE"""),100.0)</f>
        <v>100</v>
      </c>
      <c r="AF125" s="1">
        <f>IFERROR(__xludf.DUMMYFUNCTION("""COMPUTED_VALUE"""),143944.21875)</f>
        <v>143944.2188</v>
      </c>
      <c r="AG125" s="1"/>
      <c r="AH125" s="1"/>
      <c r="AI125" s="1">
        <f>IFERROR(__xludf.DUMMYFUNCTION("""COMPUTED_VALUE"""),0.0)</f>
        <v>0</v>
      </c>
      <c r="AJ125" s="1"/>
      <c r="AK125" s="1"/>
      <c r="AL125" s="1">
        <f>IFERROR(__xludf.DUMMYFUNCTION("""COMPUTED_VALUE"""),0.0)</f>
        <v>0</v>
      </c>
      <c r="AM125" s="1">
        <f>IFERROR(__xludf.DUMMYFUNCTION("""COMPUTED_VALUE"""),250000.0)</f>
        <v>250000</v>
      </c>
      <c r="AN125" s="1">
        <f>IFERROR(__xludf.DUMMYFUNCTION("""COMPUTED_VALUE"""),1.0)</f>
        <v>1</v>
      </c>
      <c r="AO125" s="1">
        <f>IFERROR(__xludf.DUMMYFUNCTION("""COMPUTED_VALUE"""),260000.0)</f>
        <v>260000</v>
      </c>
      <c r="AP125" s="1">
        <f>IFERROR(__xludf.DUMMYFUNCTION("""COMPUTED_VALUE"""),23.0)</f>
        <v>23</v>
      </c>
      <c r="AQ125" s="1">
        <f>IFERROR(__xludf.DUMMYFUNCTION("""COMPUTED_VALUE"""),1.0)</f>
        <v>1</v>
      </c>
      <c r="AR125" s="1">
        <f>IFERROR(__xludf.DUMMYFUNCTION("""COMPUTED_VALUE"""),250000.0)</f>
        <v>250000</v>
      </c>
      <c r="AS125" s="1">
        <f>IFERROR(__xludf.DUMMYFUNCTION("""COMPUTED_VALUE"""),101.0)</f>
        <v>101</v>
      </c>
    </row>
    <row r="126">
      <c r="A126" s="1" t="str">
        <f>IFERROR(__xludf.DUMMYFUNCTION("""COMPUTED_VALUE"""),"FIM")</f>
        <v>FIM</v>
      </c>
      <c r="B126" s="1"/>
      <c r="C126" s="1"/>
      <c r="D126" s="1">
        <f>IFERROR(__xludf.DUMMYFUNCTION("""COMPUTED_VALUE"""),2260.0)</f>
        <v>2260</v>
      </c>
      <c r="E126" s="1">
        <f>IFERROR(__xludf.DUMMYFUNCTION("""COMPUTED_VALUE"""),165.0)</f>
        <v>165</v>
      </c>
      <c r="F126" s="1">
        <f>IFERROR(__xludf.DUMMYFUNCTION("""COMPUTED_VALUE"""),2890.0)</f>
        <v>2890</v>
      </c>
      <c r="G126" s="1">
        <f>IFERROR(__xludf.DUMMYFUNCTION("""COMPUTED_VALUE"""),25645.0)</f>
        <v>25645</v>
      </c>
      <c r="H126" s="1">
        <f>IFERROR(__xludf.DUMMYFUNCTION("""COMPUTED_VALUE"""),26.0)</f>
        <v>26</v>
      </c>
      <c r="I126" s="1">
        <f>IFERROR(__xludf.DUMMYFUNCTION("""COMPUTED_VALUE"""),2260.0)</f>
        <v>2260</v>
      </c>
      <c r="J126" s="1">
        <f>IFERROR(__xludf.DUMMYFUNCTION("""COMPUTED_VALUE"""),8584.0)</f>
        <v>8584</v>
      </c>
      <c r="K126" s="1">
        <f>IFERROR(__xludf.DUMMYFUNCTION("""COMPUTED_VALUE"""),2589.6201171875)</f>
        <v>2589.620117</v>
      </c>
      <c r="L126" s="1">
        <f>IFERROR(__xludf.DUMMYFUNCTION("""COMPUTED_VALUE"""),565.0)</f>
        <v>565</v>
      </c>
      <c r="M126" s="1">
        <f>IFERROR(__xludf.DUMMYFUNCTION("""COMPUTED_VALUE"""),2640.0)</f>
        <v>2640</v>
      </c>
      <c r="N126" s="1">
        <f>IFERROR(__xludf.DUMMYFUNCTION("""COMPUTED_VALUE"""),10187.0)</f>
        <v>10187</v>
      </c>
      <c r="O126" s="1">
        <f>IFERROR(__xludf.DUMMYFUNCTION("""COMPUTED_VALUE"""),8.0)</f>
        <v>8</v>
      </c>
      <c r="P126" s="1">
        <f>IFERROR(__xludf.DUMMYFUNCTION("""COMPUTED_VALUE"""),2150.0)</f>
        <v>2150</v>
      </c>
      <c r="Q126" s="1">
        <f>IFERROR(__xludf.DUMMYFUNCTION("""COMPUTED_VALUE"""),7022.0)</f>
        <v>7022</v>
      </c>
      <c r="R126" s="1">
        <f>IFERROR(__xludf.DUMMYFUNCTION("""COMPUTED_VALUE"""),3500.0)</f>
        <v>3500</v>
      </c>
      <c r="S126" s="1">
        <f>IFERROR(__xludf.DUMMYFUNCTION("""COMPUTED_VALUE"""),137.0)</f>
        <v>137</v>
      </c>
      <c r="T126" s="1">
        <f>IFERROR(__xludf.DUMMYFUNCTION("""COMPUTED_VALUE"""),3500.0)</f>
        <v>3500</v>
      </c>
      <c r="U126" s="1">
        <f>IFERROR(__xludf.DUMMYFUNCTION("""COMPUTED_VALUE"""),157.0)</f>
        <v>157</v>
      </c>
      <c r="V126" s="1"/>
      <c r="W126" s="1"/>
      <c r="X126" s="1">
        <f>IFERROR(__xludf.DUMMYFUNCTION("""COMPUTED_VALUE"""),0.0)</f>
        <v>0</v>
      </c>
      <c r="Y126" s="1">
        <f>IFERROR(__xludf.DUMMYFUNCTION("""COMPUTED_VALUE"""),2670.0)</f>
        <v>2670</v>
      </c>
      <c r="Z126" s="1">
        <f>IFERROR(__xludf.DUMMYFUNCTION("""COMPUTED_VALUE"""),2030.0)</f>
        <v>2030</v>
      </c>
      <c r="AA126" s="1">
        <f>IFERROR(__xludf.DUMMYFUNCTION("""COMPUTED_VALUE"""),2670.0)</f>
        <v>2670</v>
      </c>
      <c r="AB126" s="1">
        <f>IFERROR(__xludf.DUMMYFUNCTION("""COMPUTED_VALUE"""),23423.0)</f>
        <v>23423</v>
      </c>
      <c r="AC126" s="1">
        <f>IFERROR(__xludf.DUMMYFUNCTION("""COMPUTED_VALUE"""),1000.0)</f>
        <v>1000</v>
      </c>
      <c r="AD126" s="1">
        <f>IFERROR(__xludf.DUMMYFUNCTION("""COMPUTED_VALUE"""),2170.0)</f>
        <v>2170</v>
      </c>
      <c r="AE126" s="1">
        <f>IFERROR(__xludf.DUMMYFUNCTION("""COMPUTED_VALUE"""),10337.0)</f>
        <v>10337</v>
      </c>
      <c r="AF126" s="1">
        <f>IFERROR(__xludf.DUMMYFUNCTION("""COMPUTED_VALUE"""),1900.0)</f>
        <v>1900</v>
      </c>
      <c r="AG126" s="1">
        <f>IFERROR(__xludf.DUMMYFUNCTION("""COMPUTED_VALUE"""),419.0)</f>
        <v>419</v>
      </c>
      <c r="AH126" s="1">
        <f>IFERROR(__xludf.DUMMYFUNCTION("""COMPUTED_VALUE"""),2500.0)</f>
        <v>2500</v>
      </c>
      <c r="AI126" s="1">
        <f>IFERROR(__xludf.DUMMYFUNCTION("""COMPUTED_VALUE"""),419.0)</f>
        <v>419</v>
      </c>
      <c r="AJ126" s="1"/>
      <c r="AK126" s="1"/>
      <c r="AL126" s="1">
        <f>IFERROR(__xludf.DUMMYFUNCTION("""COMPUTED_VALUE"""),0.0)</f>
        <v>0</v>
      </c>
      <c r="AM126" s="1">
        <f>IFERROR(__xludf.DUMMYFUNCTION("""COMPUTED_VALUE"""),2150.0)</f>
        <v>2150</v>
      </c>
      <c r="AN126" s="1">
        <f>IFERROR(__xludf.DUMMYFUNCTION("""COMPUTED_VALUE"""),22.0)</f>
        <v>22</v>
      </c>
      <c r="AO126" s="1">
        <f>IFERROR(__xludf.DUMMYFUNCTION("""COMPUTED_VALUE"""),2300.0)</f>
        <v>2300</v>
      </c>
      <c r="AP126" s="1">
        <f>IFERROR(__xludf.DUMMYFUNCTION("""COMPUTED_VALUE"""),12452.0)</f>
        <v>12452</v>
      </c>
      <c r="AQ126" s="1">
        <f>IFERROR(__xludf.DUMMYFUNCTION("""COMPUTED_VALUE"""),761.0)</f>
        <v>761</v>
      </c>
      <c r="AR126" s="1">
        <f>IFERROR(__xludf.DUMMYFUNCTION("""COMPUTED_VALUE"""),2150.0)</f>
        <v>2150</v>
      </c>
      <c r="AS126" s="1">
        <f>IFERROR(__xludf.DUMMYFUNCTION("""COMPUTED_VALUE"""),8402.0)</f>
        <v>8402</v>
      </c>
    </row>
    <row r="127">
      <c r="A127" s="1" t="str">
        <f>IFERROR(__xludf.DUMMYFUNCTION("""COMPUTED_VALUE"""),"FIR")</f>
        <v>FIR</v>
      </c>
      <c r="B127" s="1"/>
      <c r="C127" s="1"/>
      <c r="D127" s="1">
        <f>IFERROR(__xludf.DUMMYFUNCTION("""COMPUTED_VALUE"""),1250000.0)</f>
        <v>1250000</v>
      </c>
      <c r="E127" s="1">
        <f>IFERROR(__xludf.DUMMYFUNCTION("""COMPUTED_VALUE"""),1.0)</f>
        <v>1</v>
      </c>
      <c r="F127" s="1">
        <f>IFERROR(__xludf.DUMMYFUNCTION("""COMPUTED_VALUE"""),1300000.0)</f>
        <v>1300000</v>
      </c>
      <c r="G127" s="1">
        <f>IFERROR(__xludf.DUMMYFUNCTION("""COMPUTED_VALUE"""),2.0)</f>
        <v>2</v>
      </c>
      <c r="H127" s="1"/>
      <c r="I127" s="1"/>
      <c r="J127" s="1">
        <f>IFERROR(__xludf.DUMMYFUNCTION("""COMPUTED_VALUE"""),0.0)</f>
        <v>0</v>
      </c>
      <c r="K127" s="1">
        <f>IFERROR(__xludf.DUMMYFUNCTION("""COMPUTED_VALUE"""),1400000.0)</f>
        <v>1400000</v>
      </c>
      <c r="L127" s="1">
        <f>IFERROR(__xludf.DUMMYFUNCTION("""COMPUTED_VALUE"""),1.0)</f>
        <v>1</v>
      </c>
      <c r="M127" s="1">
        <f>IFERROR(__xludf.DUMMYFUNCTION("""COMPUTED_VALUE"""),1400000.0)</f>
        <v>1400000</v>
      </c>
      <c r="N127" s="1">
        <f>IFERROR(__xludf.DUMMYFUNCTION("""COMPUTED_VALUE"""),1.0)</f>
        <v>1</v>
      </c>
      <c r="O127" s="1"/>
      <c r="P127" s="1"/>
      <c r="Q127" s="1">
        <f>IFERROR(__xludf.DUMMYFUNCTION("""COMPUTED_VALUE"""),0.0)</f>
        <v>0</v>
      </c>
      <c r="R127" s="1">
        <f>IFERROR(__xludf.DUMMYFUNCTION("""COMPUTED_VALUE"""),560757.5)</f>
        <v>560757.5</v>
      </c>
      <c r="S127" s="1"/>
      <c r="T127" s="1"/>
      <c r="U127" s="1">
        <f>IFERROR(__xludf.DUMMYFUNCTION("""COMPUTED_VALUE"""),0.0)</f>
        <v>0</v>
      </c>
      <c r="V127" s="1"/>
      <c r="W127" s="1"/>
      <c r="X127" s="1">
        <f>IFERROR(__xludf.DUMMYFUNCTION("""COMPUTED_VALUE"""),0.0)</f>
        <v>0</v>
      </c>
      <c r="Y127" s="1">
        <f>IFERROR(__xludf.DUMMYFUNCTION("""COMPUTED_VALUE"""),948875.0)</f>
        <v>948875</v>
      </c>
      <c r="Z127" s="1"/>
      <c r="AA127" s="1"/>
      <c r="AB127" s="1">
        <f>IFERROR(__xludf.DUMMYFUNCTION("""COMPUTED_VALUE"""),0.0)</f>
        <v>0</v>
      </c>
      <c r="AC127" s="1"/>
      <c r="AD127" s="1"/>
      <c r="AE127" s="1">
        <f>IFERROR(__xludf.DUMMYFUNCTION("""COMPUTED_VALUE"""),0.0)</f>
        <v>0</v>
      </c>
      <c r="AF127" s="1">
        <f>IFERROR(__xludf.DUMMYFUNCTION("""COMPUTED_VALUE"""),560757.5)</f>
        <v>560757.5</v>
      </c>
      <c r="AG127" s="1"/>
      <c r="AH127" s="1"/>
      <c r="AI127" s="1">
        <f>IFERROR(__xludf.DUMMYFUNCTION("""COMPUTED_VALUE"""),0.0)</f>
        <v>0</v>
      </c>
      <c r="AJ127" s="1"/>
      <c r="AK127" s="1"/>
      <c r="AL127" s="1">
        <f>IFERROR(__xludf.DUMMYFUNCTION("""COMPUTED_VALUE"""),0.0)</f>
        <v>0</v>
      </c>
      <c r="AM127" s="1">
        <f>IFERROR(__xludf.DUMMYFUNCTION("""COMPUTED_VALUE"""),560757.5)</f>
        <v>560757.5</v>
      </c>
      <c r="AN127" s="1">
        <f>IFERROR(__xludf.DUMMYFUNCTION("""COMPUTED_VALUE"""),2.0)</f>
        <v>2</v>
      </c>
      <c r="AO127" s="1">
        <f>IFERROR(__xludf.DUMMYFUNCTION("""COMPUTED_VALUE"""),1400000.0)</f>
        <v>1400000</v>
      </c>
      <c r="AP127" s="1">
        <f>IFERROR(__xludf.DUMMYFUNCTION("""COMPUTED_VALUE"""),2.0)</f>
        <v>2</v>
      </c>
      <c r="AQ127" s="1"/>
      <c r="AR127" s="1"/>
      <c r="AS127" s="1">
        <f>IFERROR(__xludf.DUMMYFUNCTION("""COMPUTED_VALUE"""),0.0)</f>
        <v>0</v>
      </c>
    </row>
    <row r="128">
      <c r="A128" s="1" t="str">
        <f>IFERROR(__xludf.DUMMYFUNCTION("""COMPUTED_VALUE"""),"FLO")</f>
        <v>FLO</v>
      </c>
      <c r="B128" s="1"/>
      <c r="C128" s="1"/>
      <c r="D128" s="1">
        <f>IFERROR(__xludf.DUMMYFUNCTION("""COMPUTED_VALUE"""),30000.0)</f>
        <v>30000</v>
      </c>
      <c r="E128" s="1">
        <f>IFERROR(__xludf.DUMMYFUNCTION("""COMPUTED_VALUE"""),1.0)</f>
        <v>1</v>
      </c>
      <c r="F128" s="1">
        <f>IFERROR(__xludf.DUMMYFUNCTION("""COMPUTED_VALUE"""),23000.0)</f>
        <v>23000</v>
      </c>
      <c r="G128" s="1">
        <f>IFERROR(__xludf.DUMMYFUNCTION("""COMPUTED_VALUE"""),230.0)</f>
        <v>230</v>
      </c>
      <c r="H128" s="1">
        <f>IFERROR(__xludf.DUMMYFUNCTION("""COMPUTED_VALUE"""),100.0)</f>
        <v>100</v>
      </c>
      <c r="I128" s="1">
        <f>IFERROR(__xludf.DUMMYFUNCTION("""COMPUTED_VALUE"""),20000.0)</f>
        <v>20000</v>
      </c>
      <c r="J128" s="1">
        <f>IFERROR(__xludf.DUMMYFUNCTION("""COMPUTED_VALUE"""),100.0)</f>
        <v>100</v>
      </c>
      <c r="K128" s="1">
        <f>IFERROR(__xludf.DUMMYFUNCTION("""COMPUTED_VALUE"""),28500.0)</f>
        <v>28500</v>
      </c>
      <c r="L128" s="1">
        <f>IFERROR(__xludf.DUMMYFUNCTION("""COMPUTED_VALUE"""),2.0)</f>
        <v>2</v>
      </c>
      <c r="M128" s="1">
        <f>IFERROR(__xludf.DUMMYFUNCTION("""COMPUTED_VALUE"""),25000.0)</f>
        <v>25000</v>
      </c>
      <c r="N128" s="1">
        <f>IFERROR(__xludf.DUMMYFUNCTION("""COMPUTED_VALUE"""),151.0)</f>
        <v>151</v>
      </c>
      <c r="O128" s="1"/>
      <c r="P128" s="1"/>
      <c r="Q128" s="1">
        <f>IFERROR(__xludf.DUMMYFUNCTION("""COMPUTED_VALUE"""),0.0)</f>
        <v>0</v>
      </c>
      <c r="R128" s="1">
        <f>IFERROR(__xludf.DUMMYFUNCTION("""COMPUTED_VALUE"""),10142.9501953125)</f>
        <v>10142.9502</v>
      </c>
      <c r="S128" s="1"/>
      <c r="T128" s="1"/>
      <c r="U128" s="1">
        <f>IFERROR(__xludf.DUMMYFUNCTION("""COMPUTED_VALUE"""),0.0)</f>
        <v>0</v>
      </c>
      <c r="V128" s="1"/>
      <c r="W128" s="1"/>
      <c r="X128" s="1">
        <f>IFERROR(__xludf.DUMMYFUNCTION("""COMPUTED_VALUE"""),0.0)</f>
        <v>0</v>
      </c>
      <c r="Y128" s="1">
        <f>IFERROR(__xludf.DUMMYFUNCTION("""COMPUTED_VALUE"""),19300.0)</f>
        <v>19300</v>
      </c>
      <c r="Z128" s="1">
        <f>IFERROR(__xludf.DUMMYFUNCTION("""COMPUTED_VALUE"""),95.0)</f>
        <v>95</v>
      </c>
      <c r="AA128" s="1">
        <f>IFERROR(__xludf.DUMMYFUNCTION("""COMPUTED_VALUE"""),24200.0)</f>
        <v>24200</v>
      </c>
      <c r="AB128" s="1">
        <f>IFERROR(__xludf.DUMMYFUNCTION("""COMPUTED_VALUE"""),95.0)</f>
        <v>95</v>
      </c>
      <c r="AC128" s="1"/>
      <c r="AD128" s="1"/>
      <c r="AE128" s="1">
        <f>IFERROR(__xludf.DUMMYFUNCTION("""COMPUTED_VALUE"""),0.0)</f>
        <v>0</v>
      </c>
      <c r="AF128" s="1">
        <f>IFERROR(__xludf.DUMMYFUNCTION("""COMPUTED_VALUE"""),10142.9501953125)</f>
        <v>10142.9502</v>
      </c>
      <c r="AG128" s="1"/>
      <c r="AH128" s="1"/>
      <c r="AI128" s="1">
        <f>IFERROR(__xludf.DUMMYFUNCTION("""COMPUTED_VALUE"""),0.0)</f>
        <v>0</v>
      </c>
      <c r="AJ128" s="1"/>
      <c r="AK128" s="1"/>
      <c r="AL128" s="1">
        <f>IFERROR(__xludf.DUMMYFUNCTION("""COMPUTED_VALUE"""),0.0)</f>
        <v>0</v>
      </c>
      <c r="AM128" s="1">
        <f>IFERROR(__xludf.DUMMYFUNCTION("""COMPUTED_VALUE"""),35000.0)</f>
        <v>35000</v>
      </c>
      <c r="AN128" s="1">
        <f>IFERROR(__xludf.DUMMYFUNCTION("""COMPUTED_VALUE"""),42.0)</f>
        <v>42</v>
      </c>
      <c r="AO128" s="1">
        <f>IFERROR(__xludf.DUMMYFUNCTION("""COMPUTED_VALUE"""),35000.0)</f>
        <v>35000</v>
      </c>
      <c r="AP128" s="1">
        <f>IFERROR(__xludf.DUMMYFUNCTION("""COMPUTED_VALUE"""),88.0)</f>
        <v>88</v>
      </c>
      <c r="AQ128" s="1"/>
      <c r="AR128" s="1"/>
      <c r="AS128" s="1">
        <f>IFERROR(__xludf.DUMMYFUNCTION("""COMPUTED_VALUE"""),0.0)</f>
        <v>0</v>
      </c>
    </row>
    <row r="129">
      <c r="A129" s="1" t="str">
        <f>IFERROR(__xludf.DUMMYFUNCTION("""COMPUTED_VALUE"""),"FLP")</f>
        <v>FLP</v>
      </c>
      <c r="B129" s="1"/>
      <c r="C129" s="1"/>
      <c r="D129" s="1">
        <f>IFERROR(__xludf.DUMMYFUNCTION("""COMPUTED_VALUE"""),625.0)</f>
        <v>625</v>
      </c>
      <c r="E129" s="1">
        <f>IFERROR(__xludf.DUMMYFUNCTION("""COMPUTED_VALUE"""),719.0)</f>
        <v>719</v>
      </c>
      <c r="F129" s="1">
        <f>IFERROR(__xludf.DUMMYFUNCTION("""COMPUTED_VALUE"""),625.0)</f>
        <v>625</v>
      </c>
      <c r="G129" s="1">
        <f>IFERROR(__xludf.DUMMYFUNCTION("""COMPUTED_VALUE"""),3697.0)</f>
        <v>3697</v>
      </c>
      <c r="H129" s="1">
        <f>IFERROR(__xludf.DUMMYFUNCTION("""COMPUTED_VALUE"""),184.0)</f>
        <v>184</v>
      </c>
      <c r="I129" s="1">
        <f>IFERROR(__xludf.DUMMYFUNCTION("""COMPUTED_VALUE"""),570.0)</f>
        <v>570</v>
      </c>
      <c r="J129" s="1">
        <f>IFERROR(__xludf.DUMMYFUNCTION("""COMPUTED_VALUE"""),1313.0)</f>
        <v>1313</v>
      </c>
      <c r="K129" s="1">
        <f>IFERROR(__xludf.DUMMYFUNCTION("""COMPUTED_VALUE"""),777.0)</f>
        <v>777</v>
      </c>
      <c r="L129" s="1">
        <f>IFERROR(__xludf.DUMMYFUNCTION("""COMPUTED_VALUE"""),43.0)</f>
        <v>43</v>
      </c>
      <c r="M129" s="1">
        <f>IFERROR(__xludf.DUMMYFUNCTION("""COMPUTED_VALUE"""),777.0)</f>
        <v>777</v>
      </c>
      <c r="N129" s="1">
        <f>IFERROR(__xludf.DUMMYFUNCTION("""COMPUTED_VALUE"""),423.0)</f>
        <v>423</v>
      </c>
      <c r="O129" s="1">
        <f>IFERROR(__xludf.DUMMYFUNCTION("""COMPUTED_VALUE"""),1.0)</f>
        <v>1</v>
      </c>
      <c r="P129" s="1">
        <f>IFERROR(__xludf.DUMMYFUNCTION("""COMPUTED_VALUE"""),770.0)</f>
        <v>770</v>
      </c>
      <c r="Q129" s="1">
        <f>IFERROR(__xludf.DUMMYFUNCTION("""COMPUTED_VALUE"""),51.0)</f>
        <v>51</v>
      </c>
      <c r="R129" s="1">
        <f>IFERROR(__xludf.DUMMYFUNCTION("""COMPUTED_VALUE"""),200.0)</f>
        <v>200</v>
      </c>
      <c r="S129" s="1">
        <f>IFERROR(__xludf.DUMMYFUNCTION("""COMPUTED_VALUE"""),100.0)</f>
        <v>100</v>
      </c>
      <c r="T129" s="1">
        <f>IFERROR(__xludf.DUMMYFUNCTION("""COMPUTED_VALUE"""),600.0)</f>
        <v>600</v>
      </c>
      <c r="U129" s="1">
        <f>IFERROR(__xludf.DUMMYFUNCTION("""COMPUTED_VALUE"""),100.0)</f>
        <v>100</v>
      </c>
      <c r="V129" s="1">
        <f>IFERROR(__xludf.DUMMYFUNCTION("""COMPUTED_VALUE"""),500.0)</f>
        <v>500</v>
      </c>
      <c r="W129" s="1">
        <f>IFERROR(__xludf.DUMMYFUNCTION("""COMPUTED_VALUE"""),300.0)</f>
        <v>300</v>
      </c>
      <c r="X129" s="1">
        <f>IFERROR(__xludf.DUMMYFUNCTION("""COMPUTED_VALUE"""),500.0)</f>
        <v>500</v>
      </c>
      <c r="Y129" s="1">
        <f>IFERROR(__xludf.DUMMYFUNCTION("""COMPUTED_VALUE"""),616.0)</f>
        <v>616</v>
      </c>
      <c r="Z129" s="1">
        <f>IFERROR(__xludf.DUMMYFUNCTION("""COMPUTED_VALUE"""),30.0)</f>
        <v>30</v>
      </c>
      <c r="AA129" s="1">
        <f>IFERROR(__xludf.DUMMYFUNCTION("""COMPUTED_VALUE"""),616.0)</f>
        <v>616</v>
      </c>
      <c r="AB129" s="1">
        <f>IFERROR(__xludf.DUMMYFUNCTION("""COMPUTED_VALUE"""),24381.0)</f>
        <v>24381</v>
      </c>
      <c r="AC129" s="1">
        <f>IFERROR(__xludf.DUMMYFUNCTION("""COMPUTED_VALUE"""),92.0)</f>
        <v>92</v>
      </c>
      <c r="AD129" s="1">
        <f>IFERROR(__xludf.DUMMYFUNCTION("""COMPUTED_VALUE"""),565.0)</f>
        <v>565</v>
      </c>
      <c r="AE129" s="1">
        <f>IFERROR(__xludf.DUMMYFUNCTION("""COMPUTED_VALUE"""),5300.0)</f>
        <v>5300</v>
      </c>
      <c r="AF129" s="1">
        <f>IFERROR(__xludf.DUMMYFUNCTION("""COMPUTED_VALUE"""),600.0)</f>
        <v>600</v>
      </c>
      <c r="AG129" s="1">
        <f>IFERROR(__xludf.DUMMYFUNCTION("""COMPUTED_VALUE"""),40.0)</f>
        <v>40</v>
      </c>
      <c r="AH129" s="1">
        <f>IFERROR(__xludf.DUMMYFUNCTION("""COMPUTED_VALUE"""),600.0)</f>
        <v>600</v>
      </c>
      <c r="AI129" s="1">
        <f>IFERROR(__xludf.DUMMYFUNCTION("""COMPUTED_VALUE"""),720.0)</f>
        <v>720</v>
      </c>
      <c r="AJ129" s="1"/>
      <c r="AK129" s="1"/>
      <c r="AL129" s="1">
        <f>IFERROR(__xludf.DUMMYFUNCTION("""COMPUTED_VALUE"""),0.0)</f>
        <v>0</v>
      </c>
      <c r="AM129" s="1">
        <f>IFERROR(__xludf.DUMMYFUNCTION("""COMPUTED_VALUE"""),699.0)</f>
        <v>699</v>
      </c>
      <c r="AN129" s="1">
        <f>IFERROR(__xludf.DUMMYFUNCTION("""COMPUTED_VALUE"""),1851.0)</f>
        <v>1851</v>
      </c>
      <c r="AO129" s="1">
        <f>IFERROR(__xludf.DUMMYFUNCTION("""COMPUTED_VALUE"""),699.0)</f>
        <v>699</v>
      </c>
      <c r="AP129" s="1">
        <f>IFERROR(__xludf.DUMMYFUNCTION("""COMPUTED_VALUE"""),2992.0)</f>
        <v>2992</v>
      </c>
      <c r="AQ129" s="1">
        <f>IFERROR(__xludf.DUMMYFUNCTION("""COMPUTED_VALUE"""),100.0)</f>
        <v>100</v>
      </c>
      <c r="AR129" s="1">
        <f>IFERROR(__xludf.DUMMYFUNCTION("""COMPUTED_VALUE"""),550.0)</f>
        <v>550</v>
      </c>
      <c r="AS129" s="1">
        <f>IFERROR(__xludf.DUMMYFUNCTION("""COMPUTED_VALUE"""),282.0)</f>
        <v>282</v>
      </c>
    </row>
    <row r="130">
      <c r="A130" s="1" t="str">
        <f>IFERROR(__xludf.DUMMYFUNCTION("""COMPUTED_VALUE"""),"FLX")</f>
        <v>FLX</v>
      </c>
      <c r="B130" s="1"/>
      <c r="C130" s="1"/>
      <c r="D130" s="1">
        <f>IFERROR(__xludf.DUMMYFUNCTION("""COMPUTED_VALUE"""),235.0)</f>
        <v>235</v>
      </c>
      <c r="E130" s="1">
        <f>IFERROR(__xludf.DUMMYFUNCTION("""COMPUTED_VALUE"""),20.0)</f>
        <v>20</v>
      </c>
      <c r="F130" s="1">
        <f>IFERROR(__xludf.DUMMYFUNCTION("""COMPUTED_VALUE"""),234.0)</f>
        <v>234</v>
      </c>
      <c r="G130" s="1">
        <f>IFERROR(__xludf.DUMMYFUNCTION("""COMPUTED_VALUE"""),62575.0)</f>
        <v>62575</v>
      </c>
      <c r="H130" s="1">
        <f>IFERROR(__xludf.DUMMYFUNCTION("""COMPUTED_VALUE"""),900.0)</f>
        <v>900</v>
      </c>
      <c r="I130" s="1">
        <f>IFERROR(__xludf.DUMMYFUNCTION("""COMPUTED_VALUE"""),189.0)</f>
        <v>189</v>
      </c>
      <c r="J130" s="1">
        <f>IFERROR(__xludf.DUMMYFUNCTION("""COMPUTED_VALUE"""),42570.0)</f>
        <v>42570</v>
      </c>
      <c r="K130" s="1">
        <f>IFERROR(__xludf.DUMMYFUNCTION("""COMPUTED_VALUE"""),202.350006103515)</f>
        <v>202.3500061</v>
      </c>
      <c r="L130" s="1">
        <f>IFERROR(__xludf.DUMMYFUNCTION("""COMPUTED_VALUE"""),1394.0)</f>
        <v>1394</v>
      </c>
      <c r="M130" s="1">
        <f>IFERROR(__xludf.DUMMYFUNCTION("""COMPUTED_VALUE"""),209.0)</f>
        <v>209</v>
      </c>
      <c r="N130" s="1">
        <f>IFERROR(__xludf.DUMMYFUNCTION("""COMPUTED_VALUE"""),51805.0)</f>
        <v>51805</v>
      </c>
      <c r="O130" s="1">
        <f>IFERROR(__xludf.DUMMYFUNCTION("""COMPUTED_VALUE"""),127.0)</f>
        <v>127</v>
      </c>
      <c r="P130" s="1">
        <f>IFERROR(__xludf.DUMMYFUNCTION("""COMPUTED_VALUE"""),172.0)</f>
        <v>172</v>
      </c>
      <c r="Q130" s="1">
        <f>IFERROR(__xludf.DUMMYFUNCTION("""COMPUTED_VALUE"""),26596.0)</f>
        <v>26596</v>
      </c>
      <c r="R130" s="1">
        <f>IFERROR(__xludf.DUMMYFUNCTION("""COMPUTED_VALUE"""),200.0)</f>
        <v>200</v>
      </c>
      <c r="S130" s="1">
        <f>IFERROR(__xludf.DUMMYFUNCTION("""COMPUTED_VALUE"""),100.0)</f>
        <v>100</v>
      </c>
      <c r="T130" s="1">
        <f>IFERROR(__xludf.DUMMYFUNCTION("""COMPUTED_VALUE"""),200.0)</f>
        <v>200</v>
      </c>
      <c r="U130" s="1">
        <f>IFERROR(__xludf.DUMMYFUNCTION("""COMPUTED_VALUE"""),450.0)</f>
        <v>450</v>
      </c>
      <c r="V130" s="1"/>
      <c r="W130" s="1"/>
      <c r="X130" s="1">
        <f>IFERROR(__xludf.DUMMYFUNCTION("""COMPUTED_VALUE"""),0.0)</f>
        <v>0</v>
      </c>
      <c r="Y130" s="1">
        <f>IFERROR(__xludf.DUMMYFUNCTION("""COMPUTED_VALUE"""),189.399993896484)</f>
        <v>189.3999939</v>
      </c>
      <c r="Z130" s="1">
        <f>IFERROR(__xludf.DUMMYFUNCTION("""COMPUTED_VALUE"""),763.0)</f>
        <v>763</v>
      </c>
      <c r="AA130" s="1">
        <f>IFERROR(__xludf.DUMMYFUNCTION("""COMPUTED_VALUE"""),190.0)</f>
        <v>190</v>
      </c>
      <c r="AB130" s="1">
        <f>IFERROR(__xludf.DUMMYFUNCTION("""COMPUTED_VALUE"""),99525.0)</f>
        <v>99525</v>
      </c>
      <c r="AC130" s="1">
        <f>IFERROR(__xludf.DUMMYFUNCTION("""COMPUTED_VALUE"""),56.0)</f>
        <v>56</v>
      </c>
      <c r="AD130" s="1">
        <f>IFERROR(__xludf.DUMMYFUNCTION("""COMPUTED_VALUE"""),163.0)</f>
        <v>163</v>
      </c>
      <c r="AE130" s="1">
        <f>IFERROR(__xludf.DUMMYFUNCTION("""COMPUTED_VALUE"""),68115.0)</f>
        <v>68115</v>
      </c>
      <c r="AF130" s="1">
        <f>IFERROR(__xludf.DUMMYFUNCTION("""COMPUTED_VALUE"""),199.0)</f>
        <v>199</v>
      </c>
      <c r="AG130" s="1">
        <f>IFERROR(__xludf.DUMMYFUNCTION("""COMPUTED_VALUE"""),40.0)</f>
        <v>40</v>
      </c>
      <c r="AH130" s="1">
        <f>IFERROR(__xludf.DUMMYFUNCTION("""COMPUTED_VALUE"""),190.0)</f>
        <v>190</v>
      </c>
      <c r="AI130" s="1">
        <f>IFERROR(__xludf.DUMMYFUNCTION("""COMPUTED_VALUE"""),2360.0)</f>
        <v>2360</v>
      </c>
      <c r="AJ130" s="1">
        <f>IFERROR(__xludf.DUMMYFUNCTION("""COMPUTED_VALUE"""),500.0)</f>
        <v>500</v>
      </c>
      <c r="AK130" s="1">
        <f>IFERROR(__xludf.DUMMYFUNCTION("""COMPUTED_VALUE"""),100.0)</f>
        <v>100</v>
      </c>
      <c r="AL130" s="1">
        <f>IFERROR(__xludf.DUMMYFUNCTION("""COMPUTED_VALUE"""),500.0)</f>
        <v>500</v>
      </c>
      <c r="AM130" s="1">
        <f>IFERROR(__xludf.DUMMYFUNCTION("""COMPUTED_VALUE"""),143.0)</f>
        <v>143</v>
      </c>
      <c r="AN130" s="1">
        <f>IFERROR(__xludf.DUMMYFUNCTION("""COMPUTED_VALUE"""),30.0)</f>
        <v>30</v>
      </c>
      <c r="AO130" s="1">
        <f>IFERROR(__xludf.DUMMYFUNCTION("""COMPUTED_VALUE"""),200.0)</f>
        <v>200</v>
      </c>
      <c r="AP130" s="1">
        <f>IFERROR(__xludf.DUMMYFUNCTION("""COMPUTED_VALUE"""),44053.0)</f>
        <v>44053</v>
      </c>
      <c r="AQ130" s="1">
        <f>IFERROR(__xludf.DUMMYFUNCTION("""COMPUTED_VALUE"""),29.0)</f>
        <v>29</v>
      </c>
      <c r="AR130" s="1">
        <f>IFERROR(__xludf.DUMMYFUNCTION("""COMPUTED_VALUE"""),142.0)</f>
        <v>142</v>
      </c>
      <c r="AS130" s="1">
        <f>IFERROR(__xludf.DUMMYFUNCTION("""COMPUTED_VALUE"""),35009.0)</f>
        <v>35009</v>
      </c>
    </row>
    <row r="131">
      <c r="A131" s="1" t="str">
        <f>IFERROR(__xludf.DUMMYFUNCTION("""COMPUTED_VALUE"""),"FOD")</f>
        <v>FOD</v>
      </c>
      <c r="B131" s="1"/>
      <c r="C131" s="1"/>
      <c r="D131" s="1">
        <f>IFERROR(__xludf.DUMMYFUNCTION("""COMPUTED_VALUE"""),440.0)</f>
        <v>440</v>
      </c>
      <c r="E131" s="1">
        <f>IFERROR(__xludf.DUMMYFUNCTION("""COMPUTED_VALUE"""),1473.0)</f>
        <v>1473</v>
      </c>
      <c r="F131" s="1">
        <f>IFERROR(__xludf.DUMMYFUNCTION("""COMPUTED_VALUE"""),440.0)</f>
        <v>440</v>
      </c>
      <c r="G131" s="1">
        <f>IFERROR(__xludf.DUMMYFUNCTION("""COMPUTED_VALUE"""),13900.0)</f>
        <v>13900</v>
      </c>
      <c r="H131" s="1">
        <f>IFERROR(__xludf.DUMMYFUNCTION("""COMPUTED_VALUE"""),55.0)</f>
        <v>55</v>
      </c>
      <c r="I131" s="1">
        <f>IFERROR(__xludf.DUMMYFUNCTION("""COMPUTED_VALUE"""),402.0)</f>
        <v>402</v>
      </c>
      <c r="J131" s="1">
        <f>IFERROR(__xludf.DUMMYFUNCTION("""COMPUTED_VALUE"""),3905.0)</f>
        <v>3905</v>
      </c>
      <c r="K131" s="1">
        <f>IFERROR(__xludf.DUMMYFUNCTION("""COMPUTED_VALUE"""),485.950012207031)</f>
        <v>485.9500122</v>
      </c>
      <c r="L131" s="1">
        <f>IFERROR(__xludf.DUMMYFUNCTION("""COMPUTED_VALUE"""),604.0)</f>
        <v>604</v>
      </c>
      <c r="M131" s="1">
        <f>IFERROR(__xludf.DUMMYFUNCTION("""COMPUTED_VALUE"""),486.0)</f>
        <v>486</v>
      </c>
      <c r="N131" s="1">
        <f>IFERROR(__xludf.DUMMYFUNCTION("""COMPUTED_VALUE"""),1370.0)</f>
        <v>1370</v>
      </c>
      <c r="O131" s="1">
        <f>IFERROR(__xludf.DUMMYFUNCTION("""COMPUTED_VALUE"""),8.0)</f>
        <v>8</v>
      </c>
      <c r="P131" s="1">
        <f>IFERROR(__xludf.DUMMYFUNCTION("""COMPUTED_VALUE"""),484.0)</f>
        <v>484</v>
      </c>
      <c r="Q131" s="1">
        <f>IFERROR(__xludf.DUMMYFUNCTION("""COMPUTED_VALUE"""),108.0)</f>
        <v>108</v>
      </c>
      <c r="R131" s="1">
        <f>IFERROR(__xludf.DUMMYFUNCTION("""COMPUTED_VALUE"""),290.0)</f>
        <v>290</v>
      </c>
      <c r="S131" s="1"/>
      <c r="T131" s="1"/>
      <c r="U131" s="1">
        <f>IFERROR(__xludf.DUMMYFUNCTION("""COMPUTED_VALUE"""),0.0)</f>
        <v>0</v>
      </c>
      <c r="V131" s="1"/>
      <c r="W131" s="1"/>
      <c r="X131" s="1">
        <f>IFERROR(__xludf.DUMMYFUNCTION("""COMPUTED_VALUE"""),0.0)</f>
        <v>0</v>
      </c>
      <c r="Y131" s="1">
        <f>IFERROR(__xludf.DUMMYFUNCTION("""COMPUTED_VALUE"""),321.0)</f>
        <v>321</v>
      </c>
      <c r="Z131" s="1">
        <f>IFERROR(__xludf.DUMMYFUNCTION("""COMPUTED_VALUE"""),168.0)</f>
        <v>168</v>
      </c>
      <c r="AA131" s="1">
        <f>IFERROR(__xludf.DUMMYFUNCTION("""COMPUTED_VALUE"""),450.0)</f>
        <v>450</v>
      </c>
      <c r="AB131" s="1">
        <f>IFERROR(__xludf.DUMMYFUNCTION("""COMPUTED_VALUE"""),3024.0)</f>
        <v>3024</v>
      </c>
      <c r="AC131" s="1">
        <f>IFERROR(__xludf.DUMMYFUNCTION("""COMPUTED_VALUE"""),499.0)</f>
        <v>499</v>
      </c>
      <c r="AD131" s="1">
        <f>IFERROR(__xludf.DUMMYFUNCTION("""COMPUTED_VALUE"""),321.0)</f>
        <v>321</v>
      </c>
      <c r="AE131" s="1">
        <f>IFERROR(__xludf.DUMMYFUNCTION("""COMPUTED_VALUE"""),8324.0)</f>
        <v>8324</v>
      </c>
      <c r="AF131" s="1">
        <f>IFERROR(__xludf.DUMMYFUNCTION("""COMPUTED_VALUE"""),420.0)</f>
        <v>420</v>
      </c>
      <c r="AG131" s="1"/>
      <c r="AH131" s="1"/>
      <c r="AI131" s="1">
        <f>IFERROR(__xludf.DUMMYFUNCTION("""COMPUTED_VALUE"""),0.0)</f>
        <v>0</v>
      </c>
      <c r="AJ131" s="1">
        <f>IFERROR(__xludf.DUMMYFUNCTION("""COMPUTED_VALUE"""),372.0)</f>
        <v>372</v>
      </c>
      <c r="AK131" s="1">
        <f>IFERROR(__xludf.DUMMYFUNCTION("""COMPUTED_VALUE"""),400.0)</f>
        <v>400</v>
      </c>
      <c r="AL131" s="1">
        <f>IFERROR(__xludf.DUMMYFUNCTION("""COMPUTED_VALUE"""),372.0)</f>
        <v>372</v>
      </c>
      <c r="AM131" s="1">
        <f>IFERROR(__xludf.DUMMYFUNCTION("""COMPUTED_VALUE"""),300.0)</f>
        <v>300</v>
      </c>
      <c r="AN131" s="1">
        <f>IFERROR(__xludf.DUMMYFUNCTION("""COMPUTED_VALUE"""),160.0)</f>
        <v>160</v>
      </c>
      <c r="AO131" s="1">
        <f>IFERROR(__xludf.DUMMYFUNCTION("""COMPUTED_VALUE"""),420.0)</f>
        <v>420</v>
      </c>
      <c r="AP131" s="1">
        <f>IFERROR(__xludf.DUMMYFUNCTION("""COMPUTED_VALUE"""),1995.0)</f>
        <v>1995</v>
      </c>
      <c r="AQ131" s="1">
        <f>IFERROR(__xludf.DUMMYFUNCTION("""COMPUTED_VALUE"""),153.0)</f>
        <v>153</v>
      </c>
      <c r="AR131" s="1">
        <f>IFERROR(__xludf.DUMMYFUNCTION("""COMPUTED_VALUE"""),300.0)</f>
        <v>300</v>
      </c>
      <c r="AS131" s="1">
        <f>IFERROR(__xludf.DUMMYFUNCTION("""COMPUTED_VALUE"""),5330.0)</f>
        <v>5330</v>
      </c>
    </row>
    <row r="132">
      <c r="A132" s="1" t="str">
        <f>IFERROR(__xludf.DUMMYFUNCTION("""COMPUTED_VALUE"""),"FSE")</f>
        <v>FSE</v>
      </c>
      <c r="B132" s="1"/>
      <c r="C132" s="1"/>
      <c r="D132" s="1">
        <f>IFERROR(__xludf.DUMMYFUNCTION("""COMPUTED_VALUE"""),1160000.0)</f>
        <v>1160000</v>
      </c>
      <c r="E132" s="1">
        <f>IFERROR(__xludf.DUMMYFUNCTION("""COMPUTED_VALUE"""),1.0)</f>
        <v>1</v>
      </c>
      <c r="F132" s="1">
        <f>IFERROR(__xludf.DUMMYFUNCTION("""COMPUTED_VALUE"""),1160000.0)</f>
        <v>1160000</v>
      </c>
      <c r="G132" s="1">
        <f>IFERROR(__xludf.DUMMYFUNCTION("""COMPUTED_VALUE"""),35.0)</f>
        <v>35</v>
      </c>
      <c r="H132" s="1">
        <f>IFERROR(__xludf.DUMMYFUNCTION("""COMPUTED_VALUE"""),1.0)</f>
        <v>1</v>
      </c>
      <c r="I132" s="1">
        <f>IFERROR(__xludf.DUMMYFUNCTION("""COMPUTED_VALUE"""),700000.0)</f>
        <v>700000</v>
      </c>
      <c r="J132" s="1">
        <f>IFERROR(__xludf.DUMMYFUNCTION("""COMPUTED_VALUE"""),11.0)</f>
        <v>11</v>
      </c>
      <c r="K132" s="1">
        <f>IFERROR(__xludf.DUMMYFUNCTION("""COMPUTED_VALUE"""),900000.0)</f>
        <v>900000</v>
      </c>
      <c r="L132" s="1">
        <f>IFERROR(__xludf.DUMMYFUNCTION("""COMPUTED_VALUE"""),1.0)</f>
        <v>1</v>
      </c>
      <c r="M132" s="1">
        <f>IFERROR(__xludf.DUMMYFUNCTION("""COMPUTED_VALUE"""),1040000.0)</f>
        <v>1040000</v>
      </c>
      <c r="N132" s="1">
        <f>IFERROR(__xludf.DUMMYFUNCTION("""COMPUTED_VALUE"""),9.0)</f>
        <v>9</v>
      </c>
      <c r="O132" s="1">
        <f>IFERROR(__xludf.DUMMYFUNCTION("""COMPUTED_VALUE"""),1.0)</f>
        <v>1</v>
      </c>
      <c r="P132" s="1">
        <f>IFERROR(__xludf.DUMMYFUNCTION("""COMPUTED_VALUE"""),650000.0)</f>
        <v>650000</v>
      </c>
      <c r="Q132" s="1">
        <f>IFERROR(__xludf.DUMMYFUNCTION("""COMPUTED_VALUE"""),7.0)</f>
        <v>7</v>
      </c>
      <c r="R132" s="1">
        <f>IFERROR(__xludf.DUMMYFUNCTION("""COMPUTED_VALUE"""),424890.125)</f>
        <v>424890.125</v>
      </c>
      <c r="S132" s="1"/>
      <c r="T132" s="1"/>
      <c r="U132" s="1">
        <f>IFERROR(__xludf.DUMMYFUNCTION("""COMPUTED_VALUE"""),0.0)</f>
        <v>0</v>
      </c>
      <c r="V132" s="1"/>
      <c r="W132" s="1"/>
      <c r="X132" s="1">
        <f>IFERROR(__xludf.DUMMYFUNCTION("""COMPUTED_VALUE"""),0.0)</f>
        <v>0</v>
      </c>
      <c r="Y132" s="1">
        <f>IFERROR(__xludf.DUMMYFUNCTION("""COMPUTED_VALUE"""),1100000.0)</f>
        <v>1100000</v>
      </c>
      <c r="Z132" s="1">
        <f>IFERROR(__xludf.DUMMYFUNCTION("""COMPUTED_VALUE"""),1.0)</f>
        <v>1</v>
      </c>
      <c r="AA132" s="1">
        <f>IFERROR(__xludf.DUMMYFUNCTION("""COMPUTED_VALUE"""),1170000.0)</f>
        <v>1170000</v>
      </c>
      <c r="AB132" s="1">
        <f>IFERROR(__xludf.DUMMYFUNCTION("""COMPUTED_VALUE"""),7.0)</f>
        <v>7</v>
      </c>
      <c r="AC132" s="1"/>
      <c r="AD132" s="1"/>
      <c r="AE132" s="1">
        <f>IFERROR(__xludf.DUMMYFUNCTION("""COMPUTED_VALUE"""),0.0)</f>
        <v>0</v>
      </c>
      <c r="AF132" s="1">
        <f>IFERROR(__xludf.DUMMYFUNCTION("""COMPUTED_VALUE"""),424890.125)</f>
        <v>424890.125</v>
      </c>
      <c r="AG132" s="1"/>
      <c r="AH132" s="1"/>
      <c r="AI132" s="1">
        <f>IFERROR(__xludf.DUMMYFUNCTION("""COMPUTED_VALUE"""),0.0)</f>
        <v>0</v>
      </c>
      <c r="AJ132" s="1"/>
      <c r="AK132" s="1"/>
      <c r="AL132" s="1">
        <f>IFERROR(__xludf.DUMMYFUNCTION("""COMPUTED_VALUE"""),0.0)</f>
        <v>0</v>
      </c>
      <c r="AM132" s="1">
        <f>IFERROR(__xludf.DUMMYFUNCTION("""COMPUTED_VALUE"""),999000.0)</f>
        <v>999000</v>
      </c>
      <c r="AN132" s="1">
        <f>IFERROR(__xludf.DUMMYFUNCTION("""COMPUTED_VALUE"""),1.0)</f>
        <v>1</v>
      </c>
      <c r="AO132" s="1">
        <f>IFERROR(__xludf.DUMMYFUNCTION("""COMPUTED_VALUE"""),999000.0)</f>
        <v>999000</v>
      </c>
      <c r="AP132" s="1">
        <f>IFERROR(__xludf.DUMMYFUNCTION("""COMPUTED_VALUE"""),6.0)</f>
        <v>6</v>
      </c>
      <c r="AQ132" s="1">
        <f>IFERROR(__xludf.DUMMYFUNCTION("""COMPUTED_VALUE"""),1.0)</f>
        <v>1</v>
      </c>
      <c r="AR132" s="1">
        <f>IFERROR(__xludf.DUMMYFUNCTION("""COMPUTED_VALUE"""),650000.0)</f>
        <v>650000</v>
      </c>
      <c r="AS132" s="1">
        <f>IFERROR(__xludf.DUMMYFUNCTION("""COMPUTED_VALUE"""),1.0)</f>
        <v>1</v>
      </c>
    </row>
    <row r="133">
      <c r="A133" s="1" t="str">
        <f>IFERROR(__xludf.DUMMYFUNCTION("""COMPUTED_VALUE"""),"FUN")</f>
        <v>FUN</v>
      </c>
      <c r="B133" s="1"/>
      <c r="C133" s="1"/>
      <c r="D133" s="1">
        <f>IFERROR(__xludf.DUMMYFUNCTION("""COMPUTED_VALUE"""),249000.0)</f>
        <v>249000</v>
      </c>
      <c r="E133" s="1">
        <f>IFERROR(__xludf.DUMMYFUNCTION("""COMPUTED_VALUE"""),10.0)</f>
        <v>10</v>
      </c>
      <c r="F133" s="1">
        <f>IFERROR(__xludf.DUMMYFUNCTION("""COMPUTED_VALUE"""),249000.0)</f>
        <v>249000</v>
      </c>
      <c r="G133" s="1">
        <f>IFERROR(__xludf.DUMMYFUNCTION("""COMPUTED_VALUE"""),14.0)</f>
        <v>14</v>
      </c>
      <c r="H133" s="1">
        <f>IFERROR(__xludf.DUMMYFUNCTION("""COMPUTED_VALUE"""),10.0)</f>
        <v>10</v>
      </c>
      <c r="I133" s="1">
        <f>IFERROR(__xludf.DUMMYFUNCTION("""COMPUTED_VALUE"""),160000.0)</f>
        <v>160000</v>
      </c>
      <c r="J133" s="1">
        <f>IFERROR(__xludf.DUMMYFUNCTION("""COMPUTED_VALUE"""),10.0)</f>
        <v>10</v>
      </c>
      <c r="K133" s="1">
        <f>IFERROR(__xludf.DUMMYFUNCTION("""COMPUTED_VALUE"""),150000.0)</f>
        <v>150000</v>
      </c>
      <c r="L133" s="1">
        <f>IFERROR(__xludf.DUMMYFUNCTION("""COMPUTED_VALUE"""),2.0)</f>
        <v>2</v>
      </c>
      <c r="M133" s="1">
        <f>IFERROR(__xludf.DUMMYFUNCTION("""COMPUTED_VALUE"""),250000.0)</f>
        <v>250000</v>
      </c>
      <c r="N133" s="1">
        <f>IFERROR(__xludf.DUMMYFUNCTION("""COMPUTED_VALUE"""),2.0)</f>
        <v>2</v>
      </c>
      <c r="O133" s="1"/>
      <c r="P133" s="1"/>
      <c r="Q133" s="1">
        <f>IFERROR(__xludf.DUMMYFUNCTION("""COMPUTED_VALUE"""),0.0)</f>
        <v>0</v>
      </c>
      <c r="R133" s="1">
        <f>IFERROR(__xludf.DUMMYFUNCTION("""COMPUTED_VALUE"""),59529.46875)</f>
        <v>59529.46875</v>
      </c>
      <c r="S133" s="1"/>
      <c r="T133" s="1"/>
      <c r="U133" s="1">
        <f>IFERROR(__xludf.DUMMYFUNCTION("""COMPUTED_VALUE"""),0.0)</f>
        <v>0</v>
      </c>
      <c r="V133" s="1"/>
      <c r="W133" s="1"/>
      <c r="X133" s="1">
        <f>IFERROR(__xludf.DUMMYFUNCTION("""COMPUTED_VALUE"""),0.0)</f>
        <v>0</v>
      </c>
      <c r="Y133" s="1">
        <f>IFERROR(__xludf.DUMMYFUNCTION("""COMPUTED_VALUE"""),165000.0)</f>
        <v>165000</v>
      </c>
      <c r="Z133" s="1">
        <f>IFERROR(__xludf.DUMMYFUNCTION("""COMPUTED_VALUE"""),2.0)</f>
        <v>2</v>
      </c>
      <c r="AA133" s="1">
        <f>IFERROR(__xludf.DUMMYFUNCTION("""COMPUTED_VALUE"""),199000.0)</f>
        <v>199000</v>
      </c>
      <c r="AB133" s="1">
        <f>IFERROR(__xludf.DUMMYFUNCTION("""COMPUTED_VALUE"""),4.0)</f>
        <v>4</v>
      </c>
      <c r="AC133" s="1"/>
      <c r="AD133" s="1"/>
      <c r="AE133" s="1">
        <f>IFERROR(__xludf.DUMMYFUNCTION("""COMPUTED_VALUE"""),0.0)</f>
        <v>0</v>
      </c>
      <c r="AF133" s="1">
        <f>IFERROR(__xludf.DUMMYFUNCTION("""COMPUTED_VALUE"""),59529.46875)</f>
        <v>59529.46875</v>
      </c>
      <c r="AG133" s="1"/>
      <c r="AH133" s="1"/>
      <c r="AI133" s="1">
        <f>IFERROR(__xludf.DUMMYFUNCTION("""COMPUTED_VALUE"""),0.0)</f>
        <v>0</v>
      </c>
      <c r="AJ133" s="1"/>
      <c r="AK133" s="1"/>
      <c r="AL133" s="1">
        <f>IFERROR(__xludf.DUMMYFUNCTION("""COMPUTED_VALUE"""),0.0)</f>
        <v>0</v>
      </c>
      <c r="AM133" s="1">
        <f>IFERROR(__xludf.DUMMYFUNCTION("""COMPUTED_VALUE"""),150000.0)</f>
        <v>150000</v>
      </c>
      <c r="AN133" s="1"/>
      <c r="AO133" s="1"/>
      <c r="AP133" s="1">
        <f>IFERROR(__xludf.DUMMYFUNCTION("""COMPUTED_VALUE"""),0.0)</f>
        <v>0</v>
      </c>
      <c r="AQ133" s="1"/>
      <c r="AR133" s="1"/>
      <c r="AS133" s="1">
        <f>IFERROR(__xludf.DUMMYFUNCTION("""COMPUTED_VALUE"""),0.0)</f>
        <v>0</v>
      </c>
    </row>
    <row r="134">
      <c r="A134" s="1" t="str">
        <f>IFERROR(__xludf.DUMMYFUNCTION("""COMPUTED_VALUE"""),"GAL")</f>
        <v>GAL</v>
      </c>
      <c r="B134" s="1">
        <f>IFERROR(__xludf.DUMMYFUNCTION("""COMPUTED_VALUE"""),57.0)</f>
        <v>57</v>
      </c>
      <c r="C134" s="1"/>
      <c r="D134" s="1">
        <f>IFERROR(__xludf.DUMMYFUNCTION("""COMPUTED_VALUE"""),160.0)</f>
        <v>160</v>
      </c>
      <c r="E134" s="1">
        <f>IFERROR(__xludf.DUMMYFUNCTION("""COMPUTED_VALUE"""),76.0)</f>
        <v>76</v>
      </c>
      <c r="F134" s="1">
        <f>IFERROR(__xludf.DUMMYFUNCTION("""COMPUTED_VALUE"""),255.0)</f>
        <v>255</v>
      </c>
      <c r="G134" s="1">
        <f>IFERROR(__xludf.DUMMYFUNCTION("""COMPUTED_VALUE"""),21540.0)</f>
        <v>21540</v>
      </c>
      <c r="H134" s="1">
        <f>IFERROR(__xludf.DUMMYFUNCTION("""COMPUTED_VALUE"""),690.0)</f>
        <v>690</v>
      </c>
      <c r="I134" s="1">
        <f>IFERROR(__xludf.DUMMYFUNCTION("""COMPUTED_VALUE"""),160.0)</f>
        <v>160</v>
      </c>
      <c r="J134" s="1">
        <f>IFERROR(__xludf.DUMMYFUNCTION("""COMPUTED_VALUE"""),4442.0)</f>
        <v>4442</v>
      </c>
      <c r="K134" s="1">
        <f>IFERROR(__xludf.DUMMYFUNCTION("""COMPUTED_VALUE"""),158.0)</f>
        <v>158</v>
      </c>
      <c r="L134" s="1">
        <f>IFERROR(__xludf.DUMMYFUNCTION("""COMPUTED_VALUE"""),5.0)</f>
        <v>5</v>
      </c>
      <c r="M134" s="1">
        <f>IFERROR(__xludf.DUMMYFUNCTION("""COMPUTED_VALUE"""),158.0)</f>
        <v>158</v>
      </c>
      <c r="N134" s="1">
        <f>IFERROR(__xludf.DUMMYFUNCTION("""COMPUTED_VALUE"""),61243.0)</f>
        <v>61243</v>
      </c>
      <c r="O134" s="1">
        <f>IFERROR(__xludf.DUMMYFUNCTION("""COMPUTED_VALUE"""),1000.0)</f>
        <v>1000</v>
      </c>
      <c r="P134" s="1">
        <f>IFERROR(__xludf.DUMMYFUNCTION("""COMPUTED_VALUE"""),117.0)</f>
        <v>117</v>
      </c>
      <c r="Q134" s="1">
        <f>IFERROR(__xludf.DUMMYFUNCTION("""COMPUTED_VALUE"""),9106.0)</f>
        <v>9106</v>
      </c>
      <c r="R134" s="1">
        <f>IFERROR(__xludf.DUMMYFUNCTION("""COMPUTED_VALUE"""),160.0)</f>
        <v>160</v>
      </c>
      <c r="S134" s="1">
        <f>IFERROR(__xludf.DUMMYFUNCTION("""COMPUTED_VALUE"""),2319.0)</f>
        <v>2319</v>
      </c>
      <c r="T134" s="1">
        <f>IFERROR(__xludf.DUMMYFUNCTION("""COMPUTED_VALUE"""),150.0)</f>
        <v>150</v>
      </c>
      <c r="U134" s="1">
        <f>IFERROR(__xludf.DUMMYFUNCTION("""COMPUTED_VALUE"""),9886.0)</f>
        <v>9886</v>
      </c>
      <c r="V134" s="1"/>
      <c r="W134" s="1"/>
      <c r="X134" s="1">
        <f>IFERROR(__xludf.DUMMYFUNCTION("""COMPUTED_VALUE"""),0.0)</f>
        <v>0</v>
      </c>
      <c r="Y134" s="1">
        <f>IFERROR(__xludf.DUMMYFUNCTION("""COMPUTED_VALUE"""),245.0)</f>
        <v>245</v>
      </c>
      <c r="Z134" s="1">
        <f>IFERROR(__xludf.DUMMYFUNCTION("""COMPUTED_VALUE"""),824.0)</f>
        <v>824</v>
      </c>
      <c r="AA134" s="1">
        <f>IFERROR(__xludf.DUMMYFUNCTION("""COMPUTED_VALUE"""),245.0)</f>
        <v>245</v>
      </c>
      <c r="AB134" s="1">
        <f>IFERROR(__xludf.DUMMYFUNCTION("""COMPUTED_VALUE"""),11588.0)</f>
        <v>11588</v>
      </c>
      <c r="AC134" s="1">
        <f>IFERROR(__xludf.DUMMYFUNCTION("""COMPUTED_VALUE"""),140.0)</f>
        <v>140</v>
      </c>
      <c r="AD134" s="1">
        <f>IFERROR(__xludf.DUMMYFUNCTION("""COMPUTED_VALUE"""),170.0)</f>
        <v>170</v>
      </c>
      <c r="AE134" s="1">
        <f>IFERROR(__xludf.DUMMYFUNCTION("""COMPUTED_VALUE"""),6680.0)</f>
        <v>6680</v>
      </c>
      <c r="AF134" s="1">
        <f>IFERROR(__xludf.DUMMYFUNCTION("""COMPUTED_VALUE"""),140.0)</f>
        <v>140</v>
      </c>
      <c r="AG134" s="1">
        <f>IFERROR(__xludf.DUMMYFUNCTION("""COMPUTED_VALUE"""),500.0)</f>
        <v>500</v>
      </c>
      <c r="AH134" s="1">
        <f>IFERROR(__xludf.DUMMYFUNCTION("""COMPUTED_VALUE"""),200.0)</f>
        <v>200</v>
      </c>
      <c r="AI134" s="1">
        <f>IFERROR(__xludf.DUMMYFUNCTION("""COMPUTED_VALUE"""),510.0)</f>
        <v>510</v>
      </c>
      <c r="AJ134" s="1"/>
      <c r="AK134" s="1"/>
      <c r="AL134" s="1">
        <f>IFERROR(__xludf.DUMMYFUNCTION("""COMPUTED_VALUE"""),0.0)</f>
        <v>0</v>
      </c>
      <c r="AM134" s="1">
        <f>IFERROR(__xludf.DUMMYFUNCTION("""COMPUTED_VALUE"""),245.0)</f>
        <v>245</v>
      </c>
      <c r="AN134" s="1">
        <f>IFERROR(__xludf.DUMMYFUNCTION("""COMPUTED_VALUE"""),116.0)</f>
        <v>116</v>
      </c>
      <c r="AO134" s="1">
        <f>IFERROR(__xludf.DUMMYFUNCTION("""COMPUTED_VALUE"""),245.0)</f>
        <v>245</v>
      </c>
      <c r="AP134" s="1">
        <f>IFERROR(__xludf.DUMMYFUNCTION("""COMPUTED_VALUE"""),106711.0)</f>
        <v>106711</v>
      </c>
      <c r="AQ134" s="1">
        <f>IFERROR(__xludf.DUMMYFUNCTION("""COMPUTED_VALUE"""),16714.0)</f>
        <v>16714</v>
      </c>
      <c r="AR134" s="1">
        <f>IFERROR(__xludf.DUMMYFUNCTION("""COMPUTED_VALUE"""),125.0)</f>
        <v>125</v>
      </c>
      <c r="AS134" s="1">
        <f>IFERROR(__xludf.DUMMYFUNCTION("""COMPUTED_VALUE"""),19304.0)</f>
        <v>19304</v>
      </c>
    </row>
    <row r="135">
      <c r="A135" s="1" t="str">
        <f>IFERROR(__xludf.DUMMYFUNCTION("""COMPUTED_VALUE"""),"GC")</f>
        <v>GC</v>
      </c>
      <c r="B135" s="1"/>
      <c r="C135" s="1"/>
      <c r="D135" s="1">
        <f>IFERROR(__xludf.DUMMYFUNCTION("""COMPUTED_VALUE"""),765.52001953125)</f>
        <v>765.5200195</v>
      </c>
      <c r="E135" s="1">
        <f>IFERROR(__xludf.DUMMYFUNCTION("""COMPUTED_VALUE"""),40.0)</f>
        <v>40</v>
      </c>
      <c r="F135" s="1">
        <f>IFERROR(__xludf.DUMMYFUNCTION("""COMPUTED_VALUE"""),799.0)</f>
        <v>799</v>
      </c>
      <c r="G135" s="1">
        <f>IFERROR(__xludf.DUMMYFUNCTION("""COMPUTED_VALUE"""),333.0)</f>
        <v>333</v>
      </c>
      <c r="H135" s="1">
        <f>IFERROR(__xludf.DUMMYFUNCTION("""COMPUTED_VALUE"""),1000.0)</f>
        <v>1000</v>
      </c>
      <c r="I135" s="1">
        <f>IFERROR(__xludf.DUMMYFUNCTION("""COMPUTED_VALUE"""),266.0)</f>
        <v>266</v>
      </c>
      <c r="J135" s="1">
        <f>IFERROR(__xludf.DUMMYFUNCTION("""COMPUTED_VALUE"""),19727.0)</f>
        <v>19727</v>
      </c>
      <c r="K135" s="1">
        <f>IFERROR(__xludf.DUMMYFUNCTION("""COMPUTED_VALUE"""),255.0)</f>
        <v>255</v>
      </c>
      <c r="L135" s="1">
        <f>IFERROR(__xludf.DUMMYFUNCTION("""COMPUTED_VALUE"""),37.0)</f>
        <v>37</v>
      </c>
      <c r="M135" s="1">
        <f>IFERROR(__xludf.DUMMYFUNCTION("""COMPUTED_VALUE"""),448.0)</f>
        <v>448</v>
      </c>
      <c r="N135" s="1">
        <f>IFERROR(__xludf.DUMMYFUNCTION("""COMPUTED_VALUE"""),1651.0)</f>
        <v>1651</v>
      </c>
      <c r="O135" s="1">
        <f>IFERROR(__xludf.DUMMYFUNCTION("""COMPUTED_VALUE"""),1666.0)</f>
        <v>1666</v>
      </c>
      <c r="P135" s="1">
        <f>IFERROR(__xludf.DUMMYFUNCTION("""COMPUTED_VALUE"""),300.0)</f>
        <v>300</v>
      </c>
      <c r="Q135" s="1">
        <f>IFERROR(__xludf.DUMMYFUNCTION("""COMPUTED_VALUE"""),3228.0)</f>
        <v>3228</v>
      </c>
      <c r="R135" s="1">
        <f>IFERROR(__xludf.DUMMYFUNCTION("""COMPUTED_VALUE"""),153.660003662109)</f>
        <v>153.6600037</v>
      </c>
      <c r="S135" s="1"/>
      <c r="T135" s="1"/>
      <c r="U135" s="1">
        <f>IFERROR(__xludf.DUMMYFUNCTION("""COMPUTED_VALUE"""),0.0)</f>
        <v>0</v>
      </c>
      <c r="V135" s="1"/>
      <c r="W135" s="1"/>
      <c r="X135" s="1">
        <f>IFERROR(__xludf.DUMMYFUNCTION("""COMPUTED_VALUE"""),0.0)</f>
        <v>0</v>
      </c>
      <c r="Y135" s="1">
        <f>IFERROR(__xludf.DUMMYFUNCTION("""COMPUTED_VALUE"""),270.0)</f>
        <v>270</v>
      </c>
      <c r="Z135" s="1">
        <f>IFERROR(__xludf.DUMMYFUNCTION("""COMPUTED_VALUE"""),217.0)</f>
        <v>217</v>
      </c>
      <c r="AA135" s="1">
        <f>IFERROR(__xludf.DUMMYFUNCTION("""COMPUTED_VALUE"""),314.0)</f>
        <v>314</v>
      </c>
      <c r="AB135" s="1">
        <f>IFERROR(__xludf.DUMMYFUNCTION("""COMPUTED_VALUE"""),28970.0)</f>
        <v>28970</v>
      </c>
      <c r="AC135" s="1">
        <f>IFERROR(__xludf.DUMMYFUNCTION("""COMPUTED_VALUE"""),1000.0)</f>
        <v>1000</v>
      </c>
      <c r="AD135" s="1">
        <f>IFERROR(__xludf.DUMMYFUNCTION("""COMPUTED_VALUE"""),251.0)</f>
        <v>251</v>
      </c>
      <c r="AE135" s="1">
        <f>IFERROR(__xludf.DUMMYFUNCTION("""COMPUTED_VALUE"""),5364.0)</f>
        <v>5364</v>
      </c>
      <c r="AF135" s="1">
        <f>IFERROR(__xludf.DUMMYFUNCTION("""COMPUTED_VALUE"""),153.660003662109)</f>
        <v>153.6600037</v>
      </c>
      <c r="AG135" s="1">
        <f>IFERROR(__xludf.DUMMYFUNCTION("""COMPUTED_VALUE"""),10.0)</f>
        <v>10</v>
      </c>
      <c r="AH135" s="1">
        <f>IFERROR(__xludf.DUMMYFUNCTION("""COMPUTED_VALUE"""),399.0)</f>
        <v>399</v>
      </c>
      <c r="AI135" s="1">
        <f>IFERROR(__xludf.DUMMYFUNCTION("""COMPUTED_VALUE"""),10.0)</f>
        <v>10</v>
      </c>
      <c r="AJ135" s="1"/>
      <c r="AK135" s="1"/>
      <c r="AL135" s="1">
        <f>IFERROR(__xludf.DUMMYFUNCTION("""COMPUTED_VALUE"""),0.0)</f>
        <v>0</v>
      </c>
      <c r="AM135" s="1">
        <f>IFERROR(__xludf.DUMMYFUNCTION("""COMPUTED_VALUE"""),340.0)</f>
        <v>340</v>
      </c>
      <c r="AN135" s="1">
        <f>IFERROR(__xludf.DUMMYFUNCTION("""COMPUTED_VALUE"""),320.0)</f>
        <v>320</v>
      </c>
      <c r="AO135" s="1">
        <f>IFERROR(__xludf.DUMMYFUNCTION("""COMPUTED_VALUE"""),342.0)</f>
        <v>342</v>
      </c>
      <c r="AP135" s="1">
        <f>IFERROR(__xludf.DUMMYFUNCTION("""COMPUTED_VALUE"""),978.0)</f>
        <v>978</v>
      </c>
      <c r="AQ135" s="1">
        <f>IFERROR(__xludf.DUMMYFUNCTION("""COMPUTED_VALUE"""),27.0)</f>
        <v>27</v>
      </c>
      <c r="AR135" s="1">
        <f>IFERROR(__xludf.DUMMYFUNCTION("""COMPUTED_VALUE"""),300.0)</f>
        <v>300</v>
      </c>
      <c r="AS135" s="1">
        <f>IFERROR(__xludf.DUMMYFUNCTION("""COMPUTED_VALUE"""),1739.0)</f>
        <v>1739</v>
      </c>
    </row>
    <row r="136">
      <c r="A136" s="1" t="str">
        <f>IFERROR(__xludf.DUMMYFUNCTION("""COMPUTED_VALUE"""),"GCH")</f>
        <v>GCH</v>
      </c>
      <c r="B136" s="1"/>
      <c r="C136" s="1"/>
      <c r="D136" s="1">
        <f>IFERROR(__xludf.DUMMYFUNCTION("""COMPUTED_VALUE"""),2100.0)</f>
        <v>2100</v>
      </c>
      <c r="E136" s="1">
        <f>IFERROR(__xludf.DUMMYFUNCTION("""COMPUTED_VALUE"""),3.0)</f>
        <v>3</v>
      </c>
      <c r="F136" s="1">
        <f>IFERROR(__xludf.DUMMYFUNCTION("""COMPUTED_VALUE"""),14500.0)</f>
        <v>14500</v>
      </c>
      <c r="G136" s="1">
        <f>IFERROR(__xludf.DUMMYFUNCTION("""COMPUTED_VALUE"""),3.0)</f>
        <v>3</v>
      </c>
      <c r="H136" s="1"/>
      <c r="I136" s="1"/>
      <c r="J136" s="1">
        <f>IFERROR(__xludf.DUMMYFUNCTION("""COMPUTED_VALUE"""),0.0)</f>
        <v>0</v>
      </c>
      <c r="K136" s="1">
        <f>IFERROR(__xludf.DUMMYFUNCTION("""COMPUTED_VALUE"""),20000.0)</f>
        <v>20000</v>
      </c>
      <c r="L136" s="1"/>
      <c r="M136" s="1"/>
      <c r="N136" s="1">
        <f>IFERROR(__xludf.DUMMYFUNCTION("""COMPUTED_VALUE"""),0.0)</f>
        <v>0</v>
      </c>
      <c r="O136" s="1"/>
      <c r="P136" s="1"/>
      <c r="Q136" s="1">
        <f>IFERROR(__xludf.DUMMYFUNCTION("""COMPUTED_VALUE"""),0.0)</f>
        <v>0</v>
      </c>
      <c r="R136" s="1">
        <f>IFERROR(__xludf.DUMMYFUNCTION("""COMPUTED_VALUE"""),20158.630859375)</f>
        <v>20158.63086</v>
      </c>
      <c r="S136" s="1"/>
      <c r="T136" s="1"/>
      <c r="U136" s="1">
        <f>IFERROR(__xludf.DUMMYFUNCTION("""COMPUTED_VALUE"""),0.0)</f>
        <v>0</v>
      </c>
      <c r="V136" s="1"/>
      <c r="W136" s="1"/>
      <c r="X136" s="1">
        <f>IFERROR(__xludf.DUMMYFUNCTION("""COMPUTED_VALUE"""),0.0)</f>
        <v>0</v>
      </c>
      <c r="Y136" s="1">
        <f>IFERROR(__xludf.DUMMYFUNCTION("""COMPUTED_VALUE"""),25000.0)</f>
        <v>25000</v>
      </c>
      <c r="Z136" s="1">
        <f>IFERROR(__xludf.DUMMYFUNCTION("""COMPUTED_VALUE"""),1.0)</f>
        <v>1</v>
      </c>
      <c r="AA136" s="1">
        <f>IFERROR(__xludf.DUMMYFUNCTION("""COMPUTED_VALUE"""),8000.0)</f>
        <v>8000</v>
      </c>
      <c r="AB136" s="1">
        <f>IFERROR(__xludf.DUMMYFUNCTION("""COMPUTED_VALUE"""),13.0)</f>
        <v>13</v>
      </c>
      <c r="AC136" s="1"/>
      <c r="AD136" s="1"/>
      <c r="AE136" s="1">
        <f>IFERROR(__xludf.DUMMYFUNCTION("""COMPUTED_VALUE"""),0.0)</f>
        <v>0</v>
      </c>
      <c r="AF136" s="1">
        <f>IFERROR(__xludf.DUMMYFUNCTION("""COMPUTED_VALUE"""),20158.630859375)</f>
        <v>20158.63086</v>
      </c>
      <c r="AG136" s="1"/>
      <c r="AH136" s="1"/>
      <c r="AI136" s="1">
        <f>IFERROR(__xludf.DUMMYFUNCTION("""COMPUTED_VALUE"""),0.0)</f>
        <v>0</v>
      </c>
      <c r="AJ136" s="1"/>
      <c r="AK136" s="1"/>
      <c r="AL136" s="1">
        <f>IFERROR(__xludf.DUMMYFUNCTION("""COMPUTED_VALUE"""),0.0)</f>
        <v>0</v>
      </c>
      <c r="AM136" s="1">
        <f>IFERROR(__xludf.DUMMYFUNCTION("""COMPUTED_VALUE"""),8000.0)</f>
        <v>8000</v>
      </c>
      <c r="AN136" s="1">
        <f>IFERROR(__xludf.DUMMYFUNCTION("""COMPUTED_VALUE"""),5.0)</f>
        <v>5</v>
      </c>
      <c r="AO136" s="1">
        <f>IFERROR(__xludf.DUMMYFUNCTION("""COMPUTED_VALUE"""),8500.0)</f>
        <v>8500</v>
      </c>
      <c r="AP136" s="1">
        <f>IFERROR(__xludf.DUMMYFUNCTION("""COMPUTED_VALUE"""),7.0)</f>
        <v>7</v>
      </c>
      <c r="AQ136" s="1"/>
      <c r="AR136" s="1"/>
      <c r="AS136" s="1">
        <f>IFERROR(__xludf.DUMMYFUNCTION("""COMPUTED_VALUE"""),0.0)</f>
        <v>0</v>
      </c>
    </row>
    <row r="137">
      <c r="A137" s="1" t="str">
        <f>IFERROR(__xludf.DUMMYFUNCTION("""COMPUTED_VALUE"""),"GEN")</f>
        <v>GEN</v>
      </c>
      <c r="B137" s="1"/>
      <c r="C137" s="1"/>
      <c r="D137" s="1">
        <f>IFERROR(__xludf.DUMMYFUNCTION("""COMPUTED_VALUE"""),200000.0)</f>
        <v>200000</v>
      </c>
      <c r="E137" s="1">
        <f>IFERROR(__xludf.DUMMYFUNCTION("""COMPUTED_VALUE"""),2.0)</f>
        <v>2</v>
      </c>
      <c r="F137" s="1">
        <f>IFERROR(__xludf.DUMMYFUNCTION("""COMPUTED_VALUE"""),200000.0)</f>
        <v>200000</v>
      </c>
      <c r="G137" s="1">
        <f>IFERROR(__xludf.DUMMYFUNCTION("""COMPUTED_VALUE"""),23.0)</f>
        <v>23</v>
      </c>
      <c r="H137" s="1"/>
      <c r="I137" s="1"/>
      <c r="J137" s="1">
        <f>IFERROR(__xludf.DUMMYFUNCTION("""COMPUTED_VALUE"""),0.0)</f>
        <v>0</v>
      </c>
      <c r="K137" s="1">
        <f>IFERROR(__xludf.DUMMYFUNCTION("""COMPUTED_VALUE"""),80000.0)</f>
        <v>80000</v>
      </c>
      <c r="L137" s="1">
        <f>IFERROR(__xludf.DUMMYFUNCTION("""COMPUTED_VALUE"""),2.0)</f>
        <v>2</v>
      </c>
      <c r="M137" s="1">
        <f>IFERROR(__xludf.DUMMYFUNCTION("""COMPUTED_VALUE"""),220000.0)</f>
        <v>220000</v>
      </c>
      <c r="N137" s="1">
        <f>IFERROR(__xludf.DUMMYFUNCTION("""COMPUTED_VALUE"""),7.0)</f>
        <v>7</v>
      </c>
      <c r="O137" s="1"/>
      <c r="P137" s="1"/>
      <c r="Q137" s="1">
        <f>IFERROR(__xludf.DUMMYFUNCTION("""COMPUTED_VALUE"""),0.0)</f>
        <v>0</v>
      </c>
      <c r="R137" s="1">
        <f>IFERROR(__xludf.DUMMYFUNCTION("""COMPUTED_VALUE"""),250399.71875)</f>
        <v>250399.7188</v>
      </c>
      <c r="S137" s="1"/>
      <c r="T137" s="1"/>
      <c r="U137" s="1">
        <f>IFERROR(__xludf.DUMMYFUNCTION("""COMPUTED_VALUE"""),0.0)</f>
        <v>0</v>
      </c>
      <c r="V137" s="1"/>
      <c r="W137" s="1"/>
      <c r="X137" s="1">
        <f>IFERROR(__xludf.DUMMYFUNCTION("""COMPUTED_VALUE"""),0.0)</f>
        <v>0</v>
      </c>
      <c r="Y137" s="1">
        <f>IFERROR(__xludf.DUMMYFUNCTION("""COMPUTED_VALUE"""),270000.0)</f>
        <v>270000</v>
      </c>
      <c r="Z137" s="1">
        <f>IFERROR(__xludf.DUMMYFUNCTION("""COMPUTED_VALUE"""),1.0)</f>
        <v>1</v>
      </c>
      <c r="AA137" s="1">
        <f>IFERROR(__xludf.DUMMYFUNCTION("""COMPUTED_VALUE"""),270000.0)</f>
        <v>270000</v>
      </c>
      <c r="AB137" s="1">
        <f>IFERROR(__xludf.DUMMYFUNCTION("""COMPUTED_VALUE"""),4.0)</f>
        <v>4</v>
      </c>
      <c r="AC137" s="1">
        <f>IFERROR(__xludf.DUMMYFUNCTION("""COMPUTED_VALUE"""),2.0)</f>
        <v>2</v>
      </c>
      <c r="AD137" s="1">
        <f>IFERROR(__xludf.DUMMYFUNCTION("""COMPUTED_VALUE"""),168000.0)</f>
        <v>168000</v>
      </c>
      <c r="AE137" s="1">
        <f>IFERROR(__xludf.DUMMYFUNCTION("""COMPUTED_VALUE"""),5.0)</f>
        <v>5</v>
      </c>
      <c r="AF137" s="1">
        <f>IFERROR(__xludf.DUMMYFUNCTION("""COMPUTED_VALUE"""),250399.71875)</f>
        <v>250399.7188</v>
      </c>
      <c r="AG137" s="1"/>
      <c r="AH137" s="1"/>
      <c r="AI137" s="1">
        <f>IFERROR(__xludf.DUMMYFUNCTION("""COMPUTED_VALUE"""),0.0)</f>
        <v>0</v>
      </c>
      <c r="AJ137" s="1"/>
      <c r="AK137" s="1"/>
      <c r="AL137" s="1">
        <f>IFERROR(__xludf.DUMMYFUNCTION("""COMPUTED_VALUE"""),0.0)</f>
        <v>0</v>
      </c>
      <c r="AM137" s="1">
        <f>IFERROR(__xludf.DUMMYFUNCTION("""COMPUTED_VALUE"""),195000.0)</f>
        <v>195000</v>
      </c>
      <c r="AN137" s="1">
        <f>IFERROR(__xludf.DUMMYFUNCTION("""COMPUTED_VALUE"""),5.0)</f>
        <v>5</v>
      </c>
      <c r="AO137" s="1">
        <f>IFERROR(__xludf.DUMMYFUNCTION("""COMPUTED_VALUE"""),200000.0)</f>
        <v>200000</v>
      </c>
      <c r="AP137" s="1">
        <f>IFERROR(__xludf.DUMMYFUNCTION("""COMPUTED_VALUE"""),15.0)</f>
        <v>15</v>
      </c>
      <c r="AQ137" s="1">
        <f>IFERROR(__xludf.DUMMYFUNCTION("""COMPUTED_VALUE"""),1.0)</f>
        <v>1</v>
      </c>
      <c r="AR137" s="1">
        <f>IFERROR(__xludf.DUMMYFUNCTION("""COMPUTED_VALUE"""),1.0)</f>
        <v>1</v>
      </c>
      <c r="AS137" s="1">
        <f>IFERROR(__xludf.DUMMYFUNCTION("""COMPUTED_VALUE"""),1.0)</f>
        <v>1</v>
      </c>
    </row>
    <row r="138">
      <c r="A138" s="1" t="str">
        <f>IFERROR(__xludf.DUMMYFUNCTION("""COMPUTED_VALUE"""),"GIN")</f>
        <v>GIN</v>
      </c>
      <c r="B138" s="1"/>
      <c r="C138" s="1"/>
      <c r="D138" s="1">
        <f>IFERROR(__xludf.DUMMYFUNCTION("""COMPUTED_VALUE"""),1560.0)</f>
        <v>1560</v>
      </c>
      <c r="E138" s="1">
        <f>IFERROR(__xludf.DUMMYFUNCTION("""COMPUTED_VALUE"""),90.0)</f>
        <v>90</v>
      </c>
      <c r="F138" s="1">
        <f>IFERROR(__xludf.DUMMYFUNCTION("""COMPUTED_VALUE"""),1560.0)</f>
        <v>1560</v>
      </c>
      <c r="G138" s="1">
        <f>IFERROR(__xludf.DUMMYFUNCTION("""COMPUTED_VALUE"""),29111.0)</f>
        <v>29111</v>
      </c>
      <c r="H138" s="1">
        <f>IFERROR(__xludf.DUMMYFUNCTION("""COMPUTED_VALUE"""),10.0)</f>
        <v>10</v>
      </c>
      <c r="I138" s="1">
        <f>IFERROR(__xludf.DUMMYFUNCTION("""COMPUTED_VALUE"""),1390.0)</f>
        <v>1390</v>
      </c>
      <c r="J138" s="1">
        <f>IFERROR(__xludf.DUMMYFUNCTION("""COMPUTED_VALUE"""),3594.0)</f>
        <v>3594</v>
      </c>
      <c r="K138" s="1">
        <f>IFERROR(__xludf.DUMMYFUNCTION("""COMPUTED_VALUE"""),1590.0)</f>
        <v>1590</v>
      </c>
      <c r="L138" s="1">
        <f>IFERROR(__xludf.DUMMYFUNCTION("""COMPUTED_VALUE"""),3254.0)</f>
        <v>3254</v>
      </c>
      <c r="M138" s="1">
        <f>IFERROR(__xludf.DUMMYFUNCTION("""COMPUTED_VALUE"""),1590.0)</f>
        <v>1590</v>
      </c>
      <c r="N138" s="1">
        <f>IFERROR(__xludf.DUMMYFUNCTION("""COMPUTED_VALUE"""),10001.0)</f>
        <v>10001</v>
      </c>
      <c r="O138" s="1">
        <f>IFERROR(__xludf.DUMMYFUNCTION("""COMPUTED_VALUE"""),50.0)</f>
        <v>50</v>
      </c>
      <c r="P138" s="1">
        <f>IFERROR(__xludf.DUMMYFUNCTION("""COMPUTED_VALUE"""),1400.0)</f>
        <v>1400</v>
      </c>
      <c r="Q138" s="1">
        <f>IFERROR(__xludf.DUMMYFUNCTION("""COMPUTED_VALUE"""),50.0)</f>
        <v>50</v>
      </c>
      <c r="R138" s="1">
        <f>IFERROR(__xludf.DUMMYFUNCTION("""COMPUTED_VALUE"""),1990.0)</f>
        <v>1990</v>
      </c>
      <c r="S138" s="1">
        <f>IFERROR(__xludf.DUMMYFUNCTION("""COMPUTED_VALUE"""),200.0)</f>
        <v>200</v>
      </c>
      <c r="T138" s="1">
        <f>IFERROR(__xludf.DUMMYFUNCTION("""COMPUTED_VALUE"""),1800.0)</f>
        <v>1800</v>
      </c>
      <c r="U138" s="1">
        <f>IFERROR(__xludf.DUMMYFUNCTION("""COMPUTED_VALUE"""),200.0)</f>
        <v>200</v>
      </c>
      <c r="V138" s="1"/>
      <c r="W138" s="1"/>
      <c r="X138" s="1">
        <f>IFERROR(__xludf.DUMMYFUNCTION("""COMPUTED_VALUE"""),0.0)</f>
        <v>0</v>
      </c>
      <c r="Y138" s="1">
        <f>IFERROR(__xludf.DUMMYFUNCTION("""COMPUTED_VALUE"""),1580.0)</f>
        <v>1580</v>
      </c>
      <c r="Z138" s="1">
        <f>IFERROR(__xludf.DUMMYFUNCTION("""COMPUTED_VALUE"""),302.0)</f>
        <v>302</v>
      </c>
      <c r="AA138" s="1">
        <f>IFERROR(__xludf.DUMMYFUNCTION("""COMPUTED_VALUE"""),1580.0)</f>
        <v>1580</v>
      </c>
      <c r="AB138" s="1">
        <f>IFERROR(__xludf.DUMMYFUNCTION("""COMPUTED_VALUE"""),9818.0)</f>
        <v>9818</v>
      </c>
      <c r="AC138" s="1">
        <f>IFERROR(__xludf.DUMMYFUNCTION("""COMPUTED_VALUE"""),50.0)</f>
        <v>50</v>
      </c>
      <c r="AD138" s="1">
        <f>IFERROR(__xludf.DUMMYFUNCTION("""COMPUTED_VALUE"""),1420.0)</f>
        <v>1420</v>
      </c>
      <c r="AE138" s="1">
        <f>IFERROR(__xludf.DUMMYFUNCTION("""COMPUTED_VALUE"""),3260.0)</f>
        <v>3260</v>
      </c>
      <c r="AF138" s="1">
        <f>IFERROR(__xludf.DUMMYFUNCTION("""COMPUTED_VALUE"""),2400.0)</f>
        <v>2400</v>
      </c>
      <c r="AG138" s="1">
        <f>IFERROR(__xludf.DUMMYFUNCTION("""COMPUTED_VALUE"""),500.0)</f>
        <v>500</v>
      </c>
      <c r="AH138" s="1">
        <f>IFERROR(__xludf.DUMMYFUNCTION("""COMPUTED_VALUE"""),1900.0)</f>
        <v>1900</v>
      </c>
      <c r="AI138" s="1">
        <f>IFERROR(__xludf.DUMMYFUNCTION("""COMPUTED_VALUE"""),610.0)</f>
        <v>610</v>
      </c>
      <c r="AJ138" s="1">
        <f>IFERROR(__xludf.DUMMYFUNCTION("""COMPUTED_VALUE"""),500.0)</f>
        <v>500</v>
      </c>
      <c r="AK138" s="1">
        <f>IFERROR(__xludf.DUMMYFUNCTION("""COMPUTED_VALUE"""),1300.0)</f>
        <v>1300</v>
      </c>
      <c r="AL138" s="1">
        <f>IFERROR(__xludf.DUMMYFUNCTION("""COMPUTED_VALUE"""),500.0)</f>
        <v>500</v>
      </c>
      <c r="AM138" s="1">
        <f>IFERROR(__xludf.DUMMYFUNCTION("""COMPUTED_VALUE"""),1550.0)</f>
        <v>1550</v>
      </c>
      <c r="AN138" s="1">
        <f>IFERROR(__xludf.DUMMYFUNCTION("""COMPUTED_VALUE"""),12.0)</f>
        <v>12</v>
      </c>
      <c r="AO138" s="1">
        <f>IFERROR(__xludf.DUMMYFUNCTION("""COMPUTED_VALUE"""),1530.0)</f>
        <v>1530</v>
      </c>
      <c r="AP138" s="1">
        <f>IFERROR(__xludf.DUMMYFUNCTION("""COMPUTED_VALUE"""),2033.0)</f>
        <v>2033</v>
      </c>
      <c r="AQ138" s="1">
        <f>IFERROR(__xludf.DUMMYFUNCTION("""COMPUTED_VALUE"""),200.0)</f>
        <v>200</v>
      </c>
      <c r="AR138" s="1">
        <f>IFERROR(__xludf.DUMMYFUNCTION("""COMPUTED_VALUE"""),1290.0)</f>
        <v>1290</v>
      </c>
      <c r="AS138" s="1">
        <f>IFERROR(__xludf.DUMMYFUNCTION("""COMPUTED_VALUE"""),3979.0)</f>
        <v>3979</v>
      </c>
    </row>
    <row r="139">
      <c r="A139" s="1" t="str">
        <f>IFERROR(__xludf.DUMMYFUNCTION("""COMPUTED_VALUE"""),"GL")</f>
        <v>GL</v>
      </c>
      <c r="B139" s="1"/>
      <c r="C139" s="1"/>
      <c r="D139" s="1">
        <f>IFERROR(__xludf.DUMMYFUNCTION("""COMPUTED_VALUE"""),445.0)</f>
        <v>445</v>
      </c>
      <c r="E139" s="1">
        <f>IFERROR(__xludf.DUMMYFUNCTION("""COMPUTED_VALUE"""),10.0)</f>
        <v>10</v>
      </c>
      <c r="F139" s="1">
        <f>IFERROR(__xludf.DUMMYFUNCTION("""COMPUTED_VALUE"""),444.0)</f>
        <v>444</v>
      </c>
      <c r="G139" s="1">
        <f>IFERROR(__xludf.DUMMYFUNCTION("""COMPUTED_VALUE"""),32680.0)</f>
        <v>32680</v>
      </c>
      <c r="H139" s="1">
        <f>IFERROR(__xludf.DUMMYFUNCTION("""COMPUTED_VALUE"""),100.0)</f>
        <v>100</v>
      </c>
      <c r="I139" s="1">
        <f>IFERROR(__xludf.DUMMYFUNCTION("""COMPUTED_VALUE"""),380.0)</f>
        <v>380</v>
      </c>
      <c r="J139" s="1">
        <f>IFERROR(__xludf.DUMMYFUNCTION("""COMPUTED_VALUE"""),121285.0)</f>
        <v>121285</v>
      </c>
      <c r="K139" s="1">
        <f>IFERROR(__xludf.DUMMYFUNCTION("""COMPUTED_VALUE"""),500.0)</f>
        <v>500</v>
      </c>
      <c r="L139" s="1">
        <f>IFERROR(__xludf.DUMMYFUNCTION("""COMPUTED_VALUE"""),65.0)</f>
        <v>65</v>
      </c>
      <c r="M139" s="1">
        <f>IFERROR(__xludf.DUMMYFUNCTION("""COMPUTED_VALUE"""),500.0)</f>
        <v>500</v>
      </c>
      <c r="N139" s="1">
        <f>IFERROR(__xludf.DUMMYFUNCTION("""COMPUTED_VALUE"""),15704.0)</f>
        <v>15704</v>
      </c>
      <c r="O139" s="1">
        <f>IFERROR(__xludf.DUMMYFUNCTION("""COMPUTED_VALUE"""),30.0)</f>
        <v>30</v>
      </c>
      <c r="P139" s="1">
        <f>IFERROR(__xludf.DUMMYFUNCTION("""COMPUTED_VALUE"""),410.0)</f>
        <v>410</v>
      </c>
      <c r="Q139" s="1">
        <f>IFERROR(__xludf.DUMMYFUNCTION("""COMPUTED_VALUE"""),103344.0)</f>
        <v>103344</v>
      </c>
      <c r="R139" s="1">
        <f>IFERROR(__xludf.DUMMYFUNCTION("""COMPUTED_VALUE"""),300.0)</f>
        <v>300</v>
      </c>
      <c r="S139" s="1">
        <f>IFERROR(__xludf.DUMMYFUNCTION("""COMPUTED_VALUE"""),200.0)</f>
        <v>200</v>
      </c>
      <c r="T139" s="1">
        <f>IFERROR(__xludf.DUMMYFUNCTION("""COMPUTED_VALUE"""),400.0)</f>
        <v>400</v>
      </c>
      <c r="U139" s="1">
        <f>IFERROR(__xludf.DUMMYFUNCTION("""COMPUTED_VALUE"""),400.0)</f>
        <v>400</v>
      </c>
      <c r="V139" s="1"/>
      <c r="W139" s="1"/>
      <c r="X139" s="1">
        <f>IFERROR(__xludf.DUMMYFUNCTION("""COMPUTED_VALUE"""),0.0)</f>
        <v>0</v>
      </c>
      <c r="Y139" s="1">
        <f>IFERROR(__xludf.DUMMYFUNCTION("""COMPUTED_VALUE"""),399.0)</f>
        <v>399</v>
      </c>
      <c r="Z139" s="1">
        <f>IFERROR(__xludf.DUMMYFUNCTION("""COMPUTED_VALUE"""),2218.0)</f>
        <v>2218</v>
      </c>
      <c r="AA139" s="1">
        <f>IFERROR(__xludf.DUMMYFUNCTION("""COMPUTED_VALUE"""),399.0)</f>
        <v>399</v>
      </c>
      <c r="AB139" s="1">
        <f>IFERROR(__xludf.DUMMYFUNCTION("""COMPUTED_VALUE"""),31810.0)</f>
        <v>31810</v>
      </c>
      <c r="AC139" s="1">
        <f>IFERROR(__xludf.DUMMYFUNCTION("""COMPUTED_VALUE"""),500.0)</f>
        <v>500</v>
      </c>
      <c r="AD139" s="1">
        <f>IFERROR(__xludf.DUMMYFUNCTION("""COMPUTED_VALUE"""),366.0)</f>
        <v>366</v>
      </c>
      <c r="AE139" s="1">
        <f>IFERROR(__xludf.DUMMYFUNCTION("""COMPUTED_VALUE"""),127599.0)</f>
        <v>127599</v>
      </c>
      <c r="AF139" s="1">
        <f>IFERROR(__xludf.DUMMYFUNCTION("""COMPUTED_VALUE"""),298.220001220703)</f>
        <v>298.2200012</v>
      </c>
      <c r="AG139" s="1">
        <f>IFERROR(__xludf.DUMMYFUNCTION("""COMPUTED_VALUE"""),430.0)</f>
        <v>430</v>
      </c>
      <c r="AH139" s="1">
        <f>IFERROR(__xludf.DUMMYFUNCTION("""COMPUTED_VALUE"""),320.0)</f>
        <v>320</v>
      </c>
      <c r="AI139" s="1">
        <f>IFERROR(__xludf.DUMMYFUNCTION("""COMPUTED_VALUE"""),1932.0)</f>
        <v>1932</v>
      </c>
      <c r="AJ139" s="1"/>
      <c r="AK139" s="1"/>
      <c r="AL139" s="1">
        <f>IFERROR(__xludf.DUMMYFUNCTION("""COMPUTED_VALUE"""),0.0)</f>
        <v>0</v>
      </c>
      <c r="AM139" s="1">
        <f>IFERROR(__xludf.DUMMYFUNCTION("""COMPUTED_VALUE"""),575.0)</f>
        <v>575</v>
      </c>
      <c r="AN139" s="1">
        <f>IFERROR(__xludf.DUMMYFUNCTION("""COMPUTED_VALUE"""),615.0)</f>
        <v>615</v>
      </c>
      <c r="AO139" s="1">
        <f>IFERROR(__xludf.DUMMYFUNCTION("""COMPUTED_VALUE"""),575.0)</f>
        <v>575</v>
      </c>
      <c r="AP139" s="1">
        <f>IFERROR(__xludf.DUMMYFUNCTION("""COMPUTED_VALUE"""),815.0)</f>
        <v>815</v>
      </c>
      <c r="AQ139" s="1">
        <f>IFERROR(__xludf.DUMMYFUNCTION("""COMPUTED_VALUE"""),750.0)</f>
        <v>750</v>
      </c>
      <c r="AR139" s="1">
        <f>IFERROR(__xludf.DUMMYFUNCTION("""COMPUTED_VALUE"""),303.0)</f>
        <v>303</v>
      </c>
      <c r="AS139" s="1">
        <f>IFERROR(__xludf.DUMMYFUNCTION("""COMPUTED_VALUE"""),112920.0)</f>
        <v>112920</v>
      </c>
    </row>
    <row r="140">
      <c r="A140" s="1" t="str">
        <f>IFERROR(__xludf.DUMMYFUNCTION("""COMPUTED_VALUE"""),"GNZ")</f>
        <v>GNZ</v>
      </c>
      <c r="B140" s="1"/>
      <c r="C140" s="1"/>
      <c r="D140" s="1">
        <f>IFERROR(__xludf.DUMMYFUNCTION("""COMPUTED_VALUE"""),8000.0)</f>
        <v>8000</v>
      </c>
      <c r="E140" s="1"/>
      <c r="F140" s="1"/>
      <c r="G140" s="1">
        <f>IFERROR(__xludf.DUMMYFUNCTION("""COMPUTED_VALUE"""),0.0)</f>
        <v>0</v>
      </c>
      <c r="H140" s="1"/>
      <c r="I140" s="1"/>
      <c r="J140" s="1">
        <f>IFERROR(__xludf.DUMMYFUNCTION("""COMPUTED_VALUE"""),0.0)</f>
        <v>0</v>
      </c>
      <c r="K140" s="1">
        <f>IFERROR(__xludf.DUMMYFUNCTION("""COMPUTED_VALUE"""),45000.0)</f>
        <v>45000</v>
      </c>
      <c r="L140" s="1">
        <f>IFERROR(__xludf.DUMMYFUNCTION("""COMPUTED_VALUE"""),6.0)</f>
        <v>6</v>
      </c>
      <c r="M140" s="1">
        <f>IFERROR(__xludf.DUMMYFUNCTION("""COMPUTED_VALUE"""),45000.0)</f>
        <v>45000</v>
      </c>
      <c r="N140" s="1">
        <f>IFERROR(__xludf.DUMMYFUNCTION("""COMPUTED_VALUE"""),6.0)</f>
        <v>6</v>
      </c>
      <c r="O140" s="1"/>
      <c r="P140" s="1"/>
      <c r="Q140" s="1">
        <f>IFERROR(__xludf.DUMMYFUNCTION("""COMPUTED_VALUE"""),0.0)</f>
        <v>0</v>
      </c>
      <c r="R140" s="1">
        <f>IFERROR(__xludf.DUMMYFUNCTION("""COMPUTED_VALUE"""),43005.87890625)</f>
        <v>43005.87891</v>
      </c>
      <c r="S140" s="1"/>
      <c r="T140" s="1"/>
      <c r="U140" s="1">
        <f>IFERROR(__xludf.DUMMYFUNCTION("""COMPUTED_VALUE"""),0.0)</f>
        <v>0</v>
      </c>
      <c r="V140" s="1"/>
      <c r="W140" s="1"/>
      <c r="X140" s="1">
        <f>IFERROR(__xludf.DUMMYFUNCTION("""COMPUTED_VALUE"""),0.0)</f>
        <v>0</v>
      </c>
      <c r="Y140" s="1">
        <f>IFERROR(__xludf.DUMMYFUNCTION("""COMPUTED_VALUE"""),1500.0)</f>
        <v>1500</v>
      </c>
      <c r="Z140" s="1"/>
      <c r="AA140" s="1"/>
      <c r="AB140" s="1">
        <f>IFERROR(__xludf.DUMMYFUNCTION("""COMPUTED_VALUE"""),0.0)</f>
        <v>0</v>
      </c>
      <c r="AC140" s="1"/>
      <c r="AD140" s="1"/>
      <c r="AE140" s="1">
        <f>IFERROR(__xludf.DUMMYFUNCTION("""COMPUTED_VALUE"""),0.0)</f>
        <v>0</v>
      </c>
      <c r="AF140" s="1">
        <f>IFERROR(__xludf.DUMMYFUNCTION("""COMPUTED_VALUE"""),43005.87890625)</f>
        <v>43005.87891</v>
      </c>
      <c r="AG140" s="1"/>
      <c r="AH140" s="1"/>
      <c r="AI140" s="1">
        <f>IFERROR(__xludf.DUMMYFUNCTION("""COMPUTED_VALUE"""),0.0)</f>
        <v>0</v>
      </c>
      <c r="AJ140" s="1"/>
      <c r="AK140" s="1"/>
      <c r="AL140" s="1">
        <f>IFERROR(__xludf.DUMMYFUNCTION("""COMPUTED_VALUE"""),0.0)</f>
        <v>0</v>
      </c>
      <c r="AM140" s="1">
        <f>IFERROR(__xludf.DUMMYFUNCTION("""COMPUTED_VALUE"""),43005.87890625)</f>
        <v>43005.87891</v>
      </c>
      <c r="AN140" s="1"/>
      <c r="AO140" s="1"/>
      <c r="AP140" s="1">
        <f>IFERROR(__xludf.DUMMYFUNCTION("""COMPUTED_VALUE"""),0.0)</f>
        <v>0</v>
      </c>
      <c r="AQ140" s="1"/>
      <c r="AR140" s="1"/>
      <c r="AS140" s="1">
        <f>IFERROR(__xludf.DUMMYFUNCTION("""COMPUTED_VALUE"""),0.0)</f>
        <v>0</v>
      </c>
    </row>
    <row r="141">
      <c r="A141" s="1" t="str">
        <f>IFERROR(__xludf.DUMMYFUNCTION("""COMPUTED_VALUE"""),"GRA")</f>
        <v>GRA</v>
      </c>
      <c r="B141" s="1"/>
      <c r="C141" s="1"/>
      <c r="D141" s="1">
        <f>IFERROR(__xludf.DUMMYFUNCTION("""COMPUTED_VALUE"""),3360.0)</f>
        <v>3360</v>
      </c>
      <c r="E141" s="1">
        <f>IFERROR(__xludf.DUMMYFUNCTION("""COMPUTED_VALUE"""),2697.0)</f>
        <v>2697</v>
      </c>
      <c r="F141" s="1">
        <f>IFERROR(__xludf.DUMMYFUNCTION("""COMPUTED_VALUE"""),3360.0)</f>
        <v>3360</v>
      </c>
      <c r="G141" s="1">
        <f>IFERROR(__xludf.DUMMYFUNCTION("""COMPUTED_VALUE"""),2924.0)</f>
        <v>2924</v>
      </c>
      <c r="H141" s="1">
        <f>IFERROR(__xludf.DUMMYFUNCTION("""COMPUTED_VALUE"""),2.0)</f>
        <v>2</v>
      </c>
      <c r="I141" s="1">
        <f>IFERROR(__xludf.DUMMYFUNCTION("""COMPUTED_VALUE"""),2880.0)</f>
        <v>2880</v>
      </c>
      <c r="J141" s="1">
        <f>IFERROR(__xludf.DUMMYFUNCTION("""COMPUTED_VALUE"""),4692.0)</f>
        <v>4692</v>
      </c>
      <c r="K141" s="1">
        <f>IFERROR(__xludf.DUMMYFUNCTION("""COMPUTED_VALUE"""),2950.0)</f>
        <v>2950</v>
      </c>
      <c r="L141" s="1">
        <f>IFERROR(__xludf.DUMMYFUNCTION("""COMPUTED_VALUE"""),51.0)</f>
        <v>51</v>
      </c>
      <c r="M141" s="1">
        <f>IFERROR(__xludf.DUMMYFUNCTION("""COMPUTED_VALUE"""),3000.0)</f>
        <v>3000</v>
      </c>
      <c r="N141" s="1">
        <f>IFERROR(__xludf.DUMMYFUNCTION("""COMPUTED_VALUE"""),577.0)</f>
        <v>577</v>
      </c>
      <c r="O141" s="1">
        <f>IFERROR(__xludf.DUMMYFUNCTION("""COMPUTED_VALUE"""),300.0)</f>
        <v>300</v>
      </c>
      <c r="P141" s="1">
        <f>IFERROR(__xludf.DUMMYFUNCTION("""COMPUTED_VALUE"""),2700.0)</f>
        <v>2700</v>
      </c>
      <c r="Q141" s="1">
        <f>IFERROR(__xludf.DUMMYFUNCTION("""COMPUTED_VALUE"""),630.0)</f>
        <v>630</v>
      </c>
      <c r="R141" s="1">
        <f>IFERROR(__xludf.DUMMYFUNCTION("""COMPUTED_VALUE"""),4200.0)</f>
        <v>4200</v>
      </c>
      <c r="S141" s="1"/>
      <c r="T141" s="1"/>
      <c r="U141" s="1">
        <f>IFERROR(__xludf.DUMMYFUNCTION("""COMPUTED_VALUE"""),0.0)</f>
        <v>0</v>
      </c>
      <c r="V141" s="1"/>
      <c r="W141" s="1"/>
      <c r="X141" s="1">
        <f>IFERROR(__xludf.DUMMYFUNCTION("""COMPUTED_VALUE"""),0.0)</f>
        <v>0</v>
      </c>
      <c r="Y141" s="1">
        <f>IFERROR(__xludf.DUMMYFUNCTION("""COMPUTED_VALUE"""),3270.0)</f>
        <v>3270</v>
      </c>
      <c r="Z141" s="1">
        <f>IFERROR(__xludf.DUMMYFUNCTION("""COMPUTED_VALUE"""),28.0)</f>
        <v>28</v>
      </c>
      <c r="AA141" s="1">
        <f>IFERROR(__xludf.DUMMYFUNCTION("""COMPUTED_VALUE"""),3270.0)</f>
        <v>3270</v>
      </c>
      <c r="AB141" s="1">
        <f>IFERROR(__xludf.DUMMYFUNCTION("""COMPUTED_VALUE"""),8180.0)</f>
        <v>8180</v>
      </c>
      <c r="AC141" s="1">
        <f>IFERROR(__xludf.DUMMYFUNCTION("""COMPUTED_VALUE"""),3.0)</f>
        <v>3</v>
      </c>
      <c r="AD141" s="1">
        <f>IFERROR(__xludf.DUMMYFUNCTION("""COMPUTED_VALUE"""),2820.0)</f>
        <v>2820</v>
      </c>
      <c r="AE141" s="1">
        <f>IFERROR(__xludf.DUMMYFUNCTION("""COMPUTED_VALUE"""),2955.0)</f>
        <v>2955</v>
      </c>
      <c r="AF141" s="1">
        <f>IFERROR(__xludf.DUMMYFUNCTION("""COMPUTED_VALUE"""),1267.97998046875)</f>
        <v>1267.97998</v>
      </c>
      <c r="AG141" s="1"/>
      <c r="AH141" s="1"/>
      <c r="AI141" s="1">
        <f>IFERROR(__xludf.DUMMYFUNCTION("""COMPUTED_VALUE"""),0.0)</f>
        <v>0</v>
      </c>
      <c r="AJ141" s="1"/>
      <c r="AK141" s="1"/>
      <c r="AL141" s="1">
        <f>IFERROR(__xludf.DUMMYFUNCTION("""COMPUTED_VALUE"""),0.0)</f>
        <v>0</v>
      </c>
      <c r="AM141" s="1">
        <f>IFERROR(__xludf.DUMMYFUNCTION("""COMPUTED_VALUE"""),2799.53002929687)</f>
        <v>2799.530029</v>
      </c>
      <c r="AN141" s="1">
        <f>IFERROR(__xludf.DUMMYFUNCTION("""COMPUTED_VALUE"""),260.0)</f>
        <v>260</v>
      </c>
      <c r="AO141" s="1">
        <f>IFERROR(__xludf.DUMMYFUNCTION("""COMPUTED_VALUE"""),2940.0)</f>
        <v>2940</v>
      </c>
      <c r="AP141" s="1">
        <f>IFERROR(__xludf.DUMMYFUNCTION("""COMPUTED_VALUE"""),2325.0)</f>
        <v>2325</v>
      </c>
      <c r="AQ141" s="1">
        <f>IFERROR(__xludf.DUMMYFUNCTION("""COMPUTED_VALUE"""),300.0)</f>
        <v>300</v>
      </c>
      <c r="AR141" s="1">
        <f>IFERROR(__xludf.DUMMYFUNCTION("""COMPUTED_VALUE"""),2650.0)</f>
        <v>2650</v>
      </c>
      <c r="AS141" s="1">
        <f>IFERROR(__xludf.DUMMYFUNCTION("""COMPUTED_VALUE"""),2795.0)</f>
        <v>2795</v>
      </c>
    </row>
    <row r="142">
      <c r="A142" s="1" t="str">
        <f>IFERROR(__xludf.DUMMYFUNCTION("""COMPUTED_VALUE"""),"GRN")</f>
        <v>GRN</v>
      </c>
      <c r="B142" s="1">
        <f>IFERROR(__xludf.DUMMYFUNCTION("""COMPUTED_VALUE"""),86.0)</f>
        <v>86</v>
      </c>
      <c r="C142" s="1"/>
      <c r="D142" s="1">
        <f>IFERROR(__xludf.DUMMYFUNCTION("""COMPUTED_VALUE"""),330.0)</f>
        <v>330</v>
      </c>
      <c r="E142" s="1">
        <f>IFERROR(__xludf.DUMMYFUNCTION("""COMPUTED_VALUE"""),1009.0)</f>
        <v>1009</v>
      </c>
      <c r="F142" s="1">
        <f>IFERROR(__xludf.DUMMYFUNCTION("""COMPUTED_VALUE"""),330.0)</f>
        <v>330</v>
      </c>
      <c r="G142" s="1">
        <f>IFERROR(__xludf.DUMMYFUNCTION("""COMPUTED_VALUE"""),50019.0)</f>
        <v>50019</v>
      </c>
      <c r="H142" s="1">
        <f>IFERROR(__xludf.DUMMYFUNCTION("""COMPUTED_VALUE"""),995.0)</f>
        <v>995</v>
      </c>
      <c r="I142" s="1">
        <f>IFERROR(__xludf.DUMMYFUNCTION("""COMPUTED_VALUE"""),320.0)</f>
        <v>320</v>
      </c>
      <c r="J142" s="1">
        <f>IFERROR(__xludf.DUMMYFUNCTION("""COMPUTED_VALUE"""),29452.0)</f>
        <v>29452</v>
      </c>
      <c r="K142" s="1">
        <f>IFERROR(__xludf.DUMMYFUNCTION("""COMPUTED_VALUE"""),335.869995117187)</f>
        <v>335.8699951</v>
      </c>
      <c r="L142" s="1">
        <f>IFERROR(__xludf.DUMMYFUNCTION("""COMPUTED_VALUE"""),674.0)</f>
        <v>674</v>
      </c>
      <c r="M142" s="1">
        <f>IFERROR(__xludf.DUMMYFUNCTION("""COMPUTED_VALUE"""),346.0)</f>
        <v>346</v>
      </c>
      <c r="N142" s="1">
        <f>IFERROR(__xludf.DUMMYFUNCTION("""COMPUTED_VALUE"""),15758.0)</f>
        <v>15758</v>
      </c>
      <c r="O142" s="1">
        <f>IFERROR(__xludf.DUMMYFUNCTION("""COMPUTED_VALUE"""),40.0)</f>
        <v>40</v>
      </c>
      <c r="P142" s="1">
        <f>IFERROR(__xludf.DUMMYFUNCTION("""COMPUTED_VALUE"""),315.0)</f>
        <v>315</v>
      </c>
      <c r="Q142" s="1">
        <f>IFERROR(__xludf.DUMMYFUNCTION("""COMPUTED_VALUE"""),13341.0)</f>
        <v>13341</v>
      </c>
      <c r="R142" s="1">
        <f>IFERROR(__xludf.DUMMYFUNCTION("""COMPUTED_VALUE"""),185.0)</f>
        <v>185</v>
      </c>
      <c r="S142" s="1">
        <f>IFERROR(__xludf.DUMMYFUNCTION("""COMPUTED_VALUE"""),100.0)</f>
        <v>100</v>
      </c>
      <c r="T142" s="1">
        <f>IFERROR(__xludf.DUMMYFUNCTION("""COMPUTED_VALUE"""),400.0)</f>
        <v>400</v>
      </c>
      <c r="U142" s="1">
        <f>IFERROR(__xludf.DUMMYFUNCTION("""COMPUTED_VALUE"""),100.0)</f>
        <v>100</v>
      </c>
      <c r="V142" s="1"/>
      <c r="W142" s="1"/>
      <c r="X142" s="1">
        <f>IFERROR(__xludf.DUMMYFUNCTION("""COMPUTED_VALUE"""),0.0)</f>
        <v>0</v>
      </c>
      <c r="Y142" s="1">
        <f>IFERROR(__xludf.DUMMYFUNCTION("""COMPUTED_VALUE"""),330.0)</f>
        <v>330</v>
      </c>
      <c r="Z142" s="1">
        <f>IFERROR(__xludf.DUMMYFUNCTION("""COMPUTED_VALUE"""),14.0)</f>
        <v>14</v>
      </c>
      <c r="AA142" s="1">
        <f>IFERROR(__xludf.DUMMYFUNCTION("""COMPUTED_VALUE"""),330.0)</f>
        <v>330</v>
      </c>
      <c r="AB142" s="1">
        <f>IFERROR(__xludf.DUMMYFUNCTION("""COMPUTED_VALUE"""),45910.0)</f>
        <v>45910</v>
      </c>
      <c r="AC142" s="1">
        <f>IFERROR(__xludf.DUMMYFUNCTION("""COMPUTED_VALUE"""),352.0)</f>
        <v>352</v>
      </c>
      <c r="AD142" s="1">
        <f>IFERROR(__xludf.DUMMYFUNCTION("""COMPUTED_VALUE"""),310.0)</f>
        <v>310</v>
      </c>
      <c r="AE142" s="1">
        <f>IFERROR(__xludf.DUMMYFUNCTION("""COMPUTED_VALUE"""),40681.0)</f>
        <v>40681</v>
      </c>
      <c r="AF142" s="1">
        <f>IFERROR(__xludf.DUMMYFUNCTION("""COMPUTED_VALUE"""),325.0)</f>
        <v>325</v>
      </c>
      <c r="AG142" s="1">
        <f>IFERROR(__xludf.DUMMYFUNCTION("""COMPUTED_VALUE"""),77.0)</f>
        <v>77</v>
      </c>
      <c r="AH142" s="1">
        <f>IFERROR(__xludf.DUMMYFUNCTION("""COMPUTED_VALUE"""),394.0)</f>
        <v>394</v>
      </c>
      <c r="AI142" s="1">
        <f>IFERROR(__xludf.DUMMYFUNCTION("""COMPUTED_VALUE"""),2177.0)</f>
        <v>2177</v>
      </c>
      <c r="AJ142" s="1">
        <f>IFERROR(__xludf.DUMMYFUNCTION("""COMPUTED_VALUE"""),765.0)</f>
        <v>765</v>
      </c>
      <c r="AK142" s="1">
        <f>IFERROR(__xludf.DUMMYFUNCTION("""COMPUTED_VALUE"""),325.0)</f>
        <v>325</v>
      </c>
      <c r="AL142" s="1">
        <f>IFERROR(__xludf.DUMMYFUNCTION("""COMPUTED_VALUE"""),765.0)</f>
        <v>765</v>
      </c>
      <c r="AM142" s="1">
        <f>IFERROR(__xludf.DUMMYFUNCTION("""COMPUTED_VALUE"""),290.0)</f>
        <v>290</v>
      </c>
      <c r="AN142" s="1">
        <f>IFERROR(__xludf.DUMMYFUNCTION("""COMPUTED_VALUE"""),401.0)</f>
        <v>401</v>
      </c>
      <c r="AO142" s="1">
        <f>IFERROR(__xludf.DUMMYFUNCTION("""COMPUTED_VALUE"""),290.0)</f>
        <v>290</v>
      </c>
      <c r="AP142" s="1">
        <f>IFERROR(__xludf.DUMMYFUNCTION("""COMPUTED_VALUE"""),36790.0)</f>
        <v>36790</v>
      </c>
      <c r="AQ142" s="1">
        <f>IFERROR(__xludf.DUMMYFUNCTION("""COMPUTED_VALUE"""),18.0)</f>
        <v>18</v>
      </c>
      <c r="AR142" s="1">
        <f>IFERROR(__xludf.DUMMYFUNCTION("""COMPUTED_VALUE"""),265.0)</f>
        <v>265</v>
      </c>
      <c r="AS142" s="1">
        <f>IFERROR(__xludf.DUMMYFUNCTION("""COMPUTED_VALUE"""),29278.0)</f>
        <v>29278</v>
      </c>
    </row>
    <row r="143">
      <c r="A143" s="1" t="str">
        <f>IFERROR(__xludf.DUMMYFUNCTION("""COMPUTED_VALUE"""),"GV")</f>
        <v>GV</v>
      </c>
      <c r="B143" s="1"/>
      <c r="C143" s="1"/>
      <c r="D143" s="1">
        <f>IFERROR(__xludf.DUMMYFUNCTION("""COMPUTED_VALUE"""),2953.52001953125)</f>
        <v>2953.52002</v>
      </c>
      <c r="E143" s="1">
        <f>IFERROR(__xludf.DUMMYFUNCTION("""COMPUTED_VALUE"""),9.0)</f>
        <v>9</v>
      </c>
      <c r="F143" s="1">
        <f>IFERROR(__xludf.DUMMYFUNCTION("""COMPUTED_VALUE"""),2800.0)</f>
        <v>2800</v>
      </c>
      <c r="G143" s="1">
        <f>IFERROR(__xludf.DUMMYFUNCTION("""COMPUTED_VALUE"""),750.0)</f>
        <v>750</v>
      </c>
      <c r="H143" s="1">
        <f>IFERROR(__xludf.DUMMYFUNCTION("""COMPUTED_VALUE"""),962.0)</f>
        <v>962</v>
      </c>
      <c r="I143" s="1">
        <f>IFERROR(__xludf.DUMMYFUNCTION("""COMPUTED_VALUE"""),2300.0)</f>
        <v>2300</v>
      </c>
      <c r="J143" s="1">
        <f>IFERROR(__xludf.DUMMYFUNCTION("""COMPUTED_VALUE"""),1646.0)</f>
        <v>1646</v>
      </c>
      <c r="K143" s="1">
        <f>IFERROR(__xludf.DUMMYFUNCTION("""COMPUTED_VALUE"""),2200.0)</f>
        <v>2200</v>
      </c>
      <c r="L143" s="1">
        <f>IFERROR(__xludf.DUMMYFUNCTION("""COMPUTED_VALUE"""),14.0)</f>
        <v>14</v>
      </c>
      <c r="M143" s="1">
        <f>IFERROR(__xludf.DUMMYFUNCTION("""COMPUTED_VALUE"""),2200.0)</f>
        <v>2200</v>
      </c>
      <c r="N143" s="1">
        <f>IFERROR(__xludf.DUMMYFUNCTION("""COMPUTED_VALUE"""),45.0)</f>
        <v>45</v>
      </c>
      <c r="O143" s="1">
        <f>IFERROR(__xludf.DUMMYFUNCTION("""COMPUTED_VALUE"""),480.0)</f>
        <v>480</v>
      </c>
      <c r="P143" s="1">
        <f>IFERROR(__xludf.DUMMYFUNCTION("""COMPUTED_VALUE"""),1950.0)</f>
        <v>1950</v>
      </c>
      <c r="Q143" s="1">
        <f>IFERROR(__xludf.DUMMYFUNCTION("""COMPUTED_VALUE"""),880.0)</f>
        <v>880</v>
      </c>
      <c r="R143" s="1">
        <f>IFERROR(__xludf.DUMMYFUNCTION("""COMPUTED_VALUE"""),1032.55004882812)</f>
        <v>1032.550049</v>
      </c>
      <c r="S143" s="1"/>
      <c r="T143" s="1"/>
      <c r="U143" s="1">
        <f>IFERROR(__xludf.DUMMYFUNCTION("""COMPUTED_VALUE"""),0.0)</f>
        <v>0</v>
      </c>
      <c r="V143" s="1"/>
      <c r="W143" s="1"/>
      <c r="X143" s="1">
        <f>IFERROR(__xludf.DUMMYFUNCTION("""COMPUTED_VALUE"""),0.0)</f>
        <v>0</v>
      </c>
      <c r="Y143" s="1">
        <f>IFERROR(__xludf.DUMMYFUNCTION("""COMPUTED_VALUE"""),2220.0)</f>
        <v>2220</v>
      </c>
      <c r="Z143" s="1">
        <f>IFERROR(__xludf.DUMMYFUNCTION("""COMPUTED_VALUE"""),7.0)</f>
        <v>7</v>
      </c>
      <c r="AA143" s="1">
        <f>IFERROR(__xludf.DUMMYFUNCTION("""COMPUTED_VALUE"""),2210.0)</f>
        <v>2210</v>
      </c>
      <c r="AB143" s="1">
        <f>IFERROR(__xludf.DUMMYFUNCTION("""COMPUTED_VALUE"""),2000.0)</f>
        <v>2000</v>
      </c>
      <c r="AC143" s="1">
        <f>IFERROR(__xludf.DUMMYFUNCTION("""COMPUTED_VALUE"""),500.0)</f>
        <v>500</v>
      </c>
      <c r="AD143" s="1">
        <f>IFERROR(__xludf.DUMMYFUNCTION("""COMPUTED_VALUE"""),1900.0)</f>
        <v>1900</v>
      </c>
      <c r="AE143" s="1">
        <f>IFERROR(__xludf.DUMMYFUNCTION("""COMPUTED_VALUE"""),1660.0)</f>
        <v>1660</v>
      </c>
      <c r="AF143" s="1">
        <f>IFERROR(__xludf.DUMMYFUNCTION("""COMPUTED_VALUE"""),1032.55004882812)</f>
        <v>1032.550049</v>
      </c>
      <c r="AG143" s="1">
        <f>IFERROR(__xludf.DUMMYFUNCTION("""COMPUTED_VALUE"""),10.0)</f>
        <v>10</v>
      </c>
      <c r="AH143" s="1">
        <f>IFERROR(__xludf.DUMMYFUNCTION("""COMPUTED_VALUE"""),2440.0)</f>
        <v>2440</v>
      </c>
      <c r="AI143" s="1">
        <f>IFERROR(__xludf.DUMMYFUNCTION("""COMPUTED_VALUE"""),10.0)</f>
        <v>10</v>
      </c>
      <c r="AJ143" s="1"/>
      <c r="AK143" s="1"/>
      <c r="AL143" s="1">
        <f>IFERROR(__xludf.DUMMYFUNCTION("""COMPUTED_VALUE"""),0.0)</f>
        <v>0</v>
      </c>
      <c r="AM143" s="1">
        <f>IFERROR(__xludf.DUMMYFUNCTION("""COMPUTED_VALUE"""),2715.36010742187)</f>
        <v>2715.360107</v>
      </c>
      <c r="AN143" s="1">
        <f>IFERROR(__xludf.DUMMYFUNCTION("""COMPUTED_VALUE"""),69.0)</f>
        <v>69</v>
      </c>
      <c r="AO143" s="1">
        <f>IFERROR(__xludf.DUMMYFUNCTION("""COMPUTED_VALUE"""),2720.0)</f>
        <v>2720</v>
      </c>
      <c r="AP143" s="1">
        <f>IFERROR(__xludf.DUMMYFUNCTION("""COMPUTED_VALUE"""),193.0)</f>
        <v>193</v>
      </c>
      <c r="AQ143" s="1">
        <f>IFERROR(__xludf.DUMMYFUNCTION("""COMPUTED_VALUE"""),500.0)</f>
        <v>500</v>
      </c>
      <c r="AR143" s="1">
        <f>IFERROR(__xludf.DUMMYFUNCTION("""COMPUTED_VALUE"""),1950.0)</f>
        <v>1950</v>
      </c>
      <c r="AS143" s="1">
        <f>IFERROR(__xludf.DUMMYFUNCTION("""COMPUTED_VALUE"""),684.0)</f>
        <v>684</v>
      </c>
    </row>
    <row r="144">
      <c r="A144" s="1" t="str">
        <f>IFERROR(__xludf.DUMMYFUNCTION("""COMPUTED_VALUE"""),"GWS")</f>
        <v>GWS</v>
      </c>
      <c r="B144" s="1"/>
      <c r="C144" s="1"/>
      <c r="D144" s="1">
        <f>IFERROR(__xludf.DUMMYFUNCTION("""COMPUTED_VALUE"""),1.5E7)</f>
        <v>15000000</v>
      </c>
      <c r="E144" s="1"/>
      <c r="F144" s="1"/>
      <c r="G144" s="1">
        <f>IFERROR(__xludf.DUMMYFUNCTION("""COMPUTED_VALUE"""),0.0)</f>
        <v>0</v>
      </c>
      <c r="H144" s="1">
        <f>IFERROR(__xludf.DUMMYFUNCTION("""COMPUTED_VALUE"""),1.0)</f>
        <v>1</v>
      </c>
      <c r="I144" s="1">
        <f>IFERROR(__xludf.DUMMYFUNCTION("""COMPUTED_VALUE"""),7000000.0)</f>
        <v>7000000</v>
      </c>
      <c r="J144" s="1">
        <f>IFERROR(__xludf.DUMMYFUNCTION("""COMPUTED_VALUE"""),1.0)</f>
        <v>1</v>
      </c>
      <c r="K144" s="1">
        <f>IFERROR(__xludf.DUMMYFUNCTION("""COMPUTED_VALUE"""),5287697.0)</f>
        <v>5287697</v>
      </c>
      <c r="L144" s="1"/>
      <c r="M144" s="1"/>
      <c r="N144" s="1">
        <f>IFERROR(__xludf.DUMMYFUNCTION("""COMPUTED_VALUE"""),0.0)</f>
        <v>0</v>
      </c>
      <c r="O144" s="1"/>
      <c r="P144" s="1"/>
      <c r="Q144" s="1">
        <f>IFERROR(__xludf.DUMMYFUNCTION("""COMPUTED_VALUE"""),0.0)</f>
        <v>0</v>
      </c>
      <c r="R144" s="1">
        <f>IFERROR(__xludf.DUMMYFUNCTION("""COMPUTED_VALUE"""),5287697.0)</f>
        <v>5287697</v>
      </c>
      <c r="S144" s="1"/>
      <c r="T144" s="1"/>
      <c r="U144" s="1">
        <f>IFERROR(__xludf.DUMMYFUNCTION("""COMPUTED_VALUE"""),0.0)</f>
        <v>0</v>
      </c>
      <c r="V144" s="1"/>
      <c r="W144" s="1"/>
      <c r="X144" s="1">
        <f>IFERROR(__xludf.DUMMYFUNCTION("""COMPUTED_VALUE"""),0.0)</f>
        <v>0</v>
      </c>
      <c r="Y144" s="1">
        <f>IFERROR(__xludf.DUMMYFUNCTION("""COMPUTED_VALUE"""),1.5E7)</f>
        <v>15000000</v>
      </c>
      <c r="Z144" s="1"/>
      <c r="AA144" s="1"/>
      <c r="AB144" s="1">
        <f>IFERROR(__xludf.DUMMYFUNCTION("""COMPUTED_VALUE"""),0.0)</f>
        <v>0</v>
      </c>
      <c r="AC144" s="1"/>
      <c r="AD144" s="1"/>
      <c r="AE144" s="1">
        <f>IFERROR(__xludf.DUMMYFUNCTION("""COMPUTED_VALUE"""),0.0)</f>
        <v>0</v>
      </c>
      <c r="AF144" s="1">
        <f>IFERROR(__xludf.DUMMYFUNCTION("""COMPUTED_VALUE"""),5287697.0)</f>
        <v>5287697</v>
      </c>
      <c r="AG144" s="1"/>
      <c r="AH144" s="1"/>
      <c r="AI144" s="1">
        <f>IFERROR(__xludf.DUMMYFUNCTION("""COMPUTED_VALUE"""),0.0)</f>
        <v>0</v>
      </c>
      <c r="AJ144" s="1"/>
      <c r="AK144" s="1"/>
      <c r="AL144" s="1">
        <f>IFERROR(__xludf.DUMMYFUNCTION("""COMPUTED_VALUE"""),0.0)</f>
        <v>0</v>
      </c>
      <c r="AM144" s="1">
        <f>IFERROR(__xludf.DUMMYFUNCTION("""COMPUTED_VALUE"""),5287697.0)</f>
        <v>5287697</v>
      </c>
      <c r="AN144" s="1"/>
      <c r="AO144" s="1"/>
      <c r="AP144" s="1">
        <f>IFERROR(__xludf.DUMMYFUNCTION("""COMPUTED_VALUE"""),0.0)</f>
        <v>0</v>
      </c>
      <c r="AQ144" s="1"/>
      <c r="AR144" s="1"/>
      <c r="AS144" s="1">
        <f>IFERROR(__xludf.DUMMYFUNCTION("""COMPUTED_VALUE"""),0.0)</f>
        <v>0</v>
      </c>
    </row>
    <row r="145">
      <c r="A145" s="1" t="str">
        <f>IFERROR(__xludf.DUMMYFUNCTION("""COMPUTED_VALUE"""),"H")</f>
        <v>H</v>
      </c>
      <c r="B145" s="1">
        <f>IFERROR(__xludf.DUMMYFUNCTION("""COMPUTED_VALUE"""),50.0)</f>
        <v>50</v>
      </c>
      <c r="C145" s="1"/>
      <c r="D145" s="1">
        <f>IFERROR(__xludf.DUMMYFUNCTION("""COMPUTED_VALUE"""),124.949996948242)</f>
        <v>124.9499969</v>
      </c>
      <c r="E145" s="1">
        <f>IFERROR(__xludf.DUMMYFUNCTION("""COMPUTED_VALUE"""),4698.0)</f>
        <v>4698</v>
      </c>
      <c r="F145" s="1">
        <f>IFERROR(__xludf.DUMMYFUNCTION("""COMPUTED_VALUE"""),132.0)</f>
        <v>132</v>
      </c>
      <c r="G145" s="1">
        <f>IFERROR(__xludf.DUMMYFUNCTION("""COMPUTED_VALUE"""),236263.0)</f>
        <v>236263</v>
      </c>
      <c r="H145" s="1">
        <f>IFERROR(__xludf.DUMMYFUNCTION("""COMPUTED_VALUE"""),200.0)</f>
        <v>200</v>
      </c>
      <c r="I145" s="1">
        <f>IFERROR(__xludf.DUMMYFUNCTION("""COMPUTED_VALUE"""),121.0)</f>
        <v>121</v>
      </c>
      <c r="J145" s="1">
        <f>IFERROR(__xludf.DUMMYFUNCTION("""COMPUTED_VALUE"""),114413.0)</f>
        <v>114413</v>
      </c>
      <c r="K145" s="1">
        <f>IFERROR(__xludf.DUMMYFUNCTION("""COMPUTED_VALUE"""),114.0)</f>
        <v>114</v>
      </c>
      <c r="L145" s="1">
        <f>IFERROR(__xludf.DUMMYFUNCTION("""COMPUTED_VALUE"""),6157.0)</f>
        <v>6157</v>
      </c>
      <c r="M145" s="1">
        <f>IFERROR(__xludf.DUMMYFUNCTION("""COMPUTED_VALUE"""),114.0)</f>
        <v>114</v>
      </c>
      <c r="N145" s="1">
        <f>IFERROR(__xludf.DUMMYFUNCTION("""COMPUTED_VALUE"""),223068.0)</f>
        <v>223068</v>
      </c>
      <c r="O145" s="1">
        <f>IFERROR(__xludf.DUMMYFUNCTION("""COMPUTED_VALUE"""),840.0)</f>
        <v>840</v>
      </c>
      <c r="P145" s="1">
        <f>IFERROR(__xludf.DUMMYFUNCTION("""COMPUTED_VALUE"""),113.0)</f>
        <v>113</v>
      </c>
      <c r="Q145" s="1">
        <f>IFERROR(__xludf.DUMMYFUNCTION("""COMPUTED_VALUE"""),154158.0)</f>
        <v>154158</v>
      </c>
      <c r="R145" s="1">
        <f>IFERROR(__xludf.DUMMYFUNCTION("""COMPUTED_VALUE"""),110.0)</f>
        <v>110</v>
      </c>
      <c r="S145" s="1"/>
      <c r="T145" s="1"/>
      <c r="U145" s="1">
        <f>IFERROR(__xludf.DUMMYFUNCTION("""COMPUTED_VALUE"""),0.0)</f>
        <v>0</v>
      </c>
      <c r="V145" s="1">
        <f>IFERROR(__xludf.DUMMYFUNCTION("""COMPUTED_VALUE"""),5000.0)</f>
        <v>5000</v>
      </c>
      <c r="W145" s="1">
        <f>IFERROR(__xludf.DUMMYFUNCTION("""COMPUTED_VALUE"""),100.0)</f>
        <v>100</v>
      </c>
      <c r="X145" s="1">
        <f>IFERROR(__xludf.DUMMYFUNCTION("""COMPUTED_VALUE"""),10000.0)</f>
        <v>10000</v>
      </c>
      <c r="Y145" s="1">
        <f>IFERROR(__xludf.DUMMYFUNCTION("""COMPUTED_VALUE"""),133.0)</f>
        <v>133</v>
      </c>
      <c r="Z145" s="1">
        <f>IFERROR(__xludf.DUMMYFUNCTION("""COMPUTED_VALUE"""),1157.0)</f>
        <v>1157</v>
      </c>
      <c r="AA145" s="1">
        <f>IFERROR(__xludf.DUMMYFUNCTION("""COMPUTED_VALUE"""),133.0)</f>
        <v>133</v>
      </c>
      <c r="AB145" s="1">
        <f>IFERROR(__xludf.DUMMYFUNCTION("""COMPUTED_VALUE"""),228220.0)</f>
        <v>228220</v>
      </c>
      <c r="AC145" s="1">
        <f>IFERROR(__xludf.DUMMYFUNCTION("""COMPUTED_VALUE"""),100.0)</f>
        <v>100</v>
      </c>
      <c r="AD145" s="1">
        <f>IFERROR(__xludf.DUMMYFUNCTION("""COMPUTED_VALUE"""),128.0)</f>
        <v>128</v>
      </c>
      <c r="AE145" s="1">
        <f>IFERROR(__xludf.DUMMYFUNCTION("""COMPUTED_VALUE"""),84408.0)</f>
        <v>84408</v>
      </c>
      <c r="AF145" s="1">
        <f>IFERROR(__xludf.DUMMYFUNCTION("""COMPUTED_VALUE"""),105.0)</f>
        <v>105</v>
      </c>
      <c r="AG145" s="1">
        <f>IFERROR(__xludf.DUMMYFUNCTION("""COMPUTED_VALUE"""),1544.0)</f>
        <v>1544</v>
      </c>
      <c r="AH145" s="1">
        <f>IFERROR(__xludf.DUMMYFUNCTION("""COMPUTED_VALUE"""),105.0)</f>
        <v>105</v>
      </c>
      <c r="AI145" s="1">
        <f>IFERROR(__xludf.DUMMYFUNCTION("""COMPUTED_VALUE"""),5294.0)</f>
        <v>5294</v>
      </c>
      <c r="AJ145" s="1">
        <f>IFERROR(__xludf.DUMMYFUNCTION("""COMPUTED_VALUE"""),4660.0)</f>
        <v>4660</v>
      </c>
      <c r="AK145" s="1">
        <f>IFERROR(__xludf.DUMMYFUNCTION("""COMPUTED_VALUE"""),95.0)</f>
        <v>95</v>
      </c>
      <c r="AL145" s="1">
        <f>IFERROR(__xludf.DUMMYFUNCTION("""COMPUTED_VALUE"""),4660.0)</f>
        <v>4660</v>
      </c>
      <c r="AM145" s="1">
        <f>IFERROR(__xludf.DUMMYFUNCTION("""COMPUTED_VALUE"""),100.0)</f>
        <v>100</v>
      </c>
      <c r="AN145" s="1">
        <f>IFERROR(__xludf.DUMMYFUNCTION("""COMPUTED_VALUE"""),210.0)</f>
        <v>210</v>
      </c>
      <c r="AO145" s="1">
        <f>IFERROR(__xludf.DUMMYFUNCTION("""COMPUTED_VALUE"""),110.0)</f>
        <v>110</v>
      </c>
      <c r="AP145" s="1">
        <f>IFERROR(__xludf.DUMMYFUNCTION("""COMPUTED_VALUE"""),109316.0)</f>
        <v>109316</v>
      </c>
      <c r="AQ145" s="1">
        <f>IFERROR(__xludf.DUMMYFUNCTION("""COMPUTED_VALUE"""),9700.0)</f>
        <v>9700</v>
      </c>
      <c r="AR145" s="1">
        <f>IFERROR(__xludf.DUMMYFUNCTION("""COMPUTED_VALUE"""),100.0)</f>
        <v>100</v>
      </c>
      <c r="AS145" s="1">
        <f>IFERROR(__xludf.DUMMYFUNCTION("""COMPUTED_VALUE"""),83790.0)</f>
        <v>83790</v>
      </c>
    </row>
    <row r="146">
      <c r="A146" s="1" t="str">
        <f>IFERROR(__xludf.DUMMYFUNCTION("""COMPUTED_VALUE"""),"H2O")</f>
        <v>H2O</v>
      </c>
      <c r="B146" s="1">
        <f>IFERROR(__xludf.DUMMYFUNCTION("""COMPUTED_VALUE"""),10.0)</f>
        <v>10</v>
      </c>
      <c r="C146" s="1"/>
      <c r="D146" s="1">
        <f>IFERROR(__xludf.DUMMYFUNCTION("""COMPUTED_VALUE"""),56.7999992370605)</f>
        <v>56.79999924</v>
      </c>
      <c r="E146" s="1">
        <f>IFERROR(__xludf.DUMMYFUNCTION("""COMPUTED_VALUE"""),4664.0)</f>
        <v>4664</v>
      </c>
      <c r="F146" s="1">
        <f>IFERROR(__xludf.DUMMYFUNCTION("""COMPUTED_VALUE"""),56.7999992370605)</f>
        <v>56.79999924</v>
      </c>
      <c r="G146" s="1">
        <f>IFERROR(__xludf.DUMMYFUNCTION("""COMPUTED_VALUE"""),1174140.0)</f>
        <v>1174140</v>
      </c>
      <c r="H146" s="1">
        <f>IFERROR(__xludf.DUMMYFUNCTION("""COMPUTED_VALUE"""),1000.0)</f>
        <v>1000</v>
      </c>
      <c r="I146" s="1">
        <f>IFERROR(__xludf.DUMMYFUNCTION("""COMPUTED_VALUE"""),48.2999992370605)</f>
        <v>48.29999924</v>
      </c>
      <c r="J146" s="1">
        <f>IFERROR(__xludf.DUMMYFUNCTION("""COMPUTED_VALUE"""),2779209.0)</f>
        <v>2779209</v>
      </c>
      <c r="K146" s="1">
        <f>IFERROR(__xludf.DUMMYFUNCTION("""COMPUTED_VALUE"""),45.2000007629394)</f>
        <v>45.20000076</v>
      </c>
      <c r="L146" s="1">
        <f>IFERROR(__xludf.DUMMYFUNCTION("""COMPUTED_VALUE"""),18513.0)</f>
        <v>18513</v>
      </c>
      <c r="M146" s="1">
        <f>IFERROR(__xludf.DUMMYFUNCTION("""COMPUTED_VALUE"""),50.0)</f>
        <v>50</v>
      </c>
      <c r="N146" s="1">
        <f>IFERROR(__xludf.DUMMYFUNCTION("""COMPUTED_VALUE"""),131504.0)</f>
        <v>131504</v>
      </c>
      <c r="O146" s="1">
        <f>IFERROR(__xludf.DUMMYFUNCTION("""COMPUTED_VALUE"""),27.0)</f>
        <v>27</v>
      </c>
      <c r="P146" s="1">
        <f>IFERROR(__xludf.DUMMYFUNCTION("""COMPUTED_VALUE"""),45.2000007629394)</f>
        <v>45.20000076</v>
      </c>
      <c r="Q146" s="1">
        <f>IFERROR(__xludf.DUMMYFUNCTION("""COMPUTED_VALUE"""),271629.0)</f>
        <v>271629</v>
      </c>
      <c r="R146" s="1">
        <f>IFERROR(__xludf.DUMMYFUNCTION("""COMPUTED_VALUE"""),38.0)</f>
        <v>38</v>
      </c>
      <c r="S146" s="1"/>
      <c r="T146" s="1"/>
      <c r="U146" s="1">
        <f>IFERROR(__xludf.DUMMYFUNCTION("""COMPUTED_VALUE"""),0.0)</f>
        <v>0</v>
      </c>
      <c r="V146" s="1">
        <f>IFERROR(__xludf.DUMMYFUNCTION("""COMPUTED_VALUE"""),79916.0)</f>
        <v>79916</v>
      </c>
      <c r="W146" s="1">
        <f>IFERROR(__xludf.DUMMYFUNCTION("""COMPUTED_VALUE"""),38.0)</f>
        <v>38</v>
      </c>
      <c r="X146" s="1">
        <f>IFERROR(__xludf.DUMMYFUNCTION("""COMPUTED_VALUE"""),80916.0)</f>
        <v>80916</v>
      </c>
      <c r="Y146" s="1">
        <f>IFERROR(__xludf.DUMMYFUNCTION("""COMPUTED_VALUE"""),58.0)</f>
        <v>58</v>
      </c>
      <c r="Z146" s="1">
        <f>IFERROR(__xludf.DUMMYFUNCTION("""COMPUTED_VALUE"""),2764.0)</f>
        <v>2764</v>
      </c>
      <c r="AA146" s="1">
        <f>IFERROR(__xludf.DUMMYFUNCTION("""COMPUTED_VALUE"""),57.9000015258789)</f>
        <v>57.90000153</v>
      </c>
      <c r="AB146" s="1">
        <f>IFERROR(__xludf.DUMMYFUNCTION("""COMPUTED_VALUE"""),679569.0)</f>
        <v>679569</v>
      </c>
      <c r="AC146" s="1">
        <f>IFERROR(__xludf.DUMMYFUNCTION("""COMPUTED_VALUE"""),7250.0)</f>
        <v>7250</v>
      </c>
      <c r="AD146" s="1">
        <f>IFERROR(__xludf.DUMMYFUNCTION("""COMPUTED_VALUE"""),50.0)</f>
        <v>50</v>
      </c>
      <c r="AE146" s="1">
        <f>IFERROR(__xludf.DUMMYFUNCTION("""COMPUTED_VALUE"""),147249.0)</f>
        <v>147249</v>
      </c>
      <c r="AF146" s="1">
        <f>IFERROR(__xludf.DUMMYFUNCTION("""COMPUTED_VALUE"""),42.0)</f>
        <v>42</v>
      </c>
      <c r="AG146" s="1"/>
      <c r="AH146" s="1"/>
      <c r="AI146" s="1">
        <f>IFERROR(__xludf.DUMMYFUNCTION("""COMPUTED_VALUE"""),0.0)</f>
        <v>0</v>
      </c>
      <c r="AJ146" s="1">
        <f>IFERROR(__xludf.DUMMYFUNCTION("""COMPUTED_VALUE"""),10000.0)</f>
        <v>10000</v>
      </c>
      <c r="AK146" s="1">
        <f>IFERROR(__xludf.DUMMYFUNCTION("""COMPUTED_VALUE"""),40.0)</f>
        <v>40</v>
      </c>
      <c r="AL146" s="1">
        <f>IFERROR(__xludf.DUMMYFUNCTION("""COMPUTED_VALUE"""),10000.0)</f>
        <v>10000</v>
      </c>
      <c r="AM146" s="1">
        <f>IFERROR(__xludf.DUMMYFUNCTION("""COMPUTED_VALUE"""),50.0)</f>
        <v>50</v>
      </c>
      <c r="AN146" s="1">
        <f>IFERROR(__xludf.DUMMYFUNCTION("""COMPUTED_VALUE"""),1292.0)</f>
        <v>1292</v>
      </c>
      <c r="AO146" s="1">
        <f>IFERROR(__xludf.DUMMYFUNCTION("""COMPUTED_VALUE"""),50.0)</f>
        <v>50</v>
      </c>
      <c r="AP146" s="1">
        <f>IFERROR(__xludf.DUMMYFUNCTION("""COMPUTED_VALUE"""),1042247.0)</f>
        <v>1042247</v>
      </c>
      <c r="AQ146" s="1">
        <f>IFERROR(__xludf.DUMMYFUNCTION("""COMPUTED_VALUE"""),10000.0)</f>
        <v>10000</v>
      </c>
      <c r="AR146" s="1">
        <f>IFERROR(__xludf.DUMMYFUNCTION("""COMPUTED_VALUE"""),43.0)</f>
        <v>43</v>
      </c>
      <c r="AS146" s="1">
        <f>IFERROR(__xludf.DUMMYFUNCTION("""COMPUTED_VALUE"""),1233876.0)</f>
        <v>1233876</v>
      </c>
    </row>
    <row r="147">
      <c r="A147" s="1" t="str">
        <f>IFERROR(__xludf.DUMMYFUNCTION("""COMPUTED_VALUE"""),"HAB")</f>
        <v>HAB</v>
      </c>
      <c r="B147" s="1"/>
      <c r="C147" s="1"/>
      <c r="D147" s="1">
        <f>IFERROR(__xludf.DUMMYFUNCTION("""COMPUTED_VALUE"""),130000.0)</f>
        <v>130000</v>
      </c>
      <c r="E147" s="1">
        <f>IFERROR(__xludf.DUMMYFUNCTION("""COMPUTED_VALUE"""),3.0)</f>
        <v>3</v>
      </c>
      <c r="F147" s="1">
        <f>IFERROR(__xludf.DUMMYFUNCTION("""COMPUTED_VALUE"""),130000.0)</f>
        <v>130000</v>
      </c>
      <c r="G147" s="1">
        <f>IFERROR(__xludf.DUMMYFUNCTION("""COMPUTED_VALUE"""),12.0)</f>
        <v>12</v>
      </c>
      <c r="H147" s="1"/>
      <c r="I147" s="1"/>
      <c r="J147" s="1">
        <f>IFERROR(__xludf.DUMMYFUNCTION("""COMPUTED_VALUE"""),0.0)</f>
        <v>0</v>
      </c>
      <c r="K147" s="1">
        <f>IFERROR(__xludf.DUMMYFUNCTION("""COMPUTED_VALUE"""),125000.0)</f>
        <v>125000</v>
      </c>
      <c r="L147" s="1">
        <f>IFERROR(__xludf.DUMMYFUNCTION("""COMPUTED_VALUE"""),5.0)</f>
        <v>5</v>
      </c>
      <c r="M147" s="1">
        <f>IFERROR(__xludf.DUMMYFUNCTION("""COMPUTED_VALUE"""),139000.0)</f>
        <v>139000</v>
      </c>
      <c r="N147" s="1">
        <f>IFERROR(__xludf.DUMMYFUNCTION("""COMPUTED_VALUE"""),9.0)</f>
        <v>9</v>
      </c>
      <c r="O147" s="1"/>
      <c r="P147" s="1"/>
      <c r="Q147" s="1">
        <f>IFERROR(__xludf.DUMMYFUNCTION("""COMPUTED_VALUE"""),0.0)</f>
        <v>0</v>
      </c>
      <c r="R147" s="1">
        <f>IFERROR(__xludf.DUMMYFUNCTION("""COMPUTED_VALUE"""),53396.4609375)</f>
        <v>53396.46094</v>
      </c>
      <c r="S147" s="1"/>
      <c r="T147" s="1"/>
      <c r="U147" s="1">
        <f>IFERROR(__xludf.DUMMYFUNCTION("""COMPUTED_VALUE"""),0.0)</f>
        <v>0</v>
      </c>
      <c r="V147" s="1"/>
      <c r="W147" s="1"/>
      <c r="X147" s="1">
        <f>IFERROR(__xludf.DUMMYFUNCTION("""COMPUTED_VALUE"""),0.0)</f>
        <v>0</v>
      </c>
      <c r="Y147" s="1">
        <f>IFERROR(__xludf.DUMMYFUNCTION("""COMPUTED_VALUE"""),119000.0)</f>
        <v>119000</v>
      </c>
      <c r="Z147" s="1">
        <f>IFERROR(__xludf.DUMMYFUNCTION("""COMPUTED_VALUE"""),2.0)</f>
        <v>2</v>
      </c>
      <c r="AA147" s="1">
        <f>IFERROR(__xludf.DUMMYFUNCTION("""COMPUTED_VALUE"""),119000.0)</f>
        <v>119000</v>
      </c>
      <c r="AB147" s="1">
        <f>IFERROR(__xludf.DUMMYFUNCTION("""COMPUTED_VALUE"""),47.0)</f>
        <v>47</v>
      </c>
      <c r="AC147" s="1"/>
      <c r="AD147" s="1"/>
      <c r="AE147" s="1">
        <f>IFERROR(__xludf.DUMMYFUNCTION("""COMPUTED_VALUE"""),0.0)</f>
        <v>0</v>
      </c>
      <c r="AF147" s="1">
        <f>IFERROR(__xludf.DUMMYFUNCTION("""COMPUTED_VALUE"""),53396.4609375)</f>
        <v>53396.46094</v>
      </c>
      <c r="AG147" s="1"/>
      <c r="AH147" s="1"/>
      <c r="AI147" s="1">
        <f>IFERROR(__xludf.DUMMYFUNCTION("""COMPUTED_VALUE"""),0.0)</f>
        <v>0</v>
      </c>
      <c r="AJ147" s="1"/>
      <c r="AK147" s="1"/>
      <c r="AL147" s="1">
        <f>IFERROR(__xludf.DUMMYFUNCTION("""COMPUTED_VALUE"""),0.0)</f>
        <v>0</v>
      </c>
      <c r="AM147" s="1">
        <f>IFERROR(__xludf.DUMMYFUNCTION("""COMPUTED_VALUE"""),140000.0)</f>
        <v>140000</v>
      </c>
      <c r="AN147" s="1">
        <f>IFERROR(__xludf.DUMMYFUNCTION("""COMPUTED_VALUE"""),4.0)</f>
        <v>4</v>
      </c>
      <c r="AO147" s="1">
        <f>IFERROR(__xludf.DUMMYFUNCTION("""COMPUTED_VALUE"""),125000.0)</f>
        <v>125000</v>
      </c>
      <c r="AP147" s="1">
        <f>IFERROR(__xludf.DUMMYFUNCTION("""COMPUTED_VALUE"""),4.0)</f>
        <v>4</v>
      </c>
      <c r="AQ147" s="1"/>
      <c r="AR147" s="1"/>
      <c r="AS147" s="1">
        <f>IFERROR(__xludf.DUMMYFUNCTION("""COMPUTED_VALUE"""),0.0)</f>
        <v>0</v>
      </c>
    </row>
    <row r="148">
      <c r="A148" s="1" t="str">
        <f>IFERROR(__xludf.DUMMYFUNCTION("""COMPUTED_VALUE"""),"HAL")</f>
        <v>HAL</v>
      </c>
      <c r="B148" s="1">
        <f>IFERROR(__xludf.DUMMYFUNCTION("""COMPUTED_VALUE"""),75.0)</f>
        <v>75</v>
      </c>
      <c r="C148" s="1"/>
      <c r="D148" s="1">
        <f>IFERROR(__xludf.DUMMYFUNCTION("""COMPUTED_VALUE"""),370.0)</f>
        <v>370</v>
      </c>
      <c r="E148" s="1">
        <f>IFERROR(__xludf.DUMMYFUNCTION("""COMPUTED_VALUE"""),1926.0)</f>
        <v>1926</v>
      </c>
      <c r="F148" s="1">
        <f>IFERROR(__xludf.DUMMYFUNCTION("""COMPUTED_VALUE"""),370.0)</f>
        <v>370</v>
      </c>
      <c r="G148" s="1">
        <f>IFERROR(__xludf.DUMMYFUNCTION("""COMPUTED_VALUE"""),54696.0)</f>
        <v>54696</v>
      </c>
      <c r="H148" s="1">
        <f>IFERROR(__xludf.DUMMYFUNCTION("""COMPUTED_VALUE"""),1000.0)</f>
        <v>1000</v>
      </c>
      <c r="I148" s="1">
        <f>IFERROR(__xludf.DUMMYFUNCTION("""COMPUTED_VALUE"""),351.0)</f>
        <v>351</v>
      </c>
      <c r="J148" s="1">
        <f>IFERROR(__xludf.DUMMYFUNCTION("""COMPUTED_VALUE"""),6569.0)</f>
        <v>6569</v>
      </c>
      <c r="K148" s="1">
        <f>IFERROR(__xludf.DUMMYFUNCTION("""COMPUTED_VALUE"""),440.0)</f>
        <v>440</v>
      </c>
      <c r="L148" s="1">
        <f>IFERROR(__xludf.DUMMYFUNCTION("""COMPUTED_VALUE"""),921.0)</f>
        <v>921</v>
      </c>
      <c r="M148" s="1">
        <f>IFERROR(__xludf.DUMMYFUNCTION("""COMPUTED_VALUE"""),439.0)</f>
        <v>439</v>
      </c>
      <c r="N148" s="1">
        <f>IFERROR(__xludf.DUMMYFUNCTION("""COMPUTED_VALUE"""),65952.0)</f>
        <v>65952</v>
      </c>
      <c r="O148" s="1">
        <f>IFERROR(__xludf.DUMMYFUNCTION("""COMPUTED_VALUE"""),50.0)</f>
        <v>50</v>
      </c>
      <c r="P148" s="1">
        <f>IFERROR(__xludf.DUMMYFUNCTION("""COMPUTED_VALUE"""),290.0)</f>
        <v>290</v>
      </c>
      <c r="Q148" s="1">
        <f>IFERROR(__xludf.DUMMYFUNCTION("""COMPUTED_VALUE"""),14937.0)</f>
        <v>14937</v>
      </c>
      <c r="R148" s="1">
        <f>IFERROR(__xludf.DUMMYFUNCTION("""COMPUTED_VALUE"""),300.0)</f>
        <v>300</v>
      </c>
      <c r="S148" s="1">
        <f>IFERROR(__xludf.DUMMYFUNCTION("""COMPUTED_VALUE"""),1150.0)</f>
        <v>1150</v>
      </c>
      <c r="T148" s="1">
        <f>IFERROR(__xludf.DUMMYFUNCTION("""COMPUTED_VALUE"""),300.0)</f>
        <v>300</v>
      </c>
      <c r="U148" s="1">
        <f>IFERROR(__xludf.DUMMYFUNCTION("""COMPUTED_VALUE"""),1750.0)</f>
        <v>1750</v>
      </c>
      <c r="V148" s="1">
        <f>IFERROR(__xludf.DUMMYFUNCTION("""COMPUTED_VALUE"""),500.0)</f>
        <v>500</v>
      </c>
      <c r="W148" s="1">
        <f>IFERROR(__xludf.DUMMYFUNCTION("""COMPUTED_VALUE"""),151.0)</f>
        <v>151</v>
      </c>
      <c r="X148" s="1">
        <f>IFERROR(__xludf.DUMMYFUNCTION("""COMPUTED_VALUE"""),500.0)</f>
        <v>500</v>
      </c>
      <c r="Y148" s="1">
        <f>IFERROR(__xludf.DUMMYFUNCTION("""COMPUTED_VALUE"""),400.0)</f>
        <v>400</v>
      </c>
      <c r="Z148" s="1">
        <f>IFERROR(__xludf.DUMMYFUNCTION("""COMPUTED_VALUE"""),167.0)</f>
        <v>167</v>
      </c>
      <c r="AA148" s="1">
        <f>IFERROR(__xludf.DUMMYFUNCTION("""COMPUTED_VALUE"""),400.0)</f>
        <v>400</v>
      </c>
      <c r="AB148" s="1">
        <f>IFERROR(__xludf.DUMMYFUNCTION("""COMPUTED_VALUE"""),61095.0)</f>
        <v>61095</v>
      </c>
      <c r="AC148" s="1">
        <f>IFERROR(__xludf.DUMMYFUNCTION("""COMPUTED_VALUE"""),15.0)</f>
        <v>15</v>
      </c>
      <c r="AD148" s="1">
        <f>IFERROR(__xludf.DUMMYFUNCTION("""COMPUTED_VALUE"""),321.0)</f>
        <v>321</v>
      </c>
      <c r="AE148" s="1">
        <f>IFERROR(__xludf.DUMMYFUNCTION("""COMPUTED_VALUE"""),28930.0)</f>
        <v>28930</v>
      </c>
      <c r="AF148" s="1">
        <f>IFERROR(__xludf.DUMMYFUNCTION("""COMPUTED_VALUE"""),260.0)</f>
        <v>260</v>
      </c>
      <c r="AG148" s="1">
        <f>IFERROR(__xludf.DUMMYFUNCTION("""COMPUTED_VALUE"""),184.0)</f>
        <v>184</v>
      </c>
      <c r="AH148" s="1">
        <f>IFERROR(__xludf.DUMMYFUNCTION("""COMPUTED_VALUE"""),260.0)</f>
        <v>260</v>
      </c>
      <c r="AI148" s="1">
        <f>IFERROR(__xludf.DUMMYFUNCTION("""COMPUTED_VALUE"""),569.0)</f>
        <v>569</v>
      </c>
      <c r="AJ148" s="1"/>
      <c r="AK148" s="1"/>
      <c r="AL148" s="1">
        <f>IFERROR(__xludf.DUMMYFUNCTION("""COMPUTED_VALUE"""),0.0)</f>
        <v>0</v>
      </c>
      <c r="AM148" s="1">
        <f>IFERROR(__xludf.DUMMYFUNCTION("""COMPUTED_VALUE"""),350.0)</f>
        <v>350</v>
      </c>
      <c r="AN148" s="1">
        <f>IFERROR(__xludf.DUMMYFUNCTION("""COMPUTED_VALUE"""),2.0)</f>
        <v>2</v>
      </c>
      <c r="AO148" s="1">
        <f>IFERROR(__xludf.DUMMYFUNCTION("""COMPUTED_VALUE"""),365.0)</f>
        <v>365</v>
      </c>
      <c r="AP148" s="1">
        <f>IFERROR(__xludf.DUMMYFUNCTION("""COMPUTED_VALUE"""),33204.0)</f>
        <v>33204</v>
      </c>
      <c r="AQ148" s="1">
        <f>IFERROR(__xludf.DUMMYFUNCTION("""COMPUTED_VALUE"""),160.0)</f>
        <v>160</v>
      </c>
      <c r="AR148" s="1">
        <f>IFERROR(__xludf.DUMMYFUNCTION("""COMPUTED_VALUE"""),350.0)</f>
        <v>350</v>
      </c>
      <c r="AS148" s="1">
        <f>IFERROR(__xludf.DUMMYFUNCTION("""COMPUTED_VALUE"""),7279.0)</f>
        <v>7279</v>
      </c>
    </row>
    <row r="149">
      <c r="A149" s="1" t="str">
        <f>IFERROR(__xludf.DUMMYFUNCTION("""COMPUTED_VALUE"""),"HAM")</f>
        <v>HAM</v>
      </c>
      <c r="B149" s="1"/>
      <c r="C149" s="1"/>
      <c r="D149" s="1">
        <f>IFERROR(__xludf.DUMMYFUNCTION("""COMPUTED_VALUE"""),7000000.0)</f>
        <v>7000000</v>
      </c>
      <c r="E149" s="1">
        <f>IFERROR(__xludf.DUMMYFUNCTION("""COMPUTED_VALUE"""),1.0)</f>
        <v>1</v>
      </c>
      <c r="F149" s="1">
        <f>IFERROR(__xludf.DUMMYFUNCTION("""COMPUTED_VALUE"""),7000000.0)</f>
        <v>7000000</v>
      </c>
      <c r="G149" s="1">
        <f>IFERROR(__xludf.DUMMYFUNCTION("""COMPUTED_VALUE"""),1.0)</f>
        <v>1</v>
      </c>
      <c r="H149" s="1"/>
      <c r="I149" s="1"/>
      <c r="J149" s="1">
        <f>IFERROR(__xludf.DUMMYFUNCTION("""COMPUTED_VALUE"""),0.0)</f>
        <v>0</v>
      </c>
      <c r="K149" s="1">
        <f>IFERROR(__xludf.DUMMYFUNCTION("""COMPUTED_VALUE"""),6900000.0)</f>
        <v>6900000</v>
      </c>
      <c r="L149" s="1"/>
      <c r="M149" s="1"/>
      <c r="N149" s="1">
        <f>IFERROR(__xludf.DUMMYFUNCTION("""COMPUTED_VALUE"""),0.0)</f>
        <v>0</v>
      </c>
      <c r="O149" s="1"/>
      <c r="P149" s="1"/>
      <c r="Q149" s="1">
        <f>IFERROR(__xludf.DUMMYFUNCTION("""COMPUTED_VALUE"""),0.0)</f>
        <v>0</v>
      </c>
      <c r="R149" s="1">
        <f>IFERROR(__xludf.DUMMYFUNCTION("""COMPUTED_VALUE"""),2820045.25)</f>
        <v>2820045.25</v>
      </c>
      <c r="S149" s="1"/>
      <c r="T149" s="1"/>
      <c r="U149" s="1">
        <f>IFERROR(__xludf.DUMMYFUNCTION("""COMPUTED_VALUE"""),0.0)</f>
        <v>0</v>
      </c>
      <c r="V149" s="1"/>
      <c r="W149" s="1"/>
      <c r="X149" s="1">
        <f>IFERROR(__xludf.DUMMYFUNCTION("""COMPUTED_VALUE"""),0.0)</f>
        <v>0</v>
      </c>
      <c r="Y149" s="1">
        <f>IFERROR(__xludf.DUMMYFUNCTION("""COMPUTED_VALUE"""),2820045.25)</f>
        <v>2820045.25</v>
      </c>
      <c r="Z149" s="1"/>
      <c r="AA149" s="1"/>
      <c r="AB149" s="1">
        <f>IFERROR(__xludf.DUMMYFUNCTION("""COMPUTED_VALUE"""),0.0)</f>
        <v>0</v>
      </c>
      <c r="AC149" s="1"/>
      <c r="AD149" s="1"/>
      <c r="AE149" s="1">
        <f>IFERROR(__xludf.DUMMYFUNCTION("""COMPUTED_VALUE"""),0.0)</f>
        <v>0</v>
      </c>
      <c r="AF149" s="1">
        <f>IFERROR(__xludf.DUMMYFUNCTION("""COMPUTED_VALUE"""),2820045.25)</f>
        <v>2820045.25</v>
      </c>
      <c r="AG149" s="1"/>
      <c r="AH149" s="1"/>
      <c r="AI149" s="1">
        <f>IFERROR(__xludf.DUMMYFUNCTION("""COMPUTED_VALUE"""),0.0)</f>
        <v>0</v>
      </c>
      <c r="AJ149" s="1"/>
      <c r="AK149" s="1"/>
      <c r="AL149" s="1">
        <f>IFERROR(__xludf.DUMMYFUNCTION("""COMPUTED_VALUE"""),0.0)</f>
        <v>0</v>
      </c>
      <c r="AM149" s="1">
        <f>IFERROR(__xludf.DUMMYFUNCTION("""COMPUTED_VALUE"""),2820045.25)</f>
        <v>2820045.25</v>
      </c>
      <c r="AN149" s="1"/>
      <c r="AO149" s="1"/>
      <c r="AP149" s="1">
        <f>IFERROR(__xludf.DUMMYFUNCTION("""COMPUTED_VALUE"""),0.0)</f>
        <v>0</v>
      </c>
      <c r="AQ149" s="1"/>
      <c r="AR149" s="1"/>
      <c r="AS149" s="1">
        <f>IFERROR(__xludf.DUMMYFUNCTION("""COMPUTED_VALUE"""),0.0)</f>
        <v>0</v>
      </c>
    </row>
    <row r="150">
      <c r="A150" s="1" t="str">
        <f>IFERROR(__xludf.DUMMYFUNCTION("""COMPUTED_VALUE"""),"HCB")</f>
        <v>HCB</v>
      </c>
      <c r="B150" s="1"/>
      <c r="C150" s="1"/>
      <c r="D150" s="1">
        <f>IFERROR(__xludf.DUMMYFUNCTION("""COMPUTED_VALUE"""),4000000.0)</f>
        <v>4000000</v>
      </c>
      <c r="E150" s="1">
        <f>IFERROR(__xludf.DUMMYFUNCTION("""COMPUTED_VALUE"""),1.0)</f>
        <v>1</v>
      </c>
      <c r="F150" s="1">
        <f>IFERROR(__xludf.DUMMYFUNCTION("""COMPUTED_VALUE"""),4500000.0)</f>
        <v>4500000</v>
      </c>
      <c r="G150" s="1">
        <f>IFERROR(__xludf.DUMMYFUNCTION("""COMPUTED_VALUE"""),1.0)</f>
        <v>1</v>
      </c>
      <c r="H150" s="1">
        <f>IFERROR(__xludf.DUMMYFUNCTION("""COMPUTED_VALUE"""),10.0)</f>
        <v>10</v>
      </c>
      <c r="I150" s="1">
        <f>IFERROR(__xludf.DUMMYFUNCTION("""COMPUTED_VALUE"""),1000000.0)</f>
        <v>1000000</v>
      </c>
      <c r="J150" s="1">
        <f>IFERROR(__xludf.DUMMYFUNCTION("""COMPUTED_VALUE"""),10.0)</f>
        <v>10</v>
      </c>
      <c r="K150" s="1">
        <f>IFERROR(__xludf.DUMMYFUNCTION("""COMPUTED_VALUE"""),3900000.0)</f>
        <v>3900000</v>
      </c>
      <c r="L150" s="1"/>
      <c r="M150" s="1"/>
      <c r="N150" s="1">
        <f>IFERROR(__xludf.DUMMYFUNCTION("""COMPUTED_VALUE"""),0.0)</f>
        <v>0</v>
      </c>
      <c r="O150" s="1">
        <f>IFERROR(__xludf.DUMMYFUNCTION("""COMPUTED_VALUE"""),1.0)</f>
        <v>1</v>
      </c>
      <c r="P150" s="1">
        <f>IFERROR(__xludf.DUMMYFUNCTION("""COMPUTED_VALUE"""),1020000.0)</f>
        <v>1020000</v>
      </c>
      <c r="Q150" s="1">
        <f>IFERROR(__xludf.DUMMYFUNCTION("""COMPUTED_VALUE"""),3.0)</f>
        <v>3</v>
      </c>
      <c r="R150" s="1">
        <f>IFERROR(__xludf.DUMMYFUNCTION("""COMPUTED_VALUE"""),1697969.375)</f>
        <v>1697969.375</v>
      </c>
      <c r="S150" s="1"/>
      <c r="T150" s="1"/>
      <c r="U150" s="1">
        <f>IFERROR(__xludf.DUMMYFUNCTION("""COMPUTED_VALUE"""),0.0)</f>
        <v>0</v>
      </c>
      <c r="V150" s="1"/>
      <c r="W150" s="1"/>
      <c r="X150" s="1">
        <f>IFERROR(__xludf.DUMMYFUNCTION("""COMPUTED_VALUE"""),0.0)</f>
        <v>0</v>
      </c>
      <c r="Y150" s="1">
        <f>IFERROR(__xludf.DUMMYFUNCTION("""COMPUTED_VALUE"""),4000000.0)</f>
        <v>4000000</v>
      </c>
      <c r="Z150" s="1"/>
      <c r="AA150" s="1"/>
      <c r="AB150" s="1">
        <f>IFERROR(__xludf.DUMMYFUNCTION("""COMPUTED_VALUE"""),0.0)</f>
        <v>0</v>
      </c>
      <c r="AC150" s="1"/>
      <c r="AD150" s="1"/>
      <c r="AE150" s="1">
        <f>IFERROR(__xludf.DUMMYFUNCTION("""COMPUTED_VALUE"""),0.0)</f>
        <v>0</v>
      </c>
      <c r="AF150" s="1">
        <f>IFERROR(__xludf.DUMMYFUNCTION("""COMPUTED_VALUE"""),1697969.375)</f>
        <v>1697969.375</v>
      </c>
      <c r="AG150" s="1"/>
      <c r="AH150" s="1"/>
      <c r="AI150" s="1">
        <f>IFERROR(__xludf.DUMMYFUNCTION("""COMPUTED_VALUE"""),0.0)</f>
        <v>0</v>
      </c>
      <c r="AJ150" s="1"/>
      <c r="AK150" s="1"/>
      <c r="AL150" s="1">
        <f>IFERROR(__xludf.DUMMYFUNCTION("""COMPUTED_VALUE"""),0.0)</f>
        <v>0</v>
      </c>
      <c r="AM150" s="1">
        <f>IFERROR(__xludf.DUMMYFUNCTION("""COMPUTED_VALUE"""),4000000.0)</f>
        <v>4000000</v>
      </c>
      <c r="AN150" s="1"/>
      <c r="AO150" s="1"/>
      <c r="AP150" s="1">
        <f>IFERROR(__xludf.DUMMYFUNCTION("""COMPUTED_VALUE"""),0.0)</f>
        <v>0</v>
      </c>
      <c r="AQ150" s="1"/>
      <c r="AR150" s="1"/>
      <c r="AS150" s="1">
        <f>IFERROR(__xludf.DUMMYFUNCTION("""COMPUTED_VALUE"""),0.0)</f>
        <v>0</v>
      </c>
    </row>
    <row r="151">
      <c r="A151" s="1" t="str">
        <f>IFERROR(__xludf.DUMMYFUNCTION("""COMPUTED_VALUE"""),"HCC")</f>
        <v>HCC</v>
      </c>
      <c r="B151" s="1"/>
      <c r="C151" s="1"/>
      <c r="D151" s="1">
        <f>IFERROR(__xludf.DUMMYFUNCTION("""COMPUTED_VALUE"""),739.330017089843)</f>
        <v>739.3300171</v>
      </c>
      <c r="E151" s="1">
        <f>IFERROR(__xludf.DUMMYFUNCTION("""COMPUTED_VALUE"""),396.0)</f>
        <v>396</v>
      </c>
      <c r="F151" s="1">
        <f>IFERROR(__xludf.DUMMYFUNCTION("""COMPUTED_VALUE"""),740.0)</f>
        <v>740</v>
      </c>
      <c r="G151" s="1">
        <f>IFERROR(__xludf.DUMMYFUNCTION("""COMPUTED_VALUE"""),3446.0)</f>
        <v>3446</v>
      </c>
      <c r="H151" s="1">
        <f>IFERROR(__xludf.DUMMYFUNCTION("""COMPUTED_VALUE"""),123.0)</f>
        <v>123</v>
      </c>
      <c r="I151" s="1">
        <f>IFERROR(__xludf.DUMMYFUNCTION("""COMPUTED_VALUE"""),716.0)</f>
        <v>716</v>
      </c>
      <c r="J151" s="1">
        <f>IFERROR(__xludf.DUMMYFUNCTION("""COMPUTED_VALUE"""),14593.0)</f>
        <v>14593</v>
      </c>
      <c r="K151" s="1">
        <f>IFERROR(__xludf.DUMMYFUNCTION("""COMPUTED_VALUE"""),874.5)</f>
        <v>874.5</v>
      </c>
      <c r="L151" s="1">
        <f>IFERROR(__xludf.DUMMYFUNCTION("""COMPUTED_VALUE"""),120.0)</f>
        <v>120</v>
      </c>
      <c r="M151" s="1">
        <f>IFERROR(__xludf.DUMMYFUNCTION("""COMPUTED_VALUE"""),869.0)</f>
        <v>869</v>
      </c>
      <c r="N151" s="1">
        <f>IFERROR(__xludf.DUMMYFUNCTION("""COMPUTED_VALUE"""),2853.0)</f>
        <v>2853</v>
      </c>
      <c r="O151" s="1">
        <f>IFERROR(__xludf.DUMMYFUNCTION("""COMPUTED_VALUE"""),296.0)</f>
        <v>296</v>
      </c>
      <c r="P151" s="1">
        <f>IFERROR(__xludf.DUMMYFUNCTION("""COMPUTED_VALUE"""),614.0)</f>
        <v>614</v>
      </c>
      <c r="Q151" s="1">
        <f>IFERROR(__xludf.DUMMYFUNCTION("""COMPUTED_VALUE"""),5296.0)</f>
        <v>5296</v>
      </c>
      <c r="R151" s="1">
        <f>IFERROR(__xludf.DUMMYFUNCTION("""COMPUTED_VALUE"""),640.0)</f>
        <v>640</v>
      </c>
      <c r="S151" s="1"/>
      <c r="T151" s="1"/>
      <c r="U151" s="1">
        <f>IFERROR(__xludf.DUMMYFUNCTION("""COMPUTED_VALUE"""),0.0)</f>
        <v>0</v>
      </c>
      <c r="V151" s="1"/>
      <c r="W151" s="1"/>
      <c r="X151" s="1">
        <f>IFERROR(__xludf.DUMMYFUNCTION("""COMPUTED_VALUE"""),0.0)</f>
        <v>0</v>
      </c>
      <c r="Y151" s="1">
        <f>IFERROR(__xludf.DUMMYFUNCTION("""COMPUTED_VALUE"""),665.0)</f>
        <v>665</v>
      </c>
      <c r="Z151" s="1">
        <f>IFERROR(__xludf.DUMMYFUNCTION("""COMPUTED_VALUE"""),450.0)</f>
        <v>450</v>
      </c>
      <c r="AA151" s="1">
        <f>IFERROR(__xludf.DUMMYFUNCTION("""COMPUTED_VALUE"""),664.0)</f>
        <v>664</v>
      </c>
      <c r="AB151" s="1">
        <f>IFERROR(__xludf.DUMMYFUNCTION("""COMPUTED_VALUE"""),10608.0)</f>
        <v>10608</v>
      </c>
      <c r="AC151" s="1">
        <f>IFERROR(__xludf.DUMMYFUNCTION("""COMPUTED_VALUE"""),490.0)</f>
        <v>490</v>
      </c>
      <c r="AD151" s="1">
        <f>IFERROR(__xludf.DUMMYFUNCTION("""COMPUTED_VALUE"""),572.0)</f>
        <v>572</v>
      </c>
      <c r="AE151" s="1">
        <f>IFERROR(__xludf.DUMMYFUNCTION("""COMPUTED_VALUE"""),4950.0)</f>
        <v>4950</v>
      </c>
      <c r="AF151" s="1">
        <f>IFERROR(__xludf.DUMMYFUNCTION("""COMPUTED_VALUE"""),620.0)</f>
        <v>620</v>
      </c>
      <c r="AG151" s="1">
        <f>IFERROR(__xludf.DUMMYFUNCTION("""COMPUTED_VALUE"""),100.0)</f>
        <v>100</v>
      </c>
      <c r="AH151" s="1">
        <f>IFERROR(__xludf.DUMMYFUNCTION("""COMPUTED_VALUE"""),800.0)</f>
        <v>800</v>
      </c>
      <c r="AI151" s="1">
        <f>IFERROR(__xludf.DUMMYFUNCTION("""COMPUTED_VALUE"""),100.0)</f>
        <v>100</v>
      </c>
      <c r="AJ151" s="1"/>
      <c r="AK151" s="1"/>
      <c r="AL151" s="1">
        <f>IFERROR(__xludf.DUMMYFUNCTION("""COMPUTED_VALUE"""),0.0)</f>
        <v>0</v>
      </c>
      <c r="AM151" s="1">
        <f>IFERROR(__xludf.DUMMYFUNCTION("""COMPUTED_VALUE"""),700.0)</f>
        <v>700</v>
      </c>
      <c r="AN151" s="1">
        <f>IFERROR(__xludf.DUMMYFUNCTION("""COMPUTED_VALUE"""),380.0)</f>
        <v>380</v>
      </c>
      <c r="AO151" s="1">
        <f>IFERROR(__xludf.DUMMYFUNCTION("""COMPUTED_VALUE"""),699.0)</f>
        <v>699</v>
      </c>
      <c r="AP151" s="1">
        <f>IFERROR(__xludf.DUMMYFUNCTION("""COMPUTED_VALUE"""),3710.0)</f>
        <v>3710</v>
      </c>
      <c r="AQ151" s="1">
        <f>IFERROR(__xludf.DUMMYFUNCTION("""COMPUTED_VALUE"""),1000.0)</f>
        <v>1000</v>
      </c>
      <c r="AR151" s="1">
        <f>IFERROR(__xludf.DUMMYFUNCTION("""COMPUTED_VALUE"""),650.0)</f>
        <v>650</v>
      </c>
      <c r="AS151" s="1">
        <f>IFERROR(__xludf.DUMMYFUNCTION("""COMPUTED_VALUE"""),3000.0)</f>
        <v>3000</v>
      </c>
    </row>
    <row r="152">
      <c r="A152" s="1" t="str">
        <f>IFERROR(__xludf.DUMMYFUNCTION("""COMPUTED_VALUE"""),"HCP")</f>
        <v>HCP</v>
      </c>
      <c r="B152" s="1">
        <f>IFERROR(__xludf.DUMMYFUNCTION("""COMPUTED_VALUE"""),88.0)</f>
        <v>88</v>
      </c>
      <c r="C152" s="1"/>
      <c r="D152" s="1">
        <f>IFERROR(__xludf.DUMMYFUNCTION("""COMPUTED_VALUE"""),300.0)</f>
        <v>300</v>
      </c>
      <c r="E152" s="1">
        <f>IFERROR(__xludf.DUMMYFUNCTION("""COMPUTED_VALUE"""),2738.0)</f>
        <v>2738</v>
      </c>
      <c r="F152" s="1">
        <f>IFERROR(__xludf.DUMMYFUNCTION("""COMPUTED_VALUE"""),300.0)</f>
        <v>300</v>
      </c>
      <c r="G152" s="1">
        <f>IFERROR(__xludf.DUMMYFUNCTION("""COMPUTED_VALUE"""),101876.0)</f>
        <v>101876</v>
      </c>
      <c r="H152" s="1">
        <f>IFERROR(__xludf.DUMMYFUNCTION("""COMPUTED_VALUE"""),1932.0)</f>
        <v>1932</v>
      </c>
      <c r="I152" s="1">
        <f>IFERROR(__xludf.DUMMYFUNCTION("""COMPUTED_VALUE"""),281.0)</f>
        <v>281</v>
      </c>
      <c r="J152" s="1">
        <f>IFERROR(__xludf.DUMMYFUNCTION("""COMPUTED_VALUE"""),7620.0)</f>
        <v>7620</v>
      </c>
      <c r="K152" s="1">
        <f>IFERROR(__xludf.DUMMYFUNCTION("""COMPUTED_VALUE"""),300.0)</f>
        <v>300</v>
      </c>
      <c r="L152" s="1">
        <f>IFERROR(__xludf.DUMMYFUNCTION("""COMPUTED_VALUE"""),206.0)</f>
        <v>206</v>
      </c>
      <c r="M152" s="1">
        <f>IFERROR(__xludf.DUMMYFUNCTION("""COMPUTED_VALUE"""),358.0)</f>
        <v>358</v>
      </c>
      <c r="N152" s="1">
        <f>IFERROR(__xludf.DUMMYFUNCTION("""COMPUTED_VALUE"""),46550.0)</f>
        <v>46550</v>
      </c>
      <c r="O152" s="1">
        <f>IFERROR(__xludf.DUMMYFUNCTION("""COMPUTED_VALUE"""),430.0)</f>
        <v>430</v>
      </c>
      <c r="P152" s="1">
        <f>IFERROR(__xludf.DUMMYFUNCTION("""COMPUTED_VALUE"""),300.0)</f>
        <v>300</v>
      </c>
      <c r="Q152" s="1">
        <f>IFERROR(__xludf.DUMMYFUNCTION("""COMPUTED_VALUE"""),11085.0)</f>
        <v>11085</v>
      </c>
      <c r="R152" s="1">
        <f>IFERROR(__xludf.DUMMYFUNCTION("""COMPUTED_VALUE"""),350.0)</f>
        <v>350</v>
      </c>
      <c r="S152" s="1"/>
      <c r="T152" s="1"/>
      <c r="U152" s="1">
        <f>IFERROR(__xludf.DUMMYFUNCTION("""COMPUTED_VALUE"""),0.0)</f>
        <v>0</v>
      </c>
      <c r="V152" s="1"/>
      <c r="W152" s="1"/>
      <c r="X152" s="1">
        <f>IFERROR(__xludf.DUMMYFUNCTION("""COMPUTED_VALUE"""),0.0)</f>
        <v>0</v>
      </c>
      <c r="Y152" s="1">
        <f>IFERROR(__xludf.DUMMYFUNCTION("""COMPUTED_VALUE"""),319.260009765625)</f>
        <v>319.2600098</v>
      </c>
      <c r="Z152" s="1">
        <f>IFERROR(__xludf.DUMMYFUNCTION("""COMPUTED_VALUE"""),5313.0)</f>
        <v>5313</v>
      </c>
      <c r="AA152" s="1">
        <f>IFERROR(__xludf.DUMMYFUNCTION("""COMPUTED_VALUE"""),320.0)</f>
        <v>320</v>
      </c>
      <c r="AB152" s="1">
        <f>IFERROR(__xludf.DUMMYFUNCTION("""COMPUTED_VALUE"""),64859.0)</f>
        <v>64859</v>
      </c>
      <c r="AC152" s="1">
        <f>IFERROR(__xludf.DUMMYFUNCTION("""COMPUTED_VALUE"""),100.0)</f>
        <v>100</v>
      </c>
      <c r="AD152" s="1">
        <f>IFERROR(__xludf.DUMMYFUNCTION("""COMPUTED_VALUE"""),292.0)</f>
        <v>292</v>
      </c>
      <c r="AE152" s="1">
        <f>IFERROR(__xludf.DUMMYFUNCTION("""COMPUTED_VALUE"""),14583.0)</f>
        <v>14583</v>
      </c>
      <c r="AF152" s="1">
        <f>IFERROR(__xludf.DUMMYFUNCTION("""COMPUTED_VALUE"""),250.0)</f>
        <v>250</v>
      </c>
      <c r="AG152" s="1">
        <f>IFERROR(__xludf.DUMMYFUNCTION("""COMPUTED_VALUE"""),200.0)</f>
        <v>200</v>
      </c>
      <c r="AH152" s="1">
        <f>IFERROR(__xludf.DUMMYFUNCTION("""COMPUTED_VALUE"""),350.0)</f>
        <v>350</v>
      </c>
      <c r="AI152" s="1">
        <f>IFERROR(__xludf.DUMMYFUNCTION("""COMPUTED_VALUE"""),200.0)</f>
        <v>200</v>
      </c>
      <c r="AJ152" s="1">
        <f>IFERROR(__xludf.DUMMYFUNCTION("""COMPUTED_VALUE"""),1000.0)</f>
        <v>1000</v>
      </c>
      <c r="AK152" s="1">
        <f>IFERROR(__xludf.DUMMYFUNCTION("""COMPUTED_VALUE"""),300.0)</f>
        <v>300</v>
      </c>
      <c r="AL152" s="1">
        <f>IFERROR(__xludf.DUMMYFUNCTION("""COMPUTED_VALUE"""),1000.0)</f>
        <v>1000</v>
      </c>
      <c r="AM152" s="1">
        <f>IFERROR(__xludf.DUMMYFUNCTION("""COMPUTED_VALUE"""),300.0)</f>
        <v>300</v>
      </c>
      <c r="AN152" s="1">
        <f>IFERROR(__xludf.DUMMYFUNCTION("""COMPUTED_VALUE"""),48.0)</f>
        <v>48</v>
      </c>
      <c r="AO152" s="1">
        <f>IFERROR(__xludf.DUMMYFUNCTION("""COMPUTED_VALUE"""),290.0)</f>
        <v>290</v>
      </c>
      <c r="AP152" s="1">
        <f>IFERROR(__xludf.DUMMYFUNCTION("""COMPUTED_VALUE"""),47797.0)</f>
        <v>47797</v>
      </c>
      <c r="AQ152" s="1">
        <f>IFERROR(__xludf.DUMMYFUNCTION("""COMPUTED_VALUE"""),248.0)</f>
        <v>248</v>
      </c>
      <c r="AR152" s="1">
        <f>IFERROR(__xludf.DUMMYFUNCTION("""COMPUTED_VALUE"""),281.0)</f>
        <v>281</v>
      </c>
      <c r="AS152" s="1">
        <f>IFERROR(__xludf.DUMMYFUNCTION("""COMPUTED_VALUE"""),25161.0)</f>
        <v>25161</v>
      </c>
    </row>
    <row r="153">
      <c r="A153" s="1" t="str">
        <f>IFERROR(__xludf.DUMMYFUNCTION("""COMPUTED_VALUE"""),"HD")</f>
        <v>HD</v>
      </c>
      <c r="B153" s="1"/>
      <c r="C153" s="1"/>
      <c r="D153" s="1">
        <f>IFERROR(__xludf.DUMMYFUNCTION("""COMPUTED_VALUE"""),2750.0)</f>
        <v>2750</v>
      </c>
      <c r="E153" s="1">
        <f>IFERROR(__xludf.DUMMYFUNCTION("""COMPUTED_VALUE"""),100.0)</f>
        <v>100</v>
      </c>
      <c r="F153" s="1">
        <f>IFERROR(__xludf.DUMMYFUNCTION("""COMPUTED_VALUE"""),2900.0)</f>
        <v>2900</v>
      </c>
      <c r="G153" s="1">
        <f>IFERROR(__xludf.DUMMYFUNCTION("""COMPUTED_VALUE"""),2110.0)</f>
        <v>2110</v>
      </c>
      <c r="H153" s="1">
        <f>IFERROR(__xludf.DUMMYFUNCTION("""COMPUTED_VALUE"""),50.0)</f>
        <v>50</v>
      </c>
      <c r="I153" s="1">
        <f>IFERROR(__xludf.DUMMYFUNCTION("""COMPUTED_VALUE"""),2760.0)</f>
        <v>2760</v>
      </c>
      <c r="J153" s="1">
        <f>IFERROR(__xludf.DUMMYFUNCTION("""COMPUTED_VALUE"""),700.0)</f>
        <v>700</v>
      </c>
      <c r="K153" s="1">
        <f>IFERROR(__xludf.DUMMYFUNCTION("""COMPUTED_VALUE"""),2640.0)</f>
        <v>2640</v>
      </c>
      <c r="L153" s="1">
        <f>IFERROR(__xludf.DUMMYFUNCTION("""COMPUTED_VALUE"""),64.0)</f>
        <v>64</v>
      </c>
      <c r="M153" s="1">
        <f>IFERROR(__xludf.DUMMYFUNCTION("""COMPUTED_VALUE"""),2600.0)</f>
        <v>2600</v>
      </c>
      <c r="N153" s="1">
        <f>IFERROR(__xludf.DUMMYFUNCTION("""COMPUTED_VALUE"""),2340.0)</f>
        <v>2340</v>
      </c>
      <c r="O153" s="1">
        <f>IFERROR(__xludf.DUMMYFUNCTION("""COMPUTED_VALUE"""),100.0)</f>
        <v>100</v>
      </c>
      <c r="P153" s="1">
        <f>IFERROR(__xludf.DUMMYFUNCTION("""COMPUTED_VALUE"""),2050.0)</f>
        <v>2050</v>
      </c>
      <c r="Q153" s="1">
        <f>IFERROR(__xludf.DUMMYFUNCTION("""COMPUTED_VALUE"""),190.0)</f>
        <v>190</v>
      </c>
      <c r="R153" s="1">
        <f>IFERROR(__xludf.DUMMYFUNCTION("""COMPUTED_VALUE"""),1598.2900390625)</f>
        <v>1598.290039</v>
      </c>
      <c r="S153" s="1">
        <f>IFERROR(__xludf.DUMMYFUNCTION("""COMPUTED_VALUE"""),50.0)</f>
        <v>50</v>
      </c>
      <c r="T153" s="1">
        <f>IFERROR(__xludf.DUMMYFUNCTION("""COMPUTED_VALUE"""),4000.0)</f>
        <v>4000</v>
      </c>
      <c r="U153" s="1">
        <f>IFERROR(__xludf.DUMMYFUNCTION("""COMPUTED_VALUE"""),50.0)</f>
        <v>50</v>
      </c>
      <c r="V153" s="1"/>
      <c r="W153" s="1"/>
      <c r="X153" s="1">
        <f>IFERROR(__xludf.DUMMYFUNCTION("""COMPUTED_VALUE"""),0.0)</f>
        <v>0</v>
      </c>
      <c r="Y153" s="1">
        <f>IFERROR(__xludf.DUMMYFUNCTION("""COMPUTED_VALUE"""),2020.0)</f>
        <v>2020</v>
      </c>
      <c r="Z153" s="1">
        <f>IFERROR(__xludf.DUMMYFUNCTION("""COMPUTED_VALUE"""),60.0)</f>
        <v>60</v>
      </c>
      <c r="AA153" s="1">
        <f>IFERROR(__xludf.DUMMYFUNCTION("""COMPUTED_VALUE"""),2590.0)</f>
        <v>2590</v>
      </c>
      <c r="AB153" s="1">
        <f>IFERROR(__xludf.DUMMYFUNCTION("""COMPUTED_VALUE"""),8751.0)</f>
        <v>8751</v>
      </c>
      <c r="AC153" s="1">
        <f>IFERROR(__xludf.DUMMYFUNCTION("""COMPUTED_VALUE"""),91.0)</f>
        <v>91</v>
      </c>
      <c r="AD153" s="1">
        <f>IFERROR(__xludf.DUMMYFUNCTION("""COMPUTED_VALUE"""),2020.0)</f>
        <v>2020</v>
      </c>
      <c r="AE153" s="1">
        <f>IFERROR(__xludf.DUMMYFUNCTION("""COMPUTED_VALUE"""),1067.0)</f>
        <v>1067</v>
      </c>
      <c r="AF153" s="1">
        <f>IFERROR(__xludf.DUMMYFUNCTION("""COMPUTED_VALUE"""),1598.2900390625)</f>
        <v>1598.290039</v>
      </c>
      <c r="AG153" s="1">
        <f>IFERROR(__xludf.DUMMYFUNCTION("""COMPUTED_VALUE"""),30.0)</f>
        <v>30</v>
      </c>
      <c r="AH153" s="1">
        <f>IFERROR(__xludf.DUMMYFUNCTION("""COMPUTED_VALUE"""),2800.0)</f>
        <v>2800</v>
      </c>
      <c r="AI153" s="1">
        <f>IFERROR(__xludf.DUMMYFUNCTION("""COMPUTED_VALUE"""),30.0)</f>
        <v>30</v>
      </c>
      <c r="AJ153" s="1"/>
      <c r="AK153" s="1"/>
      <c r="AL153" s="1">
        <f>IFERROR(__xludf.DUMMYFUNCTION("""COMPUTED_VALUE"""),0.0)</f>
        <v>0</v>
      </c>
      <c r="AM153" s="1">
        <f>IFERROR(__xludf.DUMMYFUNCTION("""COMPUTED_VALUE"""),2646.75)</f>
        <v>2646.75</v>
      </c>
      <c r="AN153" s="1">
        <f>IFERROR(__xludf.DUMMYFUNCTION("""COMPUTED_VALUE"""),13.0)</f>
        <v>13</v>
      </c>
      <c r="AO153" s="1">
        <f>IFERROR(__xludf.DUMMYFUNCTION("""COMPUTED_VALUE"""),2640.0)</f>
        <v>2640</v>
      </c>
      <c r="AP153" s="1">
        <f>IFERROR(__xludf.DUMMYFUNCTION("""COMPUTED_VALUE"""),2497.0)</f>
        <v>2497</v>
      </c>
      <c r="AQ153" s="1">
        <f>IFERROR(__xludf.DUMMYFUNCTION("""COMPUTED_VALUE"""),200.0)</f>
        <v>200</v>
      </c>
      <c r="AR153" s="1">
        <f>IFERROR(__xludf.DUMMYFUNCTION("""COMPUTED_VALUE"""),2310.0)</f>
        <v>2310</v>
      </c>
      <c r="AS153" s="1">
        <f>IFERROR(__xludf.DUMMYFUNCTION("""COMPUTED_VALUE"""),220.0)</f>
        <v>220</v>
      </c>
    </row>
    <row r="154">
      <c r="A154" s="1" t="str">
        <f>IFERROR(__xludf.DUMMYFUNCTION("""COMPUTED_VALUE"""),"HE")</f>
        <v>HE</v>
      </c>
      <c r="B154" s="1">
        <f>IFERROR(__xludf.DUMMYFUNCTION("""COMPUTED_VALUE"""),75.0)</f>
        <v>75</v>
      </c>
      <c r="C154" s="1"/>
      <c r="D154" s="1">
        <f>IFERROR(__xludf.DUMMYFUNCTION("""COMPUTED_VALUE"""),114.0)</f>
        <v>114</v>
      </c>
      <c r="E154" s="1">
        <f>IFERROR(__xludf.DUMMYFUNCTION("""COMPUTED_VALUE"""),1253.0)</f>
        <v>1253</v>
      </c>
      <c r="F154" s="1">
        <f>IFERROR(__xludf.DUMMYFUNCTION("""COMPUTED_VALUE"""),114.0)</f>
        <v>114</v>
      </c>
      <c r="G154" s="1">
        <f>IFERROR(__xludf.DUMMYFUNCTION("""COMPUTED_VALUE"""),46774.0)</f>
        <v>46774</v>
      </c>
      <c r="H154" s="1">
        <f>IFERROR(__xludf.DUMMYFUNCTION("""COMPUTED_VALUE"""),10000.0)</f>
        <v>10000</v>
      </c>
      <c r="I154" s="1">
        <f>IFERROR(__xludf.DUMMYFUNCTION("""COMPUTED_VALUE"""),107.0)</f>
        <v>107</v>
      </c>
      <c r="J154" s="1">
        <f>IFERROR(__xludf.DUMMYFUNCTION("""COMPUTED_VALUE"""),48335.0)</f>
        <v>48335</v>
      </c>
      <c r="K154" s="1">
        <f>IFERROR(__xludf.DUMMYFUNCTION("""COMPUTED_VALUE"""),198.0)</f>
        <v>198</v>
      </c>
      <c r="L154" s="1">
        <f>IFERROR(__xludf.DUMMYFUNCTION("""COMPUTED_VALUE"""),280.0)</f>
        <v>280</v>
      </c>
      <c r="M154" s="1">
        <f>IFERROR(__xludf.DUMMYFUNCTION("""COMPUTED_VALUE"""),198.0)</f>
        <v>198</v>
      </c>
      <c r="N154" s="1">
        <f>IFERROR(__xludf.DUMMYFUNCTION("""COMPUTED_VALUE"""),16101.0)</f>
        <v>16101</v>
      </c>
      <c r="O154" s="1">
        <f>IFERROR(__xludf.DUMMYFUNCTION("""COMPUTED_VALUE"""),50.0)</f>
        <v>50</v>
      </c>
      <c r="P154" s="1">
        <f>IFERROR(__xludf.DUMMYFUNCTION("""COMPUTED_VALUE"""),151.0)</f>
        <v>151</v>
      </c>
      <c r="Q154" s="1">
        <f>IFERROR(__xludf.DUMMYFUNCTION("""COMPUTED_VALUE"""),12446.0)</f>
        <v>12446</v>
      </c>
      <c r="R154" s="1">
        <f>IFERROR(__xludf.DUMMYFUNCTION("""COMPUTED_VALUE"""),125.0)</f>
        <v>125</v>
      </c>
      <c r="S154" s="1">
        <f>IFERROR(__xludf.DUMMYFUNCTION("""COMPUTED_VALUE"""),263.0)</f>
        <v>263</v>
      </c>
      <c r="T154" s="1">
        <f>IFERROR(__xludf.DUMMYFUNCTION("""COMPUTED_VALUE"""),350.0)</f>
        <v>350</v>
      </c>
      <c r="U154" s="1">
        <f>IFERROR(__xludf.DUMMYFUNCTION("""COMPUTED_VALUE"""),263.0)</f>
        <v>263</v>
      </c>
      <c r="V154" s="1"/>
      <c r="W154" s="1"/>
      <c r="X154" s="1">
        <f>IFERROR(__xludf.DUMMYFUNCTION("""COMPUTED_VALUE"""),0.0)</f>
        <v>0</v>
      </c>
      <c r="Y154" s="1">
        <f>IFERROR(__xludf.DUMMYFUNCTION("""COMPUTED_VALUE"""),130.0)</f>
        <v>130</v>
      </c>
      <c r="Z154" s="1">
        <f>IFERROR(__xludf.DUMMYFUNCTION("""COMPUTED_VALUE"""),3243.0)</f>
        <v>3243</v>
      </c>
      <c r="AA154" s="1">
        <f>IFERROR(__xludf.DUMMYFUNCTION("""COMPUTED_VALUE"""),130.0)</f>
        <v>130</v>
      </c>
      <c r="AB154" s="1">
        <f>IFERROR(__xludf.DUMMYFUNCTION("""COMPUTED_VALUE"""),270760.0)</f>
        <v>270760</v>
      </c>
      <c r="AC154" s="1">
        <f>IFERROR(__xludf.DUMMYFUNCTION("""COMPUTED_VALUE"""),200.0)</f>
        <v>200</v>
      </c>
      <c r="AD154" s="1">
        <f>IFERROR(__xludf.DUMMYFUNCTION("""COMPUTED_VALUE"""),110.0)</f>
        <v>110</v>
      </c>
      <c r="AE154" s="1">
        <f>IFERROR(__xludf.DUMMYFUNCTION("""COMPUTED_VALUE"""),108964.0)</f>
        <v>108964</v>
      </c>
      <c r="AF154" s="1">
        <f>IFERROR(__xludf.DUMMYFUNCTION("""COMPUTED_VALUE"""),85.0)</f>
        <v>85</v>
      </c>
      <c r="AG154" s="1">
        <f>IFERROR(__xludf.DUMMYFUNCTION("""COMPUTED_VALUE"""),347.0)</f>
        <v>347</v>
      </c>
      <c r="AH154" s="1">
        <f>IFERROR(__xludf.DUMMYFUNCTION("""COMPUTED_VALUE"""),85.0)</f>
        <v>85</v>
      </c>
      <c r="AI154" s="1">
        <f>IFERROR(__xludf.DUMMYFUNCTION("""COMPUTED_VALUE"""),5592.0)</f>
        <v>5592</v>
      </c>
      <c r="AJ154" s="1"/>
      <c r="AK154" s="1"/>
      <c r="AL154" s="1">
        <f>IFERROR(__xludf.DUMMYFUNCTION("""COMPUTED_VALUE"""),0.0)</f>
        <v>0</v>
      </c>
      <c r="AM154" s="1">
        <f>IFERROR(__xludf.DUMMYFUNCTION("""COMPUTED_VALUE"""),166.0)</f>
        <v>166</v>
      </c>
      <c r="AN154" s="1">
        <f>IFERROR(__xludf.DUMMYFUNCTION("""COMPUTED_VALUE"""),2944.0)</f>
        <v>2944</v>
      </c>
      <c r="AO154" s="1">
        <f>IFERROR(__xludf.DUMMYFUNCTION("""COMPUTED_VALUE"""),166.0)</f>
        <v>166</v>
      </c>
      <c r="AP154" s="1">
        <f>IFERROR(__xludf.DUMMYFUNCTION("""COMPUTED_VALUE"""),75008.0)</f>
        <v>75008</v>
      </c>
      <c r="AQ154" s="1">
        <f>IFERROR(__xludf.DUMMYFUNCTION("""COMPUTED_VALUE"""),35.0)</f>
        <v>35</v>
      </c>
      <c r="AR154" s="1">
        <f>IFERROR(__xludf.DUMMYFUNCTION("""COMPUTED_VALUE"""),135.0)</f>
        <v>135</v>
      </c>
      <c r="AS154" s="1">
        <f>IFERROR(__xludf.DUMMYFUNCTION("""COMPUTED_VALUE"""),3590.0)</f>
        <v>3590</v>
      </c>
    </row>
    <row r="155">
      <c r="A155" s="1" t="str">
        <f>IFERROR(__xludf.DUMMYFUNCTION("""COMPUTED_VALUE"""),"HE3")</f>
        <v>HE3</v>
      </c>
      <c r="B155" s="1"/>
      <c r="C155" s="1"/>
      <c r="D155" s="1">
        <f>IFERROR(__xludf.DUMMYFUNCTION("""COMPUTED_VALUE"""),135.690002441406)</f>
        <v>135.6900024</v>
      </c>
      <c r="E155" s="1">
        <f>IFERROR(__xludf.DUMMYFUNCTION("""COMPUTED_VALUE"""),500.0)</f>
        <v>500</v>
      </c>
      <c r="F155" s="1">
        <f>IFERROR(__xludf.DUMMYFUNCTION("""COMPUTED_VALUE"""),294.0)</f>
        <v>294</v>
      </c>
      <c r="G155" s="1">
        <f>IFERROR(__xludf.DUMMYFUNCTION("""COMPUTED_VALUE"""),33106.0)</f>
        <v>33106</v>
      </c>
      <c r="H155" s="1">
        <f>IFERROR(__xludf.DUMMYFUNCTION("""COMPUTED_VALUE"""),9720.0)</f>
        <v>9720</v>
      </c>
      <c r="I155" s="1">
        <f>IFERROR(__xludf.DUMMYFUNCTION("""COMPUTED_VALUE"""),135.0)</f>
        <v>135</v>
      </c>
      <c r="J155" s="1">
        <f>IFERROR(__xludf.DUMMYFUNCTION("""COMPUTED_VALUE"""),21964.0)</f>
        <v>21964</v>
      </c>
      <c r="K155" s="1">
        <f>IFERROR(__xludf.DUMMYFUNCTION("""COMPUTED_VALUE"""),250.0)</f>
        <v>250</v>
      </c>
      <c r="L155" s="1">
        <f>IFERROR(__xludf.DUMMYFUNCTION("""COMPUTED_VALUE"""),4250.0)</f>
        <v>4250</v>
      </c>
      <c r="M155" s="1">
        <f>IFERROR(__xludf.DUMMYFUNCTION("""COMPUTED_VALUE"""),250.0)</f>
        <v>250</v>
      </c>
      <c r="N155" s="1">
        <f>IFERROR(__xludf.DUMMYFUNCTION("""COMPUTED_VALUE"""),37728.0)</f>
        <v>37728</v>
      </c>
      <c r="O155" s="1">
        <f>IFERROR(__xludf.DUMMYFUNCTION("""COMPUTED_VALUE"""),200.0)</f>
        <v>200</v>
      </c>
      <c r="P155" s="1">
        <f>IFERROR(__xludf.DUMMYFUNCTION("""COMPUTED_VALUE"""),150.0)</f>
        <v>150</v>
      </c>
      <c r="Q155" s="1">
        <f>IFERROR(__xludf.DUMMYFUNCTION("""COMPUTED_VALUE"""),400.0)</f>
        <v>400</v>
      </c>
      <c r="R155" s="1">
        <f>IFERROR(__xludf.DUMMYFUNCTION("""COMPUTED_VALUE"""),350.0)</f>
        <v>350</v>
      </c>
      <c r="S155" s="1"/>
      <c r="T155" s="1"/>
      <c r="U155" s="1">
        <f>IFERROR(__xludf.DUMMYFUNCTION("""COMPUTED_VALUE"""),0.0)</f>
        <v>0</v>
      </c>
      <c r="V155" s="1"/>
      <c r="W155" s="1"/>
      <c r="X155" s="1">
        <f>IFERROR(__xludf.DUMMYFUNCTION("""COMPUTED_VALUE"""),0.0)</f>
        <v>0</v>
      </c>
      <c r="Y155" s="1">
        <f>IFERROR(__xludf.DUMMYFUNCTION("""COMPUTED_VALUE"""),266.0)</f>
        <v>266</v>
      </c>
      <c r="Z155" s="1">
        <f>IFERROR(__xludf.DUMMYFUNCTION("""COMPUTED_VALUE"""),3976.0)</f>
        <v>3976</v>
      </c>
      <c r="AA155" s="1">
        <f>IFERROR(__xludf.DUMMYFUNCTION("""COMPUTED_VALUE"""),308.0)</f>
        <v>308</v>
      </c>
      <c r="AB155" s="1">
        <f>IFERROR(__xludf.DUMMYFUNCTION("""COMPUTED_VALUE"""),41734.0)</f>
        <v>41734</v>
      </c>
      <c r="AC155" s="1">
        <f>IFERROR(__xludf.DUMMYFUNCTION("""COMPUTED_VALUE"""),6644.0)</f>
        <v>6644</v>
      </c>
      <c r="AD155" s="1">
        <f>IFERROR(__xludf.DUMMYFUNCTION("""COMPUTED_VALUE"""),266.0)</f>
        <v>266</v>
      </c>
      <c r="AE155" s="1">
        <f>IFERROR(__xludf.DUMMYFUNCTION("""COMPUTED_VALUE"""),21642.0)</f>
        <v>21642</v>
      </c>
      <c r="AF155" s="1">
        <f>IFERROR(__xludf.DUMMYFUNCTION("""COMPUTED_VALUE"""),460.0)</f>
        <v>460</v>
      </c>
      <c r="AG155" s="1">
        <f>IFERROR(__xludf.DUMMYFUNCTION("""COMPUTED_VALUE"""),20.0)</f>
        <v>20</v>
      </c>
      <c r="AH155" s="1">
        <f>IFERROR(__xludf.DUMMYFUNCTION("""COMPUTED_VALUE"""),942.0)</f>
        <v>942</v>
      </c>
      <c r="AI155" s="1">
        <f>IFERROR(__xludf.DUMMYFUNCTION("""COMPUTED_VALUE"""),20.0)</f>
        <v>20</v>
      </c>
      <c r="AJ155" s="1">
        <f>IFERROR(__xludf.DUMMYFUNCTION("""COMPUTED_VALUE"""),1000.0)</f>
        <v>1000</v>
      </c>
      <c r="AK155" s="1">
        <f>IFERROR(__xludf.DUMMYFUNCTION("""COMPUTED_VALUE"""),220.0)</f>
        <v>220</v>
      </c>
      <c r="AL155" s="1">
        <f>IFERROR(__xludf.DUMMYFUNCTION("""COMPUTED_VALUE"""),1000.0)</f>
        <v>1000</v>
      </c>
      <c r="AM155" s="1">
        <f>IFERROR(__xludf.DUMMYFUNCTION("""COMPUTED_VALUE"""),204.0)</f>
        <v>204</v>
      </c>
      <c r="AN155" s="1">
        <f>IFERROR(__xludf.DUMMYFUNCTION("""COMPUTED_VALUE"""),1500.0)</f>
        <v>1500</v>
      </c>
      <c r="AO155" s="1">
        <f>IFERROR(__xludf.DUMMYFUNCTION("""COMPUTED_VALUE"""),310.0)</f>
        <v>310</v>
      </c>
      <c r="AP155" s="1">
        <f>IFERROR(__xludf.DUMMYFUNCTION("""COMPUTED_VALUE"""),12626.0)</f>
        <v>12626</v>
      </c>
      <c r="AQ155" s="1">
        <f>IFERROR(__xludf.DUMMYFUNCTION("""COMPUTED_VALUE"""),75.0)</f>
        <v>75</v>
      </c>
      <c r="AR155" s="1">
        <f>IFERROR(__xludf.DUMMYFUNCTION("""COMPUTED_VALUE"""),204.0)</f>
        <v>204</v>
      </c>
      <c r="AS155" s="1">
        <f>IFERROR(__xludf.DUMMYFUNCTION("""COMPUTED_VALUE"""),413.0)</f>
        <v>413</v>
      </c>
    </row>
    <row r="156">
      <c r="A156" s="1" t="str">
        <f>IFERROR(__xludf.DUMMYFUNCTION("""COMPUTED_VALUE"""),"HER")</f>
        <v>HER</v>
      </c>
      <c r="B156" s="1"/>
      <c r="C156" s="1"/>
      <c r="D156" s="1">
        <f>IFERROR(__xludf.DUMMYFUNCTION("""COMPUTED_VALUE"""),2920.0)</f>
        <v>2920</v>
      </c>
      <c r="E156" s="1">
        <f>IFERROR(__xludf.DUMMYFUNCTION("""COMPUTED_VALUE"""),10.0)</f>
        <v>10</v>
      </c>
      <c r="F156" s="1">
        <f>IFERROR(__xludf.DUMMYFUNCTION("""COMPUTED_VALUE"""),2910.0)</f>
        <v>2910</v>
      </c>
      <c r="G156" s="1">
        <f>IFERROR(__xludf.DUMMYFUNCTION("""COMPUTED_VALUE"""),7765.0)</f>
        <v>7765</v>
      </c>
      <c r="H156" s="1">
        <f>IFERROR(__xludf.DUMMYFUNCTION("""COMPUTED_VALUE"""),50.0)</f>
        <v>50</v>
      </c>
      <c r="I156" s="1">
        <f>IFERROR(__xludf.DUMMYFUNCTION("""COMPUTED_VALUE"""),2500.0)</f>
        <v>2500</v>
      </c>
      <c r="J156" s="1">
        <f>IFERROR(__xludf.DUMMYFUNCTION("""COMPUTED_VALUE"""),4902.0)</f>
        <v>4902</v>
      </c>
      <c r="K156" s="1">
        <f>IFERROR(__xludf.DUMMYFUNCTION("""COMPUTED_VALUE"""),2450.0)</f>
        <v>2450</v>
      </c>
      <c r="L156" s="1">
        <f>IFERROR(__xludf.DUMMYFUNCTION("""COMPUTED_VALUE"""),255.0)</f>
        <v>255</v>
      </c>
      <c r="M156" s="1">
        <f>IFERROR(__xludf.DUMMYFUNCTION("""COMPUTED_VALUE"""),2450.0)</f>
        <v>2450</v>
      </c>
      <c r="N156" s="1">
        <f>IFERROR(__xludf.DUMMYFUNCTION("""COMPUTED_VALUE"""),9586.0)</f>
        <v>9586</v>
      </c>
      <c r="O156" s="1">
        <f>IFERROR(__xludf.DUMMYFUNCTION("""COMPUTED_VALUE"""),8.0)</f>
        <v>8</v>
      </c>
      <c r="P156" s="1">
        <f>IFERROR(__xludf.DUMMYFUNCTION("""COMPUTED_VALUE"""),2350.0)</f>
        <v>2350</v>
      </c>
      <c r="Q156" s="1">
        <f>IFERROR(__xludf.DUMMYFUNCTION("""COMPUTED_VALUE"""),4147.0)</f>
        <v>4147</v>
      </c>
      <c r="R156" s="1">
        <f>IFERROR(__xludf.DUMMYFUNCTION("""COMPUTED_VALUE"""),2000.0)</f>
        <v>2000</v>
      </c>
      <c r="S156" s="1"/>
      <c r="T156" s="1"/>
      <c r="U156" s="1">
        <f>IFERROR(__xludf.DUMMYFUNCTION("""COMPUTED_VALUE"""),0.0)</f>
        <v>0</v>
      </c>
      <c r="V156" s="1"/>
      <c r="W156" s="1"/>
      <c r="X156" s="1">
        <f>IFERROR(__xludf.DUMMYFUNCTION("""COMPUTED_VALUE"""),0.0)</f>
        <v>0</v>
      </c>
      <c r="Y156" s="1">
        <f>IFERROR(__xludf.DUMMYFUNCTION("""COMPUTED_VALUE"""),2450.0)</f>
        <v>2450</v>
      </c>
      <c r="Z156" s="1">
        <f>IFERROR(__xludf.DUMMYFUNCTION("""COMPUTED_VALUE"""),505.0)</f>
        <v>505</v>
      </c>
      <c r="AA156" s="1">
        <f>IFERROR(__xludf.DUMMYFUNCTION("""COMPUTED_VALUE"""),2400.0)</f>
        <v>2400</v>
      </c>
      <c r="AB156" s="1">
        <f>IFERROR(__xludf.DUMMYFUNCTION("""COMPUTED_VALUE"""),30814.0)</f>
        <v>30814</v>
      </c>
      <c r="AC156" s="1">
        <f>IFERROR(__xludf.DUMMYFUNCTION("""COMPUTED_VALUE"""),8.0)</f>
        <v>8</v>
      </c>
      <c r="AD156" s="1">
        <f>IFERROR(__xludf.DUMMYFUNCTION("""COMPUTED_VALUE"""),2320.0)</f>
        <v>2320</v>
      </c>
      <c r="AE156" s="1">
        <f>IFERROR(__xludf.DUMMYFUNCTION("""COMPUTED_VALUE"""),5681.0)</f>
        <v>5681</v>
      </c>
      <c r="AF156" s="1">
        <f>IFERROR(__xludf.DUMMYFUNCTION("""COMPUTED_VALUE"""),3250.0)</f>
        <v>3250</v>
      </c>
      <c r="AG156" s="1">
        <f>IFERROR(__xludf.DUMMYFUNCTION("""COMPUTED_VALUE"""),350.0)</f>
        <v>350</v>
      </c>
      <c r="AH156" s="1">
        <f>IFERROR(__xludf.DUMMYFUNCTION("""COMPUTED_VALUE"""),2400.0)</f>
        <v>2400</v>
      </c>
      <c r="AI156" s="1">
        <f>IFERROR(__xludf.DUMMYFUNCTION("""COMPUTED_VALUE"""),350.0)</f>
        <v>350</v>
      </c>
      <c r="AJ156" s="1">
        <f>IFERROR(__xludf.DUMMYFUNCTION("""COMPUTED_VALUE"""),200.0)</f>
        <v>200</v>
      </c>
      <c r="AK156" s="1">
        <f>IFERROR(__xludf.DUMMYFUNCTION("""COMPUTED_VALUE"""),1750.0)</f>
        <v>1750</v>
      </c>
      <c r="AL156" s="1">
        <f>IFERROR(__xludf.DUMMYFUNCTION("""COMPUTED_VALUE"""),200.0)</f>
        <v>200</v>
      </c>
      <c r="AM156" s="1">
        <f>IFERROR(__xludf.DUMMYFUNCTION("""COMPUTED_VALUE"""),2657.22998046875)</f>
        <v>2657.22998</v>
      </c>
      <c r="AN156" s="1">
        <f>IFERROR(__xludf.DUMMYFUNCTION("""COMPUTED_VALUE"""),930.0)</f>
        <v>930</v>
      </c>
      <c r="AO156" s="1">
        <f>IFERROR(__xludf.DUMMYFUNCTION("""COMPUTED_VALUE"""),2800.0)</f>
        <v>2800</v>
      </c>
      <c r="AP156" s="1">
        <f>IFERROR(__xludf.DUMMYFUNCTION("""COMPUTED_VALUE"""),12312.0)</f>
        <v>12312</v>
      </c>
      <c r="AQ156" s="1">
        <f>IFERROR(__xludf.DUMMYFUNCTION("""COMPUTED_VALUE"""),235.0)</f>
        <v>235</v>
      </c>
      <c r="AR156" s="1">
        <f>IFERROR(__xludf.DUMMYFUNCTION("""COMPUTED_VALUE"""),2310.0)</f>
        <v>2310</v>
      </c>
      <c r="AS156" s="1">
        <f>IFERROR(__xludf.DUMMYFUNCTION("""COMPUTED_VALUE"""),11500.0)</f>
        <v>11500</v>
      </c>
    </row>
    <row r="157">
      <c r="A157" s="1" t="str">
        <f>IFERROR(__xludf.DUMMYFUNCTION("""COMPUTED_VALUE"""),"HEX")</f>
        <v>HEX</v>
      </c>
      <c r="B157" s="1"/>
      <c r="C157" s="1"/>
      <c r="D157" s="1">
        <f>IFERROR(__xludf.DUMMYFUNCTION("""COMPUTED_VALUE"""),1000.0)</f>
        <v>1000</v>
      </c>
      <c r="E157" s="1">
        <f>IFERROR(__xludf.DUMMYFUNCTION("""COMPUTED_VALUE"""),13439.0)</f>
        <v>13439</v>
      </c>
      <c r="F157" s="1">
        <f>IFERROR(__xludf.DUMMYFUNCTION("""COMPUTED_VALUE"""),2000.0)</f>
        <v>2000</v>
      </c>
      <c r="G157" s="1">
        <f>IFERROR(__xludf.DUMMYFUNCTION("""COMPUTED_VALUE"""),20663.0)</f>
        <v>20663</v>
      </c>
      <c r="H157" s="1">
        <f>IFERROR(__xludf.DUMMYFUNCTION("""COMPUTED_VALUE"""),5.0)</f>
        <v>5</v>
      </c>
      <c r="I157" s="1">
        <f>IFERROR(__xludf.DUMMYFUNCTION("""COMPUTED_VALUE"""),1000.0)</f>
        <v>1000</v>
      </c>
      <c r="J157" s="1">
        <f>IFERROR(__xludf.DUMMYFUNCTION("""COMPUTED_VALUE"""),5.0)</f>
        <v>5</v>
      </c>
      <c r="K157" s="1">
        <f>IFERROR(__xludf.DUMMYFUNCTION("""COMPUTED_VALUE"""),2000.0)</f>
        <v>2000</v>
      </c>
      <c r="L157" s="1">
        <f>IFERROR(__xludf.DUMMYFUNCTION("""COMPUTED_VALUE"""),7056.0)</f>
        <v>7056</v>
      </c>
      <c r="M157" s="1">
        <f>IFERROR(__xludf.DUMMYFUNCTION("""COMPUTED_VALUE"""),2000.0)</f>
        <v>2000</v>
      </c>
      <c r="N157" s="1">
        <f>IFERROR(__xludf.DUMMYFUNCTION("""COMPUTED_VALUE"""),7099.0)</f>
        <v>7099</v>
      </c>
      <c r="O157" s="1">
        <f>IFERROR(__xludf.DUMMYFUNCTION("""COMPUTED_VALUE"""),10.0)</f>
        <v>10</v>
      </c>
      <c r="P157" s="1">
        <f>IFERROR(__xludf.DUMMYFUNCTION("""COMPUTED_VALUE"""),1000.0)</f>
        <v>1000</v>
      </c>
      <c r="Q157" s="1">
        <f>IFERROR(__xludf.DUMMYFUNCTION("""COMPUTED_VALUE"""),10.0)</f>
        <v>10</v>
      </c>
      <c r="R157" s="1">
        <f>IFERROR(__xludf.DUMMYFUNCTION("""COMPUTED_VALUE"""),41.1399993896484)</f>
        <v>41.13999939</v>
      </c>
      <c r="S157" s="1"/>
      <c r="T157" s="1"/>
      <c r="U157" s="1">
        <f>IFERROR(__xludf.DUMMYFUNCTION("""COMPUTED_VALUE"""),0.0)</f>
        <v>0</v>
      </c>
      <c r="V157" s="1"/>
      <c r="W157" s="1"/>
      <c r="X157" s="1">
        <f>IFERROR(__xludf.DUMMYFUNCTION("""COMPUTED_VALUE"""),0.0)</f>
        <v>0</v>
      </c>
      <c r="Y157" s="1">
        <f>IFERROR(__xludf.DUMMYFUNCTION("""COMPUTED_VALUE"""),2000.0)</f>
        <v>2000</v>
      </c>
      <c r="Z157" s="1">
        <f>IFERROR(__xludf.DUMMYFUNCTION("""COMPUTED_VALUE"""),3487.0)</f>
        <v>3487</v>
      </c>
      <c r="AA157" s="1">
        <f>IFERROR(__xludf.DUMMYFUNCTION("""COMPUTED_VALUE"""),2000.0)</f>
        <v>2000</v>
      </c>
      <c r="AB157" s="1">
        <f>IFERROR(__xludf.DUMMYFUNCTION("""COMPUTED_VALUE"""),3487.0)</f>
        <v>3487</v>
      </c>
      <c r="AC157" s="1">
        <f>IFERROR(__xludf.DUMMYFUNCTION("""COMPUTED_VALUE"""),10.0)</f>
        <v>10</v>
      </c>
      <c r="AD157" s="1">
        <f>IFERROR(__xludf.DUMMYFUNCTION("""COMPUTED_VALUE"""),1000.0)</f>
        <v>1000</v>
      </c>
      <c r="AE157" s="1">
        <f>IFERROR(__xludf.DUMMYFUNCTION("""COMPUTED_VALUE"""),10.0)</f>
        <v>10</v>
      </c>
      <c r="AF157" s="1">
        <f>IFERROR(__xludf.DUMMYFUNCTION("""COMPUTED_VALUE"""),41.1399993896484)</f>
        <v>41.13999939</v>
      </c>
      <c r="AG157" s="1"/>
      <c r="AH157" s="1"/>
      <c r="AI157" s="1">
        <f>IFERROR(__xludf.DUMMYFUNCTION("""COMPUTED_VALUE"""),0.0)</f>
        <v>0</v>
      </c>
      <c r="AJ157" s="1"/>
      <c r="AK157" s="1"/>
      <c r="AL157" s="1">
        <f>IFERROR(__xludf.DUMMYFUNCTION("""COMPUTED_VALUE"""),0.0)</f>
        <v>0</v>
      </c>
      <c r="AM157" s="1">
        <f>IFERROR(__xludf.DUMMYFUNCTION("""COMPUTED_VALUE"""),41.1399993896484)</f>
        <v>41.13999939</v>
      </c>
      <c r="AN157" s="1">
        <f>IFERROR(__xludf.DUMMYFUNCTION("""COMPUTED_VALUE"""),1771.0)</f>
        <v>1771</v>
      </c>
      <c r="AO157" s="1">
        <f>IFERROR(__xludf.DUMMYFUNCTION("""COMPUTED_VALUE"""),2000.0)</f>
        <v>2000</v>
      </c>
      <c r="AP157" s="1">
        <f>IFERROR(__xludf.DUMMYFUNCTION("""COMPUTED_VALUE"""),1771.0)</f>
        <v>1771</v>
      </c>
      <c r="AQ157" s="1">
        <f>IFERROR(__xludf.DUMMYFUNCTION("""COMPUTED_VALUE"""),10.0)</f>
        <v>10</v>
      </c>
      <c r="AR157" s="1">
        <f>IFERROR(__xludf.DUMMYFUNCTION("""COMPUTED_VALUE"""),1000.0)</f>
        <v>1000</v>
      </c>
      <c r="AS157" s="1">
        <f>IFERROR(__xludf.DUMMYFUNCTION("""COMPUTED_VALUE"""),10.0)</f>
        <v>10</v>
      </c>
    </row>
    <row r="158">
      <c r="A158" s="1" t="str">
        <f>IFERROR(__xludf.DUMMYFUNCTION("""COMPUTED_VALUE"""),"HHP")</f>
        <v>HHP</v>
      </c>
      <c r="B158" s="1"/>
      <c r="C158" s="1"/>
      <c r="D158" s="1">
        <f>IFERROR(__xludf.DUMMYFUNCTION("""COMPUTED_VALUE"""),5000.0)</f>
        <v>5000</v>
      </c>
      <c r="E158" s="1">
        <f>IFERROR(__xludf.DUMMYFUNCTION("""COMPUTED_VALUE"""),2.0)</f>
        <v>2</v>
      </c>
      <c r="F158" s="1">
        <f>IFERROR(__xludf.DUMMYFUNCTION("""COMPUTED_VALUE"""),5000.0)</f>
        <v>5000</v>
      </c>
      <c r="G158" s="1">
        <f>IFERROR(__xludf.DUMMYFUNCTION("""COMPUTED_VALUE"""),102.0)</f>
        <v>102</v>
      </c>
      <c r="H158" s="1"/>
      <c r="I158" s="1"/>
      <c r="J158" s="1">
        <f>IFERROR(__xludf.DUMMYFUNCTION("""COMPUTED_VALUE"""),0.0)</f>
        <v>0</v>
      </c>
      <c r="K158" s="1">
        <f>IFERROR(__xludf.DUMMYFUNCTION("""COMPUTED_VALUE"""),3000.0)</f>
        <v>3000</v>
      </c>
      <c r="L158" s="1">
        <f>IFERROR(__xludf.DUMMYFUNCTION("""COMPUTED_VALUE"""),100.0)</f>
        <v>100</v>
      </c>
      <c r="M158" s="1">
        <f>IFERROR(__xludf.DUMMYFUNCTION("""COMPUTED_VALUE"""),7000.0)</f>
        <v>7000</v>
      </c>
      <c r="N158" s="1">
        <f>IFERROR(__xludf.DUMMYFUNCTION("""COMPUTED_VALUE"""),100.0)</f>
        <v>100</v>
      </c>
      <c r="O158" s="1"/>
      <c r="P158" s="1"/>
      <c r="Q158" s="1">
        <f>IFERROR(__xludf.DUMMYFUNCTION("""COMPUTED_VALUE"""),0.0)</f>
        <v>0</v>
      </c>
      <c r="R158" s="1">
        <f>IFERROR(__xludf.DUMMYFUNCTION("""COMPUTED_VALUE"""),3363.27001953125)</f>
        <v>3363.27002</v>
      </c>
      <c r="S158" s="1"/>
      <c r="T158" s="1"/>
      <c r="U158" s="1">
        <f>IFERROR(__xludf.DUMMYFUNCTION("""COMPUTED_VALUE"""),0.0)</f>
        <v>0</v>
      </c>
      <c r="V158" s="1"/>
      <c r="W158" s="1"/>
      <c r="X158" s="1">
        <f>IFERROR(__xludf.DUMMYFUNCTION("""COMPUTED_VALUE"""),0.0)</f>
        <v>0</v>
      </c>
      <c r="Y158" s="1">
        <f>IFERROR(__xludf.DUMMYFUNCTION("""COMPUTED_VALUE"""),250.0)</f>
        <v>250</v>
      </c>
      <c r="Z158" s="1">
        <f>IFERROR(__xludf.DUMMYFUNCTION("""COMPUTED_VALUE"""),675.0)</f>
        <v>675</v>
      </c>
      <c r="AA158" s="1">
        <f>IFERROR(__xludf.DUMMYFUNCTION("""COMPUTED_VALUE"""),4990.0)</f>
        <v>4990</v>
      </c>
      <c r="AB158" s="1">
        <f>IFERROR(__xludf.DUMMYFUNCTION("""COMPUTED_VALUE"""),775.0)</f>
        <v>775</v>
      </c>
      <c r="AC158" s="1"/>
      <c r="AD158" s="1"/>
      <c r="AE158" s="1">
        <f>IFERROR(__xludf.DUMMYFUNCTION("""COMPUTED_VALUE"""),0.0)</f>
        <v>0</v>
      </c>
      <c r="AF158" s="1">
        <f>IFERROR(__xludf.DUMMYFUNCTION("""COMPUTED_VALUE"""),3363.27001953125)</f>
        <v>3363.27002</v>
      </c>
      <c r="AG158" s="1"/>
      <c r="AH158" s="1"/>
      <c r="AI158" s="1">
        <f>IFERROR(__xludf.DUMMYFUNCTION("""COMPUTED_VALUE"""),0.0)</f>
        <v>0</v>
      </c>
      <c r="AJ158" s="1"/>
      <c r="AK158" s="1"/>
      <c r="AL158" s="1">
        <f>IFERROR(__xludf.DUMMYFUNCTION("""COMPUTED_VALUE"""),0.0)</f>
        <v>0</v>
      </c>
      <c r="AM158" s="1">
        <f>IFERROR(__xludf.DUMMYFUNCTION("""COMPUTED_VALUE"""),7000.0)</f>
        <v>7000</v>
      </c>
      <c r="AN158" s="1">
        <f>IFERROR(__xludf.DUMMYFUNCTION("""COMPUTED_VALUE"""),99.0)</f>
        <v>99</v>
      </c>
      <c r="AO158" s="1">
        <f>IFERROR(__xludf.DUMMYFUNCTION("""COMPUTED_VALUE"""),7000.0)</f>
        <v>7000</v>
      </c>
      <c r="AP158" s="1">
        <f>IFERROR(__xludf.DUMMYFUNCTION("""COMPUTED_VALUE"""),99.0)</f>
        <v>99</v>
      </c>
      <c r="AQ158" s="1"/>
      <c r="AR158" s="1"/>
      <c r="AS158" s="1">
        <f>IFERROR(__xludf.DUMMYFUNCTION("""COMPUTED_VALUE"""),0.0)</f>
        <v>0</v>
      </c>
    </row>
    <row r="159">
      <c r="A159" s="1" t="str">
        <f>IFERROR(__xludf.DUMMYFUNCTION("""COMPUTED_VALUE"""),"HMS")</f>
        <v>HMS</v>
      </c>
      <c r="B159" s="1"/>
      <c r="C159" s="1"/>
      <c r="D159" s="1">
        <f>IFERROR(__xludf.DUMMYFUNCTION("""COMPUTED_VALUE"""),1940.0)</f>
        <v>1940</v>
      </c>
      <c r="E159" s="1">
        <f>IFERROR(__xludf.DUMMYFUNCTION("""COMPUTED_VALUE"""),1449.0)</f>
        <v>1449</v>
      </c>
      <c r="F159" s="1">
        <f>IFERROR(__xludf.DUMMYFUNCTION("""COMPUTED_VALUE"""),1940.0)</f>
        <v>1940</v>
      </c>
      <c r="G159" s="1">
        <f>IFERROR(__xludf.DUMMYFUNCTION("""COMPUTED_VALUE"""),14017.0)</f>
        <v>14017</v>
      </c>
      <c r="H159" s="1">
        <f>IFERROR(__xludf.DUMMYFUNCTION("""COMPUTED_VALUE"""),10.0)</f>
        <v>10</v>
      </c>
      <c r="I159" s="1">
        <f>IFERROR(__xludf.DUMMYFUNCTION("""COMPUTED_VALUE"""),1870.0)</f>
        <v>1870</v>
      </c>
      <c r="J159" s="1">
        <f>IFERROR(__xludf.DUMMYFUNCTION("""COMPUTED_VALUE"""),6812.0)</f>
        <v>6812</v>
      </c>
      <c r="K159" s="1">
        <f>IFERROR(__xludf.DUMMYFUNCTION("""COMPUTED_VALUE"""),1980.0)</f>
        <v>1980</v>
      </c>
      <c r="L159" s="1">
        <f>IFERROR(__xludf.DUMMYFUNCTION("""COMPUTED_VALUE"""),24.0)</f>
        <v>24</v>
      </c>
      <c r="M159" s="1">
        <f>IFERROR(__xludf.DUMMYFUNCTION("""COMPUTED_VALUE"""),1980.0)</f>
        <v>1980</v>
      </c>
      <c r="N159" s="1">
        <f>IFERROR(__xludf.DUMMYFUNCTION("""COMPUTED_VALUE"""),6365.0)</f>
        <v>6365</v>
      </c>
      <c r="O159" s="1">
        <f>IFERROR(__xludf.DUMMYFUNCTION("""COMPUTED_VALUE"""),64.0)</f>
        <v>64</v>
      </c>
      <c r="P159" s="1">
        <f>IFERROR(__xludf.DUMMYFUNCTION("""COMPUTED_VALUE"""),1850.0)</f>
        <v>1850</v>
      </c>
      <c r="Q159" s="1">
        <f>IFERROR(__xludf.DUMMYFUNCTION("""COMPUTED_VALUE"""),978.0)</f>
        <v>978</v>
      </c>
      <c r="R159" s="1">
        <f>IFERROR(__xludf.DUMMYFUNCTION("""COMPUTED_VALUE"""),1950.0)</f>
        <v>1950</v>
      </c>
      <c r="S159" s="1">
        <f>IFERROR(__xludf.DUMMYFUNCTION("""COMPUTED_VALUE"""),1141.0)</f>
        <v>1141</v>
      </c>
      <c r="T159" s="1">
        <f>IFERROR(__xludf.DUMMYFUNCTION("""COMPUTED_VALUE"""),1950.0)</f>
        <v>1950</v>
      </c>
      <c r="U159" s="1">
        <f>IFERROR(__xludf.DUMMYFUNCTION("""COMPUTED_VALUE"""),2036.0)</f>
        <v>2036</v>
      </c>
      <c r="V159" s="1"/>
      <c r="W159" s="1"/>
      <c r="X159" s="1">
        <f>IFERROR(__xludf.DUMMYFUNCTION("""COMPUTED_VALUE"""),0.0)</f>
        <v>0</v>
      </c>
      <c r="Y159" s="1">
        <f>IFERROR(__xludf.DUMMYFUNCTION("""COMPUTED_VALUE"""),1990.0)</f>
        <v>1990</v>
      </c>
      <c r="Z159" s="1">
        <f>IFERROR(__xludf.DUMMYFUNCTION("""COMPUTED_VALUE"""),512.0)</f>
        <v>512</v>
      </c>
      <c r="AA159" s="1">
        <f>IFERROR(__xludf.DUMMYFUNCTION("""COMPUTED_VALUE"""),1990.0)</f>
        <v>1990</v>
      </c>
      <c r="AB159" s="1">
        <f>IFERROR(__xludf.DUMMYFUNCTION("""COMPUTED_VALUE"""),9622.0)</f>
        <v>9622</v>
      </c>
      <c r="AC159" s="1">
        <f>IFERROR(__xludf.DUMMYFUNCTION("""COMPUTED_VALUE"""),23.0)</f>
        <v>23</v>
      </c>
      <c r="AD159" s="1">
        <f>IFERROR(__xludf.DUMMYFUNCTION("""COMPUTED_VALUE"""),1870.0)</f>
        <v>1870</v>
      </c>
      <c r="AE159" s="1">
        <f>IFERROR(__xludf.DUMMYFUNCTION("""COMPUTED_VALUE"""),8906.0)</f>
        <v>8906</v>
      </c>
      <c r="AF159" s="1">
        <f>IFERROR(__xludf.DUMMYFUNCTION("""COMPUTED_VALUE"""),2280.0)</f>
        <v>2280</v>
      </c>
      <c r="AG159" s="1">
        <f>IFERROR(__xludf.DUMMYFUNCTION("""COMPUTED_VALUE"""),4.0)</f>
        <v>4</v>
      </c>
      <c r="AH159" s="1">
        <f>IFERROR(__xludf.DUMMYFUNCTION("""COMPUTED_VALUE"""),1.0)</f>
        <v>1</v>
      </c>
      <c r="AI159" s="1">
        <f>IFERROR(__xludf.DUMMYFUNCTION("""COMPUTED_VALUE"""),530.0)</f>
        <v>530</v>
      </c>
      <c r="AJ159" s="1"/>
      <c r="AK159" s="1"/>
      <c r="AL159" s="1">
        <f>IFERROR(__xludf.DUMMYFUNCTION("""COMPUTED_VALUE"""),0.0)</f>
        <v>0</v>
      </c>
      <c r="AM159" s="1">
        <f>IFERROR(__xludf.DUMMYFUNCTION("""COMPUTED_VALUE"""),2040.0)</f>
        <v>2040</v>
      </c>
      <c r="AN159" s="1">
        <f>IFERROR(__xludf.DUMMYFUNCTION("""COMPUTED_VALUE"""),1438.0)</f>
        <v>1438</v>
      </c>
      <c r="AO159" s="1">
        <f>IFERROR(__xludf.DUMMYFUNCTION("""COMPUTED_VALUE"""),2040.0)</f>
        <v>2040</v>
      </c>
      <c r="AP159" s="1">
        <f>IFERROR(__xludf.DUMMYFUNCTION("""COMPUTED_VALUE"""),10413.0)</f>
        <v>10413</v>
      </c>
      <c r="AQ159" s="1">
        <f>IFERROR(__xludf.DUMMYFUNCTION("""COMPUTED_VALUE"""),5.0)</f>
        <v>5</v>
      </c>
      <c r="AR159" s="1">
        <f>IFERROR(__xludf.DUMMYFUNCTION("""COMPUTED_VALUE"""),1830.0)</f>
        <v>1830</v>
      </c>
      <c r="AS159" s="1">
        <f>IFERROR(__xludf.DUMMYFUNCTION("""COMPUTED_VALUE"""),1348.0)</f>
        <v>1348</v>
      </c>
    </row>
    <row r="160">
      <c r="A160" s="1" t="str">
        <f>IFERROR(__xludf.DUMMYFUNCTION("""COMPUTED_VALUE"""),"HNZ")</f>
        <v>HNZ</v>
      </c>
      <c r="B160" s="1"/>
      <c r="C160" s="1"/>
      <c r="D160" s="1">
        <f>IFERROR(__xludf.DUMMYFUNCTION("""COMPUTED_VALUE"""),75000.0)</f>
        <v>75000</v>
      </c>
      <c r="E160" s="1"/>
      <c r="F160" s="1"/>
      <c r="G160" s="1">
        <f>IFERROR(__xludf.DUMMYFUNCTION("""COMPUTED_VALUE"""),0.0)</f>
        <v>0</v>
      </c>
      <c r="H160" s="1"/>
      <c r="I160" s="1"/>
      <c r="J160" s="1">
        <f>IFERROR(__xludf.DUMMYFUNCTION("""COMPUTED_VALUE"""),0.0)</f>
        <v>0</v>
      </c>
      <c r="K160" s="1">
        <f>IFERROR(__xludf.DUMMYFUNCTION("""COMPUTED_VALUE"""),99120.1015625)</f>
        <v>99120.10156</v>
      </c>
      <c r="L160" s="1">
        <f>IFERROR(__xludf.DUMMYFUNCTION("""COMPUTED_VALUE"""),2.0)</f>
        <v>2</v>
      </c>
      <c r="M160" s="1">
        <f>IFERROR(__xludf.DUMMYFUNCTION("""COMPUTED_VALUE"""),90000.0)</f>
        <v>90000</v>
      </c>
      <c r="N160" s="1">
        <f>IFERROR(__xludf.DUMMYFUNCTION("""COMPUTED_VALUE"""),2.0)</f>
        <v>2</v>
      </c>
      <c r="O160" s="1"/>
      <c r="P160" s="1"/>
      <c r="Q160" s="1">
        <f>IFERROR(__xludf.DUMMYFUNCTION("""COMPUTED_VALUE"""),0.0)</f>
        <v>0</v>
      </c>
      <c r="R160" s="1">
        <f>IFERROR(__xludf.DUMMYFUNCTION("""COMPUTED_VALUE"""),99120.1015625)</f>
        <v>99120.10156</v>
      </c>
      <c r="S160" s="1"/>
      <c r="T160" s="1"/>
      <c r="U160" s="1">
        <f>IFERROR(__xludf.DUMMYFUNCTION("""COMPUTED_VALUE"""),0.0)</f>
        <v>0</v>
      </c>
      <c r="V160" s="1"/>
      <c r="W160" s="1"/>
      <c r="X160" s="1">
        <f>IFERROR(__xludf.DUMMYFUNCTION("""COMPUTED_VALUE"""),0.0)</f>
        <v>0</v>
      </c>
      <c r="Y160" s="1">
        <f>IFERROR(__xludf.DUMMYFUNCTION("""COMPUTED_VALUE"""),99120.1015625)</f>
        <v>99120.10156</v>
      </c>
      <c r="Z160" s="1"/>
      <c r="AA160" s="1"/>
      <c r="AB160" s="1">
        <f>IFERROR(__xludf.DUMMYFUNCTION("""COMPUTED_VALUE"""),0.0)</f>
        <v>0</v>
      </c>
      <c r="AC160" s="1"/>
      <c r="AD160" s="1"/>
      <c r="AE160" s="1">
        <f>IFERROR(__xludf.DUMMYFUNCTION("""COMPUTED_VALUE"""),0.0)</f>
        <v>0</v>
      </c>
      <c r="AF160" s="1">
        <f>IFERROR(__xludf.DUMMYFUNCTION("""COMPUTED_VALUE"""),99120.1015625)</f>
        <v>99120.10156</v>
      </c>
      <c r="AG160" s="1"/>
      <c r="AH160" s="1"/>
      <c r="AI160" s="1">
        <f>IFERROR(__xludf.DUMMYFUNCTION("""COMPUTED_VALUE"""),0.0)</f>
        <v>0</v>
      </c>
      <c r="AJ160" s="1"/>
      <c r="AK160" s="1"/>
      <c r="AL160" s="1">
        <f>IFERROR(__xludf.DUMMYFUNCTION("""COMPUTED_VALUE"""),0.0)</f>
        <v>0</v>
      </c>
      <c r="AM160" s="1">
        <f>IFERROR(__xludf.DUMMYFUNCTION("""COMPUTED_VALUE"""),99120.1015625)</f>
        <v>99120.10156</v>
      </c>
      <c r="AN160" s="1"/>
      <c r="AO160" s="1"/>
      <c r="AP160" s="1">
        <f>IFERROR(__xludf.DUMMYFUNCTION("""COMPUTED_VALUE"""),0.0)</f>
        <v>0</v>
      </c>
      <c r="AQ160" s="1"/>
      <c r="AR160" s="1"/>
      <c r="AS160" s="1">
        <f>IFERROR(__xludf.DUMMYFUNCTION("""COMPUTED_VALUE"""),0.0)</f>
        <v>0</v>
      </c>
    </row>
    <row r="161">
      <c r="A161" s="1" t="str">
        <f>IFERROR(__xludf.DUMMYFUNCTION("""COMPUTED_VALUE"""),"HOG")</f>
        <v>HOG</v>
      </c>
      <c r="B161" s="1"/>
      <c r="C161" s="1"/>
      <c r="D161" s="1">
        <f>IFERROR(__xludf.DUMMYFUNCTION("""COMPUTED_VALUE"""),7000.0)</f>
        <v>7000</v>
      </c>
      <c r="E161" s="1">
        <f>IFERROR(__xludf.DUMMYFUNCTION("""COMPUTED_VALUE"""),31.0)</f>
        <v>31</v>
      </c>
      <c r="F161" s="1">
        <f>IFERROR(__xludf.DUMMYFUNCTION("""COMPUTED_VALUE"""),7800.0)</f>
        <v>7800</v>
      </c>
      <c r="G161" s="1">
        <f>IFERROR(__xludf.DUMMYFUNCTION("""COMPUTED_VALUE"""),91.0)</f>
        <v>91</v>
      </c>
      <c r="H161" s="1">
        <f>IFERROR(__xludf.DUMMYFUNCTION("""COMPUTED_VALUE"""),21.0)</f>
        <v>21</v>
      </c>
      <c r="I161" s="1">
        <f>IFERROR(__xludf.DUMMYFUNCTION("""COMPUTED_VALUE"""),7000.0)</f>
        <v>7000</v>
      </c>
      <c r="J161" s="1">
        <f>IFERROR(__xludf.DUMMYFUNCTION("""COMPUTED_VALUE"""),111.0)</f>
        <v>111</v>
      </c>
      <c r="K161" s="1">
        <f>IFERROR(__xludf.DUMMYFUNCTION("""COMPUTED_VALUE"""),7500.0)</f>
        <v>7500</v>
      </c>
      <c r="L161" s="1">
        <f>IFERROR(__xludf.DUMMYFUNCTION("""COMPUTED_VALUE"""),1.0)</f>
        <v>1</v>
      </c>
      <c r="M161" s="1">
        <f>IFERROR(__xludf.DUMMYFUNCTION("""COMPUTED_VALUE"""),8000.0)</f>
        <v>8000</v>
      </c>
      <c r="N161" s="1">
        <f>IFERROR(__xludf.DUMMYFUNCTION("""COMPUTED_VALUE"""),1.0)</f>
        <v>1</v>
      </c>
      <c r="O161" s="1">
        <f>IFERROR(__xludf.DUMMYFUNCTION("""COMPUTED_VALUE"""),40.0)</f>
        <v>40</v>
      </c>
      <c r="P161" s="1">
        <f>IFERROR(__xludf.DUMMYFUNCTION("""COMPUTED_VALUE"""),7000.0)</f>
        <v>7000</v>
      </c>
      <c r="Q161" s="1">
        <f>IFERROR(__xludf.DUMMYFUNCTION("""COMPUTED_VALUE"""),45.0)</f>
        <v>45</v>
      </c>
      <c r="R161" s="1">
        <f>IFERROR(__xludf.DUMMYFUNCTION("""COMPUTED_VALUE"""),3903.23999023437)</f>
        <v>3903.23999</v>
      </c>
      <c r="S161" s="1"/>
      <c r="T161" s="1"/>
      <c r="U161" s="1">
        <f>IFERROR(__xludf.DUMMYFUNCTION("""COMPUTED_VALUE"""),0.0)</f>
        <v>0</v>
      </c>
      <c r="V161" s="1"/>
      <c r="W161" s="1"/>
      <c r="X161" s="1">
        <f>IFERROR(__xludf.DUMMYFUNCTION("""COMPUTED_VALUE"""),0.0)</f>
        <v>0</v>
      </c>
      <c r="Y161" s="1">
        <f>IFERROR(__xludf.DUMMYFUNCTION("""COMPUTED_VALUE"""),6500.0)</f>
        <v>6500</v>
      </c>
      <c r="Z161" s="1">
        <f>IFERROR(__xludf.DUMMYFUNCTION("""COMPUTED_VALUE"""),49.0)</f>
        <v>49</v>
      </c>
      <c r="AA161" s="1">
        <f>IFERROR(__xludf.DUMMYFUNCTION("""COMPUTED_VALUE"""),18000.0)</f>
        <v>18000</v>
      </c>
      <c r="AB161" s="1">
        <f>IFERROR(__xludf.DUMMYFUNCTION("""COMPUTED_VALUE"""),49.0)</f>
        <v>49</v>
      </c>
      <c r="AC161" s="1">
        <f>IFERROR(__xludf.DUMMYFUNCTION("""COMPUTED_VALUE"""),47.0)</f>
        <v>47</v>
      </c>
      <c r="AD161" s="1">
        <f>IFERROR(__xludf.DUMMYFUNCTION("""COMPUTED_VALUE"""),6500.0)</f>
        <v>6500</v>
      </c>
      <c r="AE161" s="1">
        <f>IFERROR(__xludf.DUMMYFUNCTION("""COMPUTED_VALUE"""),47.0)</f>
        <v>47</v>
      </c>
      <c r="AF161" s="1">
        <f>IFERROR(__xludf.DUMMYFUNCTION("""COMPUTED_VALUE"""),6500.0)</f>
        <v>6500</v>
      </c>
      <c r="AG161" s="1">
        <f>IFERROR(__xludf.DUMMYFUNCTION("""COMPUTED_VALUE"""),20.0)</f>
        <v>20</v>
      </c>
      <c r="AH161" s="1">
        <f>IFERROR(__xludf.DUMMYFUNCTION("""COMPUTED_VALUE"""),7500.0)</f>
        <v>7500</v>
      </c>
      <c r="AI161" s="1">
        <f>IFERROR(__xludf.DUMMYFUNCTION("""COMPUTED_VALUE"""),20.0)</f>
        <v>20</v>
      </c>
      <c r="AJ161" s="1"/>
      <c r="AK161" s="1"/>
      <c r="AL161" s="1">
        <f>IFERROR(__xludf.DUMMYFUNCTION("""COMPUTED_VALUE"""),0.0)</f>
        <v>0</v>
      </c>
      <c r="AM161" s="1">
        <f>IFERROR(__xludf.DUMMYFUNCTION("""COMPUTED_VALUE"""),10000.0)</f>
        <v>10000</v>
      </c>
      <c r="AN161" s="1">
        <f>IFERROR(__xludf.DUMMYFUNCTION("""COMPUTED_VALUE"""),36.0)</f>
        <v>36</v>
      </c>
      <c r="AO161" s="1">
        <f>IFERROR(__xludf.DUMMYFUNCTION("""COMPUTED_VALUE"""),10000.0)</f>
        <v>10000</v>
      </c>
      <c r="AP161" s="1">
        <f>IFERROR(__xludf.DUMMYFUNCTION("""COMPUTED_VALUE"""),36.0)</f>
        <v>36</v>
      </c>
      <c r="AQ161" s="1"/>
      <c r="AR161" s="1"/>
      <c r="AS161" s="1">
        <f>IFERROR(__xludf.DUMMYFUNCTION("""COMPUTED_VALUE"""),0.0)</f>
        <v>0</v>
      </c>
    </row>
    <row r="162">
      <c r="A162" s="1" t="str">
        <f>IFERROR(__xludf.DUMMYFUNCTION("""COMPUTED_VALUE"""),"HOP")</f>
        <v>HOP</v>
      </c>
      <c r="B162" s="1"/>
      <c r="C162" s="1"/>
      <c r="D162" s="1">
        <f>IFERROR(__xludf.DUMMYFUNCTION("""COMPUTED_VALUE"""),3587.92993164062)</f>
        <v>3587.929932</v>
      </c>
      <c r="E162" s="1">
        <f>IFERROR(__xludf.DUMMYFUNCTION("""COMPUTED_VALUE"""),289.0)</f>
        <v>289</v>
      </c>
      <c r="F162" s="1">
        <f>IFERROR(__xludf.DUMMYFUNCTION("""COMPUTED_VALUE"""),3800.0)</f>
        <v>3800</v>
      </c>
      <c r="G162" s="1">
        <f>IFERROR(__xludf.DUMMYFUNCTION("""COMPUTED_VALUE"""),1334.0)</f>
        <v>1334</v>
      </c>
      <c r="H162" s="1">
        <f>IFERROR(__xludf.DUMMYFUNCTION("""COMPUTED_VALUE"""),50.0)</f>
        <v>50</v>
      </c>
      <c r="I162" s="1">
        <f>IFERROR(__xludf.DUMMYFUNCTION("""COMPUTED_VALUE"""),2000.0)</f>
        <v>2000</v>
      </c>
      <c r="J162" s="1">
        <f>IFERROR(__xludf.DUMMYFUNCTION("""COMPUTED_VALUE"""),1482.0)</f>
        <v>1482</v>
      </c>
      <c r="K162" s="1">
        <f>IFERROR(__xludf.DUMMYFUNCTION("""COMPUTED_VALUE"""),3100.0)</f>
        <v>3100</v>
      </c>
      <c r="L162" s="1">
        <f>IFERROR(__xludf.DUMMYFUNCTION("""COMPUTED_VALUE"""),1303.0)</f>
        <v>1303</v>
      </c>
      <c r="M162" s="1">
        <f>IFERROR(__xludf.DUMMYFUNCTION("""COMPUTED_VALUE"""),3100.0)</f>
        <v>3100</v>
      </c>
      <c r="N162" s="1">
        <f>IFERROR(__xludf.DUMMYFUNCTION("""COMPUTED_VALUE"""),1391.0)</f>
        <v>1391</v>
      </c>
      <c r="O162" s="1">
        <f>IFERROR(__xludf.DUMMYFUNCTION("""COMPUTED_VALUE"""),2000.0)</f>
        <v>2000</v>
      </c>
      <c r="P162" s="1">
        <f>IFERROR(__xludf.DUMMYFUNCTION("""COMPUTED_VALUE"""),1700.0)</f>
        <v>1700</v>
      </c>
      <c r="Q162" s="1">
        <f>IFERROR(__xludf.DUMMYFUNCTION("""COMPUTED_VALUE"""),3696.0)</f>
        <v>3696</v>
      </c>
      <c r="R162" s="1">
        <f>IFERROR(__xludf.DUMMYFUNCTION("""COMPUTED_VALUE"""),2400.0)</f>
        <v>2400</v>
      </c>
      <c r="S162" s="1"/>
      <c r="T162" s="1"/>
      <c r="U162" s="1">
        <f>IFERROR(__xludf.DUMMYFUNCTION("""COMPUTED_VALUE"""),0.0)</f>
        <v>0</v>
      </c>
      <c r="V162" s="1"/>
      <c r="W162" s="1"/>
      <c r="X162" s="1">
        <f>IFERROR(__xludf.DUMMYFUNCTION("""COMPUTED_VALUE"""),0.0)</f>
        <v>0</v>
      </c>
      <c r="Y162" s="1">
        <f>IFERROR(__xludf.DUMMYFUNCTION("""COMPUTED_VALUE"""),2400.0)</f>
        <v>2400</v>
      </c>
      <c r="Z162" s="1">
        <f>IFERROR(__xludf.DUMMYFUNCTION("""COMPUTED_VALUE"""),970.0)</f>
        <v>970</v>
      </c>
      <c r="AA162" s="1">
        <f>IFERROR(__xludf.DUMMYFUNCTION("""COMPUTED_VALUE"""),2400.0)</f>
        <v>2400</v>
      </c>
      <c r="AB162" s="1">
        <f>IFERROR(__xludf.DUMMYFUNCTION("""COMPUTED_VALUE"""),4255.0)</f>
        <v>4255</v>
      </c>
      <c r="AC162" s="1">
        <f>IFERROR(__xludf.DUMMYFUNCTION("""COMPUTED_VALUE"""),159.0)</f>
        <v>159</v>
      </c>
      <c r="AD162" s="1">
        <f>IFERROR(__xludf.DUMMYFUNCTION("""COMPUTED_VALUE"""),2240.0)</f>
        <v>2240</v>
      </c>
      <c r="AE162" s="1">
        <f>IFERROR(__xludf.DUMMYFUNCTION("""COMPUTED_VALUE"""),3109.0)</f>
        <v>3109</v>
      </c>
      <c r="AF162" s="1">
        <f>IFERROR(__xludf.DUMMYFUNCTION("""COMPUTED_VALUE"""),819.739990234375)</f>
        <v>819.7399902</v>
      </c>
      <c r="AG162" s="1"/>
      <c r="AH162" s="1"/>
      <c r="AI162" s="1">
        <f>IFERROR(__xludf.DUMMYFUNCTION("""COMPUTED_VALUE"""),0.0)</f>
        <v>0</v>
      </c>
      <c r="AJ162" s="1"/>
      <c r="AK162" s="1"/>
      <c r="AL162" s="1">
        <f>IFERROR(__xludf.DUMMYFUNCTION("""COMPUTED_VALUE"""),0.0)</f>
        <v>0</v>
      </c>
      <c r="AM162" s="1">
        <f>IFERROR(__xludf.DUMMYFUNCTION("""COMPUTED_VALUE"""),2700.0)</f>
        <v>2700</v>
      </c>
      <c r="AN162" s="1">
        <f>IFERROR(__xludf.DUMMYFUNCTION("""COMPUTED_VALUE"""),106.0)</f>
        <v>106</v>
      </c>
      <c r="AO162" s="1">
        <f>IFERROR(__xludf.DUMMYFUNCTION("""COMPUTED_VALUE"""),2700.0)</f>
        <v>2700</v>
      </c>
      <c r="AP162" s="1">
        <f>IFERROR(__xludf.DUMMYFUNCTION("""COMPUTED_VALUE"""),3665.0)</f>
        <v>3665</v>
      </c>
      <c r="AQ162" s="1">
        <f>IFERROR(__xludf.DUMMYFUNCTION("""COMPUTED_VALUE"""),40.0)</f>
        <v>40</v>
      </c>
      <c r="AR162" s="1">
        <f>IFERROR(__xludf.DUMMYFUNCTION("""COMPUTED_VALUE"""),2400.0)</f>
        <v>2400</v>
      </c>
      <c r="AS162" s="1">
        <f>IFERROR(__xludf.DUMMYFUNCTION("""COMPUTED_VALUE"""),5237.0)</f>
        <v>5237</v>
      </c>
    </row>
    <row r="163">
      <c r="A163" s="1" t="str">
        <f>IFERROR(__xludf.DUMMYFUNCTION("""COMPUTED_VALUE"""),"HPC")</f>
        <v>HPC</v>
      </c>
      <c r="B163" s="1"/>
      <c r="C163" s="1"/>
      <c r="D163" s="1">
        <f>IFERROR(__xludf.DUMMYFUNCTION("""COMPUTED_VALUE"""),24000.0)</f>
        <v>24000</v>
      </c>
      <c r="E163" s="1">
        <f>IFERROR(__xludf.DUMMYFUNCTION("""COMPUTED_VALUE"""),10.0)</f>
        <v>10</v>
      </c>
      <c r="F163" s="1">
        <f>IFERROR(__xludf.DUMMYFUNCTION("""COMPUTED_VALUE"""),25000.0)</f>
        <v>25000</v>
      </c>
      <c r="G163" s="1">
        <f>IFERROR(__xludf.DUMMYFUNCTION("""COMPUTED_VALUE"""),27.0)</f>
        <v>27</v>
      </c>
      <c r="H163" s="1">
        <f>IFERROR(__xludf.DUMMYFUNCTION("""COMPUTED_VALUE"""),9.0)</f>
        <v>9</v>
      </c>
      <c r="I163" s="1">
        <f>IFERROR(__xludf.DUMMYFUNCTION("""COMPUTED_VALUE"""),24000.0)</f>
        <v>24000</v>
      </c>
      <c r="J163" s="1">
        <f>IFERROR(__xludf.DUMMYFUNCTION("""COMPUTED_VALUE"""),9.0)</f>
        <v>9</v>
      </c>
      <c r="K163" s="1">
        <f>IFERROR(__xludf.DUMMYFUNCTION("""COMPUTED_VALUE"""),25241.669921875)</f>
        <v>25241.66992</v>
      </c>
      <c r="L163" s="1">
        <f>IFERROR(__xludf.DUMMYFUNCTION("""COMPUTED_VALUE"""),1.0)</f>
        <v>1</v>
      </c>
      <c r="M163" s="1">
        <f>IFERROR(__xludf.DUMMYFUNCTION("""COMPUTED_VALUE"""),31000.0)</f>
        <v>31000</v>
      </c>
      <c r="N163" s="1">
        <f>IFERROR(__xludf.DUMMYFUNCTION("""COMPUTED_VALUE"""),67.0)</f>
        <v>67</v>
      </c>
      <c r="O163" s="1">
        <f>IFERROR(__xludf.DUMMYFUNCTION("""COMPUTED_VALUE"""),2.0)</f>
        <v>2</v>
      </c>
      <c r="P163" s="1">
        <f>IFERROR(__xludf.DUMMYFUNCTION("""COMPUTED_VALUE"""),25000.0)</f>
        <v>25000</v>
      </c>
      <c r="Q163" s="1">
        <f>IFERROR(__xludf.DUMMYFUNCTION("""COMPUTED_VALUE"""),12.0)</f>
        <v>12</v>
      </c>
      <c r="R163" s="1">
        <f>IFERROR(__xludf.DUMMYFUNCTION("""COMPUTED_VALUE"""),13081.349609375)</f>
        <v>13081.34961</v>
      </c>
      <c r="S163" s="1"/>
      <c r="T163" s="1"/>
      <c r="U163" s="1">
        <f>IFERROR(__xludf.DUMMYFUNCTION("""COMPUTED_VALUE"""),0.0)</f>
        <v>0</v>
      </c>
      <c r="V163" s="1"/>
      <c r="W163" s="1"/>
      <c r="X163" s="1">
        <f>IFERROR(__xludf.DUMMYFUNCTION("""COMPUTED_VALUE"""),0.0)</f>
        <v>0</v>
      </c>
      <c r="Y163" s="1">
        <f>IFERROR(__xludf.DUMMYFUNCTION("""COMPUTED_VALUE"""),25000.0)</f>
        <v>25000</v>
      </c>
      <c r="Z163" s="1">
        <f>IFERROR(__xludf.DUMMYFUNCTION("""COMPUTED_VALUE"""),9.0)</f>
        <v>9</v>
      </c>
      <c r="AA163" s="1">
        <f>IFERROR(__xludf.DUMMYFUNCTION("""COMPUTED_VALUE"""),25000.0)</f>
        <v>25000</v>
      </c>
      <c r="AB163" s="1">
        <f>IFERROR(__xludf.DUMMYFUNCTION("""COMPUTED_VALUE"""),41.0)</f>
        <v>41</v>
      </c>
      <c r="AC163" s="1">
        <f>IFERROR(__xludf.DUMMYFUNCTION("""COMPUTED_VALUE"""),41.0)</f>
        <v>41</v>
      </c>
      <c r="AD163" s="1">
        <f>IFERROR(__xludf.DUMMYFUNCTION("""COMPUTED_VALUE"""),24000.0)</f>
        <v>24000</v>
      </c>
      <c r="AE163" s="1">
        <f>IFERROR(__xludf.DUMMYFUNCTION("""COMPUTED_VALUE"""),41.0)</f>
        <v>41</v>
      </c>
      <c r="AF163" s="1">
        <f>IFERROR(__xludf.DUMMYFUNCTION("""COMPUTED_VALUE"""),13081.349609375)</f>
        <v>13081.34961</v>
      </c>
      <c r="AG163" s="1">
        <f>IFERROR(__xludf.DUMMYFUNCTION("""COMPUTED_VALUE"""),2.0)</f>
        <v>2</v>
      </c>
      <c r="AH163" s="1">
        <f>IFERROR(__xludf.DUMMYFUNCTION("""COMPUTED_VALUE"""),28000.0)</f>
        <v>28000</v>
      </c>
      <c r="AI163" s="1">
        <f>IFERROR(__xludf.DUMMYFUNCTION("""COMPUTED_VALUE"""),2.0)</f>
        <v>2</v>
      </c>
      <c r="AJ163" s="1"/>
      <c r="AK163" s="1"/>
      <c r="AL163" s="1">
        <f>IFERROR(__xludf.DUMMYFUNCTION("""COMPUTED_VALUE"""),0.0)</f>
        <v>0</v>
      </c>
      <c r="AM163" s="1">
        <f>IFERROR(__xludf.DUMMYFUNCTION("""COMPUTED_VALUE"""),27000.0)</f>
        <v>27000</v>
      </c>
      <c r="AN163" s="1">
        <f>IFERROR(__xludf.DUMMYFUNCTION("""COMPUTED_VALUE"""),9.0)</f>
        <v>9</v>
      </c>
      <c r="AO163" s="1">
        <f>IFERROR(__xludf.DUMMYFUNCTION("""COMPUTED_VALUE"""),27000.0)</f>
        <v>27000</v>
      </c>
      <c r="AP163" s="1">
        <f>IFERROR(__xludf.DUMMYFUNCTION("""COMPUTED_VALUE"""),9.0)</f>
        <v>9</v>
      </c>
      <c r="AQ163" s="1">
        <f>IFERROR(__xludf.DUMMYFUNCTION("""COMPUTED_VALUE"""),5.0)</f>
        <v>5</v>
      </c>
      <c r="AR163" s="1">
        <f>IFERROR(__xludf.DUMMYFUNCTION("""COMPUTED_VALUE"""),26000.0)</f>
        <v>26000</v>
      </c>
      <c r="AS163" s="1">
        <f>IFERROR(__xludf.DUMMYFUNCTION("""COMPUTED_VALUE"""),5.0)</f>
        <v>5</v>
      </c>
    </row>
    <row r="164">
      <c r="A164" s="1" t="str">
        <f>IFERROR(__xludf.DUMMYFUNCTION("""COMPUTED_VALUE"""),"HPR")</f>
        <v>HPR</v>
      </c>
      <c r="B164" s="1"/>
      <c r="C164" s="1"/>
      <c r="D164" s="1">
        <f>IFERROR(__xludf.DUMMYFUNCTION("""COMPUTED_VALUE"""),800000.0)</f>
        <v>800000</v>
      </c>
      <c r="E164" s="1">
        <f>IFERROR(__xludf.DUMMYFUNCTION("""COMPUTED_VALUE"""),3.0)</f>
        <v>3</v>
      </c>
      <c r="F164" s="1">
        <f>IFERROR(__xludf.DUMMYFUNCTION("""COMPUTED_VALUE"""),950000.0)</f>
        <v>950000</v>
      </c>
      <c r="G164" s="1">
        <f>IFERROR(__xludf.DUMMYFUNCTION("""COMPUTED_VALUE"""),8.0)</f>
        <v>8</v>
      </c>
      <c r="H164" s="1"/>
      <c r="I164" s="1"/>
      <c r="J164" s="1">
        <f>IFERROR(__xludf.DUMMYFUNCTION("""COMPUTED_VALUE"""),0.0)</f>
        <v>0</v>
      </c>
      <c r="K164" s="1">
        <f>IFERROR(__xludf.DUMMYFUNCTION("""COMPUTED_VALUE"""),800000.0)</f>
        <v>800000</v>
      </c>
      <c r="L164" s="1">
        <f>IFERROR(__xludf.DUMMYFUNCTION("""COMPUTED_VALUE"""),3.0)</f>
        <v>3</v>
      </c>
      <c r="M164" s="1">
        <f>IFERROR(__xludf.DUMMYFUNCTION("""COMPUTED_VALUE"""),950000.0)</f>
        <v>950000</v>
      </c>
      <c r="N164" s="1">
        <f>IFERROR(__xludf.DUMMYFUNCTION("""COMPUTED_VALUE"""),4.0)</f>
        <v>4</v>
      </c>
      <c r="O164" s="1"/>
      <c r="P164" s="1"/>
      <c r="Q164" s="1">
        <f>IFERROR(__xludf.DUMMYFUNCTION("""COMPUTED_VALUE"""),0.0)</f>
        <v>0</v>
      </c>
      <c r="R164" s="1">
        <f>IFERROR(__xludf.DUMMYFUNCTION("""COMPUTED_VALUE"""),1750000.0)</f>
        <v>1750000</v>
      </c>
      <c r="S164" s="1"/>
      <c r="T164" s="1"/>
      <c r="U164" s="1">
        <f>IFERROR(__xludf.DUMMYFUNCTION("""COMPUTED_VALUE"""),0.0)</f>
        <v>0</v>
      </c>
      <c r="V164" s="1"/>
      <c r="W164" s="1"/>
      <c r="X164" s="1">
        <f>IFERROR(__xludf.DUMMYFUNCTION("""COMPUTED_VALUE"""),0.0)</f>
        <v>0</v>
      </c>
      <c r="Y164" s="1">
        <f>IFERROR(__xludf.DUMMYFUNCTION("""COMPUTED_VALUE"""),950000.0)</f>
        <v>950000</v>
      </c>
      <c r="Z164" s="1">
        <f>IFERROR(__xludf.DUMMYFUNCTION("""COMPUTED_VALUE"""),2.0)</f>
        <v>2</v>
      </c>
      <c r="AA164" s="1">
        <f>IFERROR(__xludf.DUMMYFUNCTION("""COMPUTED_VALUE"""),950000.0)</f>
        <v>950000</v>
      </c>
      <c r="AB164" s="1">
        <f>IFERROR(__xludf.DUMMYFUNCTION("""COMPUTED_VALUE"""),7.0)</f>
        <v>7</v>
      </c>
      <c r="AC164" s="1"/>
      <c r="AD164" s="1"/>
      <c r="AE164" s="1">
        <f>IFERROR(__xludf.DUMMYFUNCTION("""COMPUTED_VALUE"""),0.0)</f>
        <v>0</v>
      </c>
      <c r="AF164" s="1">
        <f>IFERROR(__xludf.DUMMYFUNCTION("""COMPUTED_VALUE"""),728695.4375)</f>
        <v>728695.4375</v>
      </c>
      <c r="AG164" s="1"/>
      <c r="AH164" s="1"/>
      <c r="AI164" s="1">
        <f>IFERROR(__xludf.DUMMYFUNCTION("""COMPUTED_VALUE"""),0.0)</f>
        <v>0</v>
      </c>
      <c r="AJ164" s="1"/>
      <c r="AK164" s="1"/>
      <c r="AL164" s="1">
        <f>IFERROR(__xludf.DUMMYFUNCTION("""COMPUTED_VALUE"""),0.0)</f>
        <v>0</v>
      </c>
      <c r="AM164" s="1">
        <f>IFERROR(__xludf.DUMMYFUNCTION("""COMPUTED_VALUE"""),800000.0)</f>
        <v>800000</v>
      </c>
      <c r="AN164" s="1">
        <f>IFERROR(__xludf.DUMMYFUNCTION("""COMPUTED_VALUE"""),3.0)</f>
        <v>3</v>
      </c>
      <c r="AO164" s="1">
        <f>IFERROR(__xludf.DUMMYFUNCTION("""COMPUTED_VALUE"""),950000.0)</f>
        <v>950000</v>
      </c>
      <c r="AP164" s="1">
        <f>IFERROR(__xludf.DUMMYFUNCTION("""COMPUTED_VALUE"""),5.0)</f>
        <v>5</v>
      </c>
      <c r="AQ164" s="1"/>
      <c r="AR164" s="1"/>
      <c r="AS164" s="1">
        <f>IFERROR(__xludf.DUMMYFUNCTION("""COMPUTED_VALUE"""),0.0)</f>
        <v>0</v>
      </c>
    </row>
    <row r="165">
      <c r="A165" s="1" t="str">
        <f>IFERROR(__xludf.DUMMYFUNCTION("""COMPUTED_VALUE"""),"HSE")</f>
        <v>HSE</v>
      </c>
      <c r="B165" s="1"/>
      <c r="C165" s="1"/>
      <c r="D165" s="1">
        <f>IFERROR(__xludf.DUMMYFUNCTION("""COMPUTED_VALUE"""),13800.0)</f>
        <v>13800</v>
      </c>
      <c r="E165" s="1">
        <f>IFERROR(__xludf.DUMMYFUNCTION("""COMPUTED_VALUE"""),43.0)</f>
        <v>43</v>
      </c>
      <c r="F165" s="1">
        <f>IFERROR(__xludf.DUMMYFUNCTION("""COMPUTED_VALUE"""),13900.0)</f>
        <v>13900</v>
      </c>
      <c r="G165" s="1">
        <f>IFERROR(__xludf.DUMMYFUNCTION("""COMPUTED_VALUE"""),776.0)</f>
        <v>776</v>
      </c>
      <c r="H165" s="1">
        <f>IFERROR(__xludf.DUMMYFUNCTION("""COMPUTED_VALUE"""),5.0)</f>
        <v>5</v>
      </c>
      <c r="I165" s="1">
        <f>IFERROR(__xludf.DUMMYFUNCTION("""COMPUTED_VALUE"""),13400.0)</f>
        <v>13400</v>
      </c>
      <c r="J165" s="1">
        <f>IFERROR(__xludf.DUMMYFUNCTION("""COMPUTED_VALUE"""),950.0)</f>
        <v>950</v>
      </c>
      <c r="K165" s="1">
        <f>IFERROR(__xludf.DUMMYFUNCTION("""COMPUTED_VALUE"""),18200.0)</f>
        <v>18200</v>
      </c>
      <c r="L165" s="1">
        <f>IFERROR(__xludf.DUMMYFUNCTION("""COMPUTED_VALUE"""),129.0)</f>
        <v>129</v>
      </c>
      <c r="M165" s="1">
        <f>IFERROR(__xludf.DUMMYFUNCTION("""COMPUTED_VALUE"""),18100.0)</f>
        <v>18100</v>
      </c>
      <c r="N165" s="1">
        <f>IFERROR(__xludf.DUMMYFUNCTION("""COMPUTED_VALUE"""),504.0)</f>
        <v>504</v>
      </c>
      <c r="O165" s="1">
        <f>IFERROR(__xludf.DUMMYFUNCTION("""COMPUTED_VALUE"""),2.0)</f>
        <v>2</v>
      </c>
      <c r="P165" s="1">
        <f>IFERROR(__xludf.DUMMYFUNCTION("""COMPUTED_VALUE"""),15000.0)</f>
        <v>15000</v>
      </c>
      <c r="Q165" s="1">
        <f>IFERROR(__xludf.DUMMYFUNCTION("""COMPUTED_VALUE"""),82.0)</f>
        <v>82</v>
      </c>
      <c r="R165" s="1">
        <f>IFERROR(__xludf.DUMMYFUNCTION("""COMPUTED_VALUE"""),12000.0)</f>
        <v>12000</v>
      </c>
      <c r="S165" s="1">
        <f>IFERROR(__xludf.DUMMYFUNCTION("""COMPUTED_VALUE"""),22.0)</f>
        <v>22</v>
      </c>
      <c r="T165" s="1">
        <f>IFERROR(__xludf.DUMMYFUNCTION("""COMPUTED_VALUE"""),18900.0)</f>
        <v>18900</v>
      </c>
      <c r="U165" s="1">
        <f>IFERROR(__xludf.DUMMYFUNCTION("""COMPUTED_VALUE"""),52.0)</f>
        <v>52</v>
      </c>
      <c r="V165" s="1"/>
      <c r="W165" s="1"/>
      <c r="X165" s="1">
        <f>IFERROR(__xludf.DUMMYFUNCTION("""COMPUTED_VALUE"""),0.0)</f>
        <v>0</v>
      </c>
      <c r="Y165" s="1">
        <f>IFERROR(__xludf.DUMMYFUNCTION("""COMPUTED_VALUE"""),14900.0)</f>
        <v>14900</v>
      </c>
      <c r="Z165" s="1">
        <f>IFERROR(__xludf.DUMMYFUNCTION("""COMPUTED_VALUE"""),108.0)</f>
        <v>108</v>
      </c>
      <c r="AA165" s="1">
        <f>IFERROR(__xludf.DUMMYFUNCTION("""COMPUTED_VALUE"""),14800.0)</f>
        <v>14800</v>
      </c>
      <c r="AB165" s="1">
        <f>IFERROR(__xludf.DUMMYFUNCTION("""COMPUTED_VALUE"""),1709.0)</f>
        <v>1709</v>
      </c>
      <c r="AC165" s="1">
        <f>IFERROR(__xludf.DUMMYFUNCTION("""COMPUTED_VALUE"""),1.0)</f>
        <v>1</v>
      </c>
      <c r="AD165" s="1">
        <f>IFERROR(__xludf.DUMMYFUNCTION("""COMPUTED_VALUE"""),13000.0)</f>
        <v>13000</v>
      </c>
      <c r="AE165" s="1">
        <f>IFERROR(__xludf.DUMMYFUNCTION("""COMPUTED_VALUE"""),752.0)</f>
        <v>752</v>
      </c>
      <c r="AF165" s="1">
        <f>IFERROR(__xludf.DUMMYFUNCTION("""COMPUTED_VALUE"""),12000.0)</f>
        <v>12000</v>
      </c>
      <c r="AG165" s="1"/>
      <c r="AH165" s="1"/>
      <c r="AI165" s="1">
        <f>IFERROR(__xludf.DUMMYFUNCTION("""COMPUTED_VALUE"""),0.0)</f>
        <v>0</v>
      </c>
      <c r="AJ165" s="1">
        <f>IFERROR(__xludf.DUMMYFUNCTION("""COMPUTED_VALUE"""),30.0)</f>
        <v>30</v>
      </c>
      <c r="AK165" s="1">
        <f>IFERROR(__xludf.DUMMYFUNCTION("""COMPUTED_VALUE"""),5000.0)</f>
        <v>5000</v>
      </c>
      <c r="AL165" s="1">
        <f>IFERROR(__xludf.DUMMYFUNCTION("""COMPUTED_VALUE"""),30.0)</f>
        <v>30</v>
      </c>
      <c r="AM165" s="1">
        <f>IFERROR(__xludf.DUMMYFUNCTION("""COMPUTED_VALUE"""),14760.7099609375)</f>
        <v>14760.70996</v>
      </c>
      <c r="AN165" s="1">
        <f>IFERROR(__xludf.DUMMYFUNCTION("""COMPUTED_VALUE"""),10.0)</f>
        <v>10</v>
      </c>
      <c r="AO165" s="1">
        <f>IFERROR(__xludf.DUMMYFUNCTION("""COMPUTED_VALUE"""),14800.0)</f>
        <v>14800</v>
      </c>
      <c r="AP165" s="1">
        <f>IFERROR(__xludf.DUMMYFUNCTION("""COMPUTED_VALUE"""),246.0)</f>
        <v>246</v>
      </c>
      <c r="AQ165" s="1">
        <f>IFERROR(__xludf.DUMMYFUNCTION("""COMPUTED_VALUE"""),17.0)</f>
        <v>17</v>
      </c>
      <c r="AR165" s="1">
        <f>IFERROR(__xludf.DUMMYFUNCTION("""COMPUTED_VALUE"""),11200.0)</f>
        <v>11200</v>
      </c>
      <c r="AS165" s="1">
        <f>IFERROR(__xludf.DUMMYFUNCTION("""COMPUTED_VALUE"""),176.0)</f>
        <v>176</v>
      </c>
    </row>
    <row r="166">
      <c r="A166" s="1" t="str">
        <f>IFERROR(__xludf.DUMMYFUNCTION("""COMPUTED_VALUE"""),"HSS")</f>
        <v>HSS</v>
      </c>
      <c r="B166" s="1"/>
      <c r="C166" s="1"/>
      <c r="D166" s="1">
        <f>IFERROR(__xludf.DUMMYFUNCTION("""COMPUTED_VALUE"""),2220.0)</f>
        <v>2220</v>
      </c>
      <c r="E166" s="1">
        <f>IFERROR(__xludf.DUMMYFUNCTION("""COMPUTED_VALUE"""),652.0)</f>
        <v>652</v>
      </c>
      <c r="F166" s="1">
        <f>IFERROR(__xludf.DUMMYFUNCTION("""COMPUTED_VALUE"""),2940.0)</f>
        <v>2940</v>
      </c>
      <c r="G166" s="1">
        <f>IFERROR(__xludf.DUMMYFUNCTION("""COMPUTED_VALUE"""),5752.0)</f>
        <v>5752</v>
      </c>
      <c r="H166" s="1">
        <f>IFERROR(__xludf.DUMMYFUNCTION("""COMPUTED_VALUE"""),97.0)</f>
        <v>97</v>
      </c>
      <c r="I166" s="1">
        <f>IFERROR(__xludf.DUMMYFUNCTION("""COMPUTED_VALUE"""),2220.0)</f>
        <v>2220</v>
      </c>
      <c r="J166" s="1">
        <f>IFERROR(__xludf.DUMMYFUNCTION("""COMPUTED_VALUE"""),1065.0)</f>
        <v>1065</v>
      </c>
      <c r="K166" s="1">
        <f>IFERROR(__xludf.DUMMYFUNCTION("""COMPUTED_VALUE"""),2390.0)</f>
        <v>2390</v>
      </c>
      <c r="L166" s="1">
        <f>IFERROR(__xludf.DUMMYFUNCTION("""COMPUTED_VALUE"""),351.0)</f>
        <v>351</v>
      </c>
      <c r="M166" s="1">
        <f>IFERROR(__xludf.DUMMYFUNCTION("""COMPUTED_VALUE"""),2390.0)</f>
        <v>2390</v>
      </c>
      <c r="N166" s="1">
        <f>IFERROR(__xludf.DUMMYFUNCTION("""COMPUTED_VALUE"""),2151.0)</f>
        <v>2151</v>
      </c>
      <c r="O166" s="1">
        <f>IFERROR(__xludf.DUMMYFUNCTION("""COMPUTED_VALUE"""),100.0)</f>
        <v>100</v>
      </c>
      <c r="P166" s="1">
        <f>IFERROR(__xludf.DUMMYFUNCTION("""COMPUTED_VALUE"""),2100.0)</f>
        <v>2100</v>
      </c>
      <c r="Q166" s="1">
        <f>IFERROR(__xludf.DUMMYFUNCTION("""COMPUTED_VALUE"""),1120.0)</f>
        <v>1120</v>
      </c>
      <c r="R166" s="1">
        <f>IFERROR(__xludf.DUMMYFUNCTION("""COMPUTED_VALUE"""),2100.0)</f>
        <v>2100</v>
      </c>
      <c r="S166" s="1">
        <f>IFERROR(__xludf.DUMMYFUNCTION("""COMPUTED_VALUE"""),97.0)</f>
        <v>97</v>
      </c>
      <c r="T166" s="1">
        <f>IFERROR(__xludf.DUMMYFUNCTION("""COMPUTED_VALUE"""),2100.0)</f>
        <v>2100</v>
      </c>
      <c r="U166" s="1">
        <f>IFERROR(__xludf.DUMMYFUNCTION("""COMPUTED_VALUE"""),1997.0)</f>
        <v>1997</v>
      </c>
      <c r="V166" s="1"/>
      <c r="W166" s="1"/>
      <c r="X166" s="1">
        <f>IFERROR(__xludf.DUMMYFUNCTION("""COMPUTED_VALUE"""),0.0)</f>
        <v>0</v>
      </c>
      <c r="Y166" s="1">
        <f>IFERROR(__xludf.DUMMYFUNCTION("""COMPUTED_VALUE"""),2240.0)</f>
        <v>2240</v>
      </c>
      <c r="Z166" s="1">
        <f>IFERROR(__xludf.DUMMYFUNCTION("""COMPUTED_VALUE"""),259.0)</f>
        <v>259</v>
      </c>
      <c r="AA166" s="1">
        <f>IFERROR(__xludf.DUMMYFUNCTION("""COMPUTED_VALUE"""),2240.0)</f>
        <v>2240</v>
      </c>
      <c r="AB166" s="1">
        <f>IFERROR(__xludf.DUMMYFUNCTION("""COMPUTED_VALUE"""),3900.0)</f>
        <v>3900</v>
      </c>
      <c r="AC166" s="1">
        <f>IFERROR(__xludf.DUMMYFUNCTION("""COMPUTED_VALUE"""),55.0)</f>
        <v>55</v>
      </c>
      <c r="AD166" s="1">
        <f>IFERROR(__xludf.DUMMYFUNCTION("""COMPUTED_VALUE"""),2100.0)</f>
        <v>2100</v>
      </c>
      <c r="AE166" s="1">
        <f>IFERROR(__xludf.DUMMYFUNCTION("""COMPUTED_VALUE"""),2036.0)</f>
        <v>2036</v>
      </c>
      <c r="AF166" s="1">
        <f>IFERROR(__xludf.DUMMYFUNCTION("""COMPUTED_VALUE"""),2000.0)</f>
        <v>2000</v>
      </c>
      <c r="AG166" s="1">
        <f>IFERROR(__xludf.DUMMYFUNCTION("""COMPUTED_VALUE"""),20.0)</f>
        <v>20</v>
      </c>
      <c r="AH166" s="1">
        <f>IFERROR(__xludf.DUMMYFUNCTION("""COMPUTED_VALUE"""),2400.0)</f>
        <v>2400</v>
      </c>
      <c r="AI166" s="1">
        <f>IFERROR(__xludf.DUMMYFUNCTION("""COMPUTED_VALUE"""),290.0)</f>
        <v>290</v>
      </c>
      <c r="AJ166" s="1"/>
      <c r="AK166" s="1"/>
      <c r="AL166" s="1">
        <f>IFERROR(__xludf.DUMMYFUNCTION("""COMPUTED_VALUE"""),0.0)</f>
        <v>0</v>
      </c>
      <c r="AM166" s="1">
        <f>IFERROR(__xludf.DUMMYFUNCTION("""COMPUTED_VALUE"""),2300.0)</f>
        <v>2300</v>
      </c>
      <c r="AN166" s="1">
        <f>IFERROR(__xludf.DUMMYFUNCTION("""COMPUTED_VALUE"""),12.0)</f>
        <v>12</v>
      </c>
      <c r="AO166" s="1">
        <f>IFERROR(__xludf.DUMMYFUNCTION("""COMPUTED_VALUE"""),2300.0)</f>
        <v>2300</v>
      </c>
      <c r="AP166" s="1">
        <f>IFERROR(__xludf.DUMMYFUNCTION("""COMPUTED_VALUE"""),4193.0)</f>
        <v>4193</v>
      </c>
      <c r="AQ166" s="1">
        <f>IFERROR(__xludf.DUMMYFUNCTION("""COMPUTED_VALUE"""),5.0)</f>
        <v>5</v>
      </c>
      <c r="AR166" s="1">
        <f>IFERROR(__xludf.DUMMYFUNCTION("""COMPUTED_VALUE"""),2050.0)</f>
        <v>2050</v>
      </c>
      <c r="AS166" s="1">
        <f>IFERROR(__xludf.DUMMYFUNCTION("""COMPUTED_VALUE"""),483.0)</f>
        <v>483</v>
      </c>
    </row>
    <row r="167">
      <c r="A167" s="1" t="str">
        <f>IFERROR(__xludf.DUMMYFUNCTION("""COMPUTED_VALUE"""),"HTE")</f>
        <v>HTE</v>
      </c>
      <c r="B167" s="1"/>
      <c r="C167" s="1"/>
      <c r="D167" s="1">
        <f>IFERROR(__xludf.DUMMYFUNCTION("""COMPUTED_VALUE"""),4190000.0)</f>
        <v>4190000</v>
      </c>
      <c r="E167" s="1">
        <f>IFERROR(__xludf.DUMMYFUNCTION("""COMPUTED_VALUE"""),1.0)</f>
        <v>1</v>
      </c>
      <c r="F167" s="1">
        <f>IFERROR(__xludf.DUMMYFUNCTION("""COMPUTED_VALUE"""),4190000.0)</f>
        <v>4190000</v>
      </c>
      <c r="G167" s="1">
        <f>IFERROR(__xludf.DUMMYFUNCTION("""COMPUTED_VALUE"""),4.0)</f>
        <v>4</v>
      </c>
      <c r="H167" s="1">
        <f>IFERROR(__xludf.DUMMYFUNCTION("""COMPUTED_VALUE"""),1.0)</f>
        <v>1</v>
      </c>
      <c r="I167" s="1">
        <f>IFERROR(__xludf.DUMMYFUNCTION("""COMPUTED_VALUE"""),1600000.0)</f>
        <v>1600000</v>
      </c>
      <c r="J167" s="1">
        <f>IFERROR(__xludf.DUMMYFUNCTION("""COMPUTED_VALUE"""),3.0)</f>
        <v>3</v>
      </c>
      <c r="K167" s="1">
        <f>IFERROR(__xludf.DUMMYFUNCTION("""COMPUTED_VALUE"""),4480000.0)</f>
        <v>4480000</v>
      </c>
      <c r="L167" s="1">
        <f>IFERROR(__xludf.DUMMYFUNCTION("""COMPUTED_VALUE"""),1.0)</f>
        <v>1</v>
      </c>
      <c r="M167" s="1">
        <f>IFERROR(__xludf.DUMMYFUNCTION("""COMPUTED_VALUE"""),4490000.0)</f>
        <v>4490000</v>
      </c>
      <c r="N167" s="1">
        <f>IFERROR(__xludf.DUMMYFUNCTION("""COMPUTED_VALUE"""),2.0)</f>
        <v>2</v>
      </c>
      <c r="O167" s="1"/>
      <c r="P167" s="1"/>
      <c r="Q167" s="1">
        <f>IFERROR(__xludf.DUMMYFUNCTION("""COMPUTED_VALUE"""),0.0)</f>
        <v>0</v>
      </c>
      <c r="R167" s="1">
        <f>IFERROR(__xludf.DUMMYFUNCTION("""COMPUTED_VALUE"""),1697055.625)</f>
        <v>1697055.625</v>
      </c>
      <c r="S167" s="1"/>
      <c r="T167" s="1"/>
      <c r="U167" s="1">
        <f>IFERROR(__xludf.DUMMYFUNCTION("""COMPUTED_VALUE"""),0.0)</f>
        <v>0</v>
      </c>
      <c r="V167" s="1"/>
      <c r="W167" s="1"/>
      <c r="X167" s="1">
        <f>IFERROR(__xludf.DUMMYFUNCTION("""COMPUTED_VALUE"""),0.0)</f>
        <v>0</v>
      </c>
      <c r="Y167" s="1">
        <f>IFERROR(__xludf.DUMMYFUNCTION("""COMPUTED_VALUE"""),5000000.0)</f>
        <v>5000000</v>
      </c>
      <c r="Z167" s="1">
        <f>IFERROR(__xludf.DUMMYFUNCTION("""COMPUTED_VALUE"""),1.0)</f>
        <v>1</v>
      </c>
      <c r="AA167" s="1">
        <f>IFERROR(__xludf.DUMMYFUNCTION("""COMPUTED_VALUE"""),5000000.0)</f>
        <v>5000000</v>
      </c>
      <c r="AB167" s="1">
        <f>IFERROR(__xludf.DUMMYFUNCTION("""COMPUTED_VALUE"""),1.0)</f>
        <v>1</v>
      </c>
      <c r="AC167" s="1"/>
      <c r="AD167" s="1"/>
      <c r="AE167" s="1">
        <f>IFERROR(__xludf.DUMMYFUNCTION("""COMPUTED_VALUE"""),0.0)</f>
        <v>0</v>
      </c>
      <c r="AF167" s="1">
        <f>IFERROR(__xludf.DUMMYFUNCTION("""COMPUTED_VALUE"""),1697055.625)</f>
        <v>1697055.625</v>
      </c>
      <c r="AG167" s="1"/>
      <c r="AH167" s="1"/>
      <c r="AI167" s="1">
        <f>IFERROR(__xludf.DUMMYFUNCTION("""COMPUTED_VALUE"""),0.0)</f>
        <v>0</v>
      </c>
      <c r="AJ167" s="1"/>
      <c r="AK167" s="1"/>
      <c r="AL167" s="1">
        <f>IFERROR(__xludf.DUMMYFUNCTION("""COMPUTED_VALUE"""),0.0)</f>
        <v>0</v>
      </c>
      <c r="AM167" s="1">
        <f>IFERROR(__xludf.DUMMYFUNCTION("""COMPUTED_VALUE"""),4000000.0)</f>
        <v>4000000</v>
      </c>
      <c r="AN167" s="1">
        <f>IFERROR(__xludf.DUMMYFUNCTION("""COMPUTED_VALUE"""),1.0)</f>
        <v>1</v>
      </c>
      <c r="AO167" s="1">
        <f>IFERROR(__xludf.DUMMYFUNCTION("""COMPUTED_VALUE"""),5000000.0)</f>
        <v>5000000</v>
      </c>
      <c r="AP167" s="1">
        <f>IFERROR(__xludf.DUMMYFUNCTION("""COMPUTED_VALUE"""),1.0)</f>
        <v>1</v>
      </c>
      <c r="AQ167" s="1"/>
      <c r="AR167" s="1"/>
      <c r="AS167" s="1">
        <f>IFERROR(__xludf.DUMMYFUNCTION("""COMPUTED_VALUE"""),0.0)</f>
        <v>0</v>
      </c>
    </row>
    <row r="168">
      <c r="A168" s="1" t="str">
        <f>IFERROR(__xludf.DUMMYFUNCTION("""COMPUTED_VALUE"""),"HYR")</f>
        <v>HYR</v>
      </c>
      <c r="B168" s="1"/>
      <c r="C168" s="1"/>
      <c r="D168" s="1">
        <f>IFERROR(__xludf.DUMMYFUNCTION("""COMPUTED_VALUE"""),1700000.0)</f>
        <v>1700000</v>
      </c>
      <c r="E168" s="1">
        <f>IFERROR(__xludf.DUMMYFUNCTION("""COMPUTED_VALUE"""),2.0)</f>
        <v>2</v>
      </c>
      <c r="F168" s="1">
        <f>IFERROR(__xludf.DUMMYFUNCTION("""COMPUTED_VALUE"""),1690000.0)</f>
        <v>1690000</v>
      </c>
      <c r="G168" s="1">
        <f>IFERROR(__xludf.DUMMYFUNCTION("""COMPUTED_VALUE"""),12.0)</f>
        <v>12</v>
      </c>
      <c r="H168" s="1">
        <f>IFERROR(__xludf.DUMMYFUNCTION("""COMPUTED_VALUE"""),4.0)</f>
        <v>4</v>
      </c>
      <c r="I168" s="1">
        <f>IFERROR(__xludf.DUMMYFUNCTION("""COMPUTED_VALUE"""),1500000.0)</f>
        <v>1500000</v>
      </c>
      <c r="J168" s="1">
        <f>IFERROR(__xludf.DUMMYFUNCTION("""COMPUTED_VALUE"""),4.0)</f>
        <v>4</v>
      </c>
      <c r="K168" s="1">
        <f>IFERROR(__xludf.DUMMYFUNCTION("""COMPUTED_VALUE"""),1750000.0)</f>
        <v>1750000</v>
      </c>
      <c r="L168" s="1">
        <f>IFERROR(__xludf.DUMMYFUNCTION("""COMPUTED_VALUE"""),1.0)</f>
        <v>1</v>
      </c>
      <c r="M168" s="1">
        <f>IFERROR(__xludf.DUMMYFUNCTION("""COMPUTED_VALUE"""),1750000.0)</f>
        <v>1750000</v>
      </c>
      <c r="N168" s="1">
        <f>IFERROR(__xludf.DUMMYFUNCTION("""COMPUTED_VALUE"""),5.0)</f>
        <v>5</v>
      </c>
      <c r="O168" s="1">
        <f>IFERROR(__xludf.DUMMYFUNCTION("""COMPUTED_VALUE"""),1.0)</f>
        <v>1</v>
      </c>
      <c r="P168" s="1">
        <f>IFERROR(__xludf.DUMMYFUNCTION("""COMPUTED_VALUE"""),1600000.0)</f>
        <v>1600000</v>
      </c>
      <c r="Q168" s="1">
        <f>IFERROR(__xludf.DUMMYFUNCTION("""COMPUTED_VALUE"""),1.0)</f>
        <v>1</v>
      </c>
      <c r="R168" s="1">
        <f>IFERROR(__xludf.DUMMYFUNCTION("""COMPUTED_VALUE"""),1389100.25)</f>
        <v>1389100.25</v>
      </c>
      <c r="S168" s="1"/>
      <c r="T168" s="1"/>
      <c r="U168" s="1">
        <f>IFERROR(__xludf.DUMMYFUNCTION("""COMPUTED_VALUE"""),0.0)</f>
        <v>0</v>
      </c>
      <c r="V168" s="1"/>
      <c r="W168" s="1"/>
      <c r="X168" s="1">
        <f>IFERROR(__xludf.DUMMYFUNCTION("""COMPUTED_VALUE"""),0.0)</f>
        <v>0</v>
      </c>
      <c r="Y168" s="1">
        <f>IFERROR(__xludf.DUMMYFUNCTION("""COMPUTED_VALUE"""),1750000.0)</f>
        <v>1750000</v>
      </c>
      <c r="Z168" s="1">
        <f>IFERROR(__xludf.DUMMYFUNCTION("""COMPUTED_VALUE"""),3.0)</f>
        <v>3</v>
      </c>
      <c r="AA168" s="1">
        <f>IFERROR(__xludf.DUMMYFUNCTION("""COMPUTED_VALUE"""),1750000.0)</f>
        <v>1750000</v>
      </c>
      <c r="AB168" s="1">
        <f>IFERROR(__xludf.DUMMYFUNCTION("""COMPUTED_VALUE"""),9.0)</f>
        <v>9</v>
      </c>
      <c r="AC168" s="1"/>
      <c r="AD168" s="1"/>
      <c r="AE168" s="1">
        <f>IFERROR(__xludf.DUMMYFUNCTION("""COMPUTED_VALUE"""),0.0)</f>
        <v>0</v>
      </c>
      <c r="AF168" s="1">
        <f>IFERROR(__xludf.DUMMYFUNCTION("""COMPUTED_VALUE"""),1389100.25)</f>
        <v>1389100.25</v>
      </c>
      <c r="AG168" s="1"/>
      <c r="AH168" s="1"/>
      <c r="AI168" s="1">
        <f>IFERROR(__xludf.DUMMYFUNCTION("""COMPUTED_VALUE"""),0.0)</f>
        <v>0</v>
      </c>
      <c r="AJ168" s="1"/>
      <c r="AK168" s="1"/>
      <c r="AL168" s="1">
        <f>IFERROR(__xludf.DUMMYFUNCTION("""COMPUTED_VALUE"""),0.0)</f>
        <v>0</v>
      </c>
      <c r="AM168" s="1">
        <f>IFERROR(__xludf.DUMMYFUNCTION("""COMPUTED_VALUE"""),1750000.0)</f>
        <v>1750000</v>
      </c>
      <c r="AN168" s="1">
        <f>IFERROR(__xludf.DUMMYFUNCTION("""COMPUTED_VALUE"""),1.0)</f>
        <v>1</v>
      </c>
      <c r="AO168" s="1">
        <f>IFERROR(__xludf.DUMMYFUNCTION("""COMPUTED_VALUE"""),1750000.0)</f>
        <v>1750000</v>
      </c>
      <c r="AP168" s="1">
        <f>IFERROR(__xludf.DUMMYFUNCTION("""COMPUTED_VALUE"""),7.0)</f>
        <v>7</v>
      </c>
      <c r="AQ168" s="1">
        <f>IFERROR(__xludf.DUMMYFUNCTION("""COMPUTED_VALUE"""),1.0)</f>
        <v>1</v>
      </c>
      <c r="AR168" s="1">
        <f>IFERROR(__xludf.DUMMYFUNCTION("""COMPUTED_VALUE"""),1.0)</f>
        <v>1</v>
      </c>
      <c r="AS168" s="1">
        <f>IFERROR(__xludf.DUMMYFUNCTION("""COMPUTED_VALUE"""),1.0)</f>
        <v>1</v>
      </c>
    </row>
    <row r="169">
      <c r="A169" s="1" t="str">
        <f>IFERROR(__xludf.DUMMYFUNCTION("""COMPUTED_VALUE"""),"I")</f>
        <v>I</v>
      </c>
      <c r="B169" s="1"/>
      <c r="C169" s="1"/>
      <c r="D169" s="1">
        <f>IFERROR(__xludf.DUMMYFUNCTION("""COMPUTED_VALUE"""),1450.0)</f>
        <v>1450</v>
      </c>
      <c r="E169" s="1">
        <f>IFERROR(__xludf.DUMMYFUNCTION("""COMPUTED_VALUE"""),608.0)</f>
        <v>608</v>
      </c>
      <c r="F169" s="1">
        <f>IFERROR(__xludf.DUMMYFUNCTION("""COMPUTED_VALUE"""),1300.0)</f>
        <v>1300</v>
      </c>
      <c r="G169" s="1">
        <f>IFERROR(__xludf.DUMMYFUNCTION("""COMPUTED_VALUE"""),7522.0)</f>
        <v>7522</v>
      </c>
      <c r="H169" s="1">
        <f>IFERROR(__xludf.DUMMYFUNCTION("""COMPUTED_VALUE"""),204.0)</f>
        <v>204</v>
      </c>
      <c r="I169" s="1">
        <f>IFERROR(__xludf.DUMMYFUNCTION("""COMPUTED_VALUE"""),750.0)</f>
        <v>750</v>
      </c>
      <c r="J169" s="1">
        <f>IFERROR(__xludf.DUMMYFUNCTION("""COMPUTED_VALUE"""),204.0)</f>
        <v>204</v>
      </c>
      <c r="K169" s="1">
        <f>IFERROR(__xludf.DUMMYFUNCTION("""COMPUTED_VALUE"""),1000.0)</f>
        <v>1000</v>
      </c>
      <c r="L169" s="1">
        <f>IFERROR(__xludf.DUMMYFUNCTION("""COMPUTED_VALUE"""),80.0)</f>
        <v>80</v>
      </c>
      <c r="M169" s="1">
        <f>IFERROR(__xludf.DUMMYFUNCTION("""COMPUTED_VALUE"""),850.0)</f>
        <v>850</v>
      </c>
      <c r="N169" s="1">
        <f>IFERROR(__xludf.DUMMYFUNCTION("""COMPUTED_VALUE"""),2353.0)</f>
        <v>2353</v>
      </c>
      <c r="O169" s="1">
        <f>IFERROR(__xludf.DUMMYFUNCTION("""COMPUTED_VALUE"""),217.0)</f>
        <v>217</v>
      </c>
      <c r="P169" s="1">
        <f>IFERROR(__xludf.DUMMYFUNCTION("""COMPUTED_VALUE"""),511.0)</f>
        <v>511</v>
      </c>
      <c r="Q169" s="1">
        <f>IFERROR(__xludf.DUMMYFUNCTION("""COMPUTED_VALUE"""),3577.0)</f>
        <v>3577</v>
      </c>
      <c r="R169" s="1">
        <f>IFERROR(__xludf.DUMMYFUNCTION("""COMPUTED_VALUE"""),1500.0)</f>
        <v>1500</v>
      </c>
      <c r="S169" s="1"/>
      <c r="T169" s="1"/>
      <c r="U169" s="1">
        <f>IFERROR(__xludf.DUMMYFUNCTION("""COMPUTED_VALUE"""),0.0)</f>
        <v>0</v>
      </c>
      <c r="V169" s="1"/>
      <c r="W169" s="1"/>
      <c r="X169" s="1">
        <f>IFERROR(__xludf.DUMMYFUNCTION("""COMPUTED_VALUE"""),0.0)</f>
        <v>0</v>
      </c>
      <c r="Y169" s="1">
        <f>IFERROR(__xludf.DUMMYFUNCTION("""COMPUTED_VALUE"""),1180.0)</f>
        <v>1180</v>
      </c>
      <c r="Z169" s="1">
        <f>IFERROR(__xludf.DUMMYFUNCTION("""COMPUTED_VALUE"""),60.0)</f>
        <v>60</v>
      </c>
      <c r="AA169" s="1">
        <f>IFERROR(__xludf.DUMMYFUNCTION("""COMPUTED_VALUE"""),1170.0)</f>
        <v>1170</v>
      </c>
      <c r="AB169" s="1">
        <f>IFERROR(__xludf.DUMMYFUNCTION("""COMPUTED_VALUE"""),7136.0)</f>
        <v>7136</v>
      </c>
      <c r="AC169" s="1">
        <f>IFERROR(__xludf.DUMMYFUNCTION("""COMPUTED_VALUE"""),919.0)</f>
        <v>919</v>
      </c>
      <c r="AD169" s="1">
        <f>IFERROR(__xludf.DUMMYFUNCTION("""COMPUTED_VALUE"""),920.0)</f>
        <v>920</v>
      </c>
      <c r="AE169" s="1">
        <f>IFERROR(__xludf.DUMMYFUNCTION("""COMPUTED_VALUE"""),3180.0)</f>
        <v>3180</v>
      </c>
      <c r="AF169" s="1">
        <f>IFERROR(__xludf.DUMMYFUNCTION("""COMPUTED_VALUE"""),300.0)</f>
        <v>300</v>
      </c>
      <c r="AG169" s="1">
        <f>IFERROR(__xludf.DUMMYFUNCTION("""COMPUTED_VALUE"""),20.0)</f>
        <v>20</v>
      </c>
      <c r="AH169" s="1">
        <f>IFERROR(__xludf.DUMMYFUNCTION("""COMPUTED_VALUE"""),1110.0)</f>
        <v>1110</v>
      </c>
      <c r="AI169" s="1">
        <f>IFERROR(__xludf.DUMMYFUNCTION("""COMPUTED_VALUE"""),20.0)</f>
        <v>20</v>
      </c>
      <c r="AJ169" s="1"/>
      <c r="AK169" s="1"/>
      <c r="AL169" s="1">
        <f>IFERROR(__xludf.DUMMYFUNCTION("""COMPUTED_VALUE"""),0.0)</f>
        <v>0</v>
      </c>
      <c r="AM169" s="1">
        <f>IFERROR(__xludf.DUMMYFUNCTION("""COMPUTED_VALUE"""),750.0)</f>
        <v>750</v>
      </c>
      <c r="AN169" s="1">
        <f>IFERROR(__xludf.DUMMYFUNCTION("""COMPUTED_VALUE"""),55.0)</f>
        <v>55</v>
      </c>
      <c r="AO169" s="1">
        <f>IFERROR(__xludf.DUMMYFUNCTION("""COMPUTED_VALUE"""),750.0)</f>
        <v>750</v>
      </c>
      <c r="AP169" s="1">
        <f>IFERROR(__xludf.DUMMYFUNCTION("""COMPUTED_VALUE"""),3774.0)</f>
        <v>3774</v>
      </c>
      <c r="AQ169" s="1">
        <f>IFERROR(__xludf.DUMMYFUNCTION("""COMPUTED_VALUE"""),200.0)</f>
        <v>200</v>
      </c>
      <c r="AR169" s="1">
        <f>IFERROR(__xludf.DUMMYFUNCTION("""COMPUTED_VALUE"""),500.0)</f>
        <v>500</v>
      </c>
      <c r="AS169" s="1">
        <f>IFERROR(__xludf.DUMMYFUNCTION("""COMPUTED_VALUE"""),1954.0)</f>
        <v>1954</v>
      </c>
    </row>
    <row r="170">
      <c r="A170" s="1" t="str">
        <f>IFERROR(__xludf.DUMMYFUNCTION("""COMPUTED_VALUE"""),"IDC")</f>
        <v>IDC</v>
      </c>
      <c r="B170" s="1">
        <f>IFERROR(__xludf.DUMMYFUNCTION("""COMPUTED_VALUE"""),11000.0)</f>
        <v>11000</v>
      </c>
      <c r="C170" s="1"/>
      <c r="D170" s="1">
        <f>IFERROR(__xludf.DUMMYFUNCTION("""COMPUTED_VALUE"""),11100.0)</f>
        <v>11100</v>
      </c>
      <c r="E170" s="1">
        <f>IFERROR(__xludf.DUMMYFUNCTION("""COMPUTED_VALUE"""),340.0)</f>
        <v>340</v>
      </c>
      <c r="F170" s="1">
        <f>IFERROR(__xludf.DUMMYFUNCTION("""COMPUTED_VALUE"""),11900.0)</f>
        <v>11900</v>
      </c>
      <c r="G170" s="1">
        <f>IFERROR(__xludf.DUMMYFUNCTION("""COMPUTED_VALUE"""),379.0)</f>
        <v>379</v>
      </c>
      <c r="H170" s="1">
        <f>IFERROR(__xludf.DUMMYFUNCTION("""COMPUTED_VALUE"""),1018.0)</f>
        <v>1018</v>
      </c>
      <c r="I170" s="1">
        <f>IFERROR(__xludf.DUMMYFUNCTION("""COMPUTED_VALUE"""),11100.0)</f>
        <v>11100</v>
      </c>
      <c r="J170" s="1">
        <f>IFERROR(__xludf.DUMMYFUNCTION("""COMPUTED_VALUE"""),1118.0)</f>
        <v>1118</v>
      </c>
      <c r="K170" s="1">
        <f>IFERROR(__xludf.DUMMYFUNCTION("""COMPUTED_VALUE"""),11000.0)</f>
        <v>11000</v>
      </c>
      <c r="L170" s="1">
        <f>IFERROR(__xludf.DUMMYFUNCTION("""COMPUTED_VALUE"""),27.0)</f>
        <v>27</v>
      </c>
      <c r="M170" s="1">
        <f>IFERROR(__xludf.DUMMYFUNCTION("""COMPUTED_VALUE"""),15400.0)</f>
        <v>15400</v>
      </c>
      <c r="N170" s="1">
        <f>IFERROR(__xludf.DUMMYFUNCTION("""COMPUTED_VALUE"""),27.0)</f>
        <v>27</v>
      </c>
      <c r="O170" s="1">
        <f>IFERROR(__xludf.DUMMYFUNCTION("""COMPUTED_VALUE"""),100.0)</f>
        <v>100</v>
      </c>
      <c r="P170" s="1">
        <f>IFERROR(__xludf.DUMMYFUNCTION("""COMPUTED_VALUE"""),11000.0)</f>
        <v>11000</v>
      </c>
      <c r="Q170" s="1">
        <f>IFERROR(__xludf.DUMMYFUNCTION("""COMPUTED_VALUE"""),100.0)</f>
        <v>100</v>
      </c>
      <c r="R170" s="1">
        <f>IFERROR(__xludf.DUMMYFUNCTION("""COMPUTED_VALUE"""),10313.0595703125)</f>
        <v>10313.05957</v>
      </c>
      <c r="S170" s="1"/>
      <c r="T170" s="1"/>
      <c r="U170" s="1">
        <f>IFERROR(__xludf.DUMMYFUNCTION("""COMPUTED_VALUE"""),0.0)</f>
        <v>0</v>
      </c>
      <c r="V170" s="1"/>
      <c r="W170" s="1"/>
      <c r="X170" s="1">
        <f>IFERROR(__xludf.DUMMYFUNCTION("""COMPUTED_VALUE"""),0.0)</f>
        <v>0</v>
      </c>
      <c r="Y170" s="1">
        <f>IFERROR(__xludf.DUMMYFUNCTION("""COMPUTED_VALUE"""),11000.0)</f>
        <v>11000</v>
      </c>
      <c r="Z170" s="1">
        <f>IFERROR(__xludf.DUMMYFUNCTION("""COMPUTED_VALUE"""),239.0)</f>
        <v>239</v>
      </c>
      <c r="AA170" s="1">
        <f>IFERROR(__xludf.DUMMYFUNCTION("""COMPUTED_VALUE"""),12000.0)</f>
        <v>12000</v>
      </c>
      <c r="AB170" s="1">
        <f>IFERROR(__xludf.DUMMYFUNCTION("""COMPUTED_VALUE"""),657.0)</f>
        <v>657</v>
      </c>
      <c r="AC170" s="1">
        <f>IFERROR(__xludf.DUMMYFUNCTION("""COMPUTED_VALUE"""),100.0)</f>
        <v>100</v>
      </c>
      <c r="AD170" s="1">
        <f>IFERROR(__xludf.DUMMYFUNCTION("""COMPUTED_VALUE"""),11000.0)</f>
        <v>11000</v>
      </c>
      <c r="AE170" s="1">
        <f>IFERROR(__xludf.DUMMYFUNCTION("""COMPUTED_VALUE"""),100.0)</f>
        <v>100</v>
      </c>
      <c r="AF170" s="1">
        <f>IFERROR(__xludf.DUMMYFUNCTION("""COMPUTED_VALUE"""),10313.0595703125)</f>
        <v>10313.05957</v>
      </c>
      <c r="AG170" s="1">
        <f>IFERROR(__xludf.DUMMYFUNCTION("""COMPUTED_VALUE"""),10.0)</f>
        <v>10</v>
      </c>
      <c r="AH170" s="1">
        <f>IFERROR(__xludf.DUMMYFUNCTION("""COMPUTED_VALUE"""),15400.0)</f>
        <v>15400</v>
      </c>
      <c r="AI170" s="1">
        <f>IFERROR(__xludf.DUMMYFUNCTION("""COMPUTED_VALUE"""),10.0)</f>
        <v>10</v>
      </c>
      <c r="AJ170" s="1"/>
      <c r="AK170" s="1"/>
      <c r="AL170" s="1">
        <f>IFERROR(__xludf.DUMMYFUNCTION("""COMPUTED_VALUE"""),0.0)</f>
        <v>0</v>
      </c>
      <c r="AM170" s="1">
        <f>IFERROR(__xludf.DUMMYFUNCTION("""COMPUTED_VALUE"""),11100.0)</f>
        <v>11100</v>
      </c>
      <c r="AN170" s="1">
        <f>IFERROR(__xludf.DUMMYFUNCTION("""COMPUTED_VALUE"""),12.0)</f>
        <v>12</v>
      </c>
      <c r="AO170" s="1">
        <f>IFERROR(__xludf.DUMMYFUNCTION("""COMPUTED_VALUE"""),11400.0)</f>
        <v>11400</v>
      </c>
      <c r="AP170" s="1">
        <f>IFERROR(__xludf.DUMMYFUNCTION("""COMPUTED_VALUE"""),12.0)</f>
        <v>12</v>
      </c>
      <c r="AQ170" s="1">
        <f>IFERROR(__xludf.DUMMYFUNCTION("""COMPUTED_VALUE"""),1435.0)</f>
        <v>1435</v>
      </c>
      <c r="AR170" s="1">
        <f>IFERROR(__xludf.DUMMYFUNCTION("""COMPUTED_VALUE"""),11100.0)</f>
        <v>11100</v>
      </c>
      <c r="AS170" s="1">
        <f>IFERROR(__xludf.DUMMYFUNCTION("""COMPUTED_VALUE"""),1535.0)</f>
        <v>1535</v>
      </c>
    </row>
    <row r="171">
      <c r="A171" s="1" t="str">
        <f>IFERROR(__xludf.DUMMYFUNCTION("""COMPUTED_VALUE"""),"IMM")</f>
        <v>IMM</v>
      </c>
      <c r="B171" s="1"/>
      <c r="C171" s="1"/>
      <c r="D171" s="1">
        <f>IFERROR(__xludf.DUMMYFUNCTION("""COMPUTED_VALUE"""),110000.0)</f>
        <v>110000</v>
      </c>
      <c r="E171" s="1">
        <f>IFERROR(__xludf.DUMMYFUNCTION("""COMPUTED_VALUE"""),3.0)</f>
        <v>3</v>
      </c>
      <c r="F171" s="1">
        <f>IFERROR(__xludf.DUMMYFUNCTION("""COMPUTED_VALUE"""),110000.0)</f>
        <v>110000</v>
      </c>
      <c r="G171" s="1">
        <f>IFERROR(__xludf.DUMMYFUNCTION("""COMPUTED_VALUE"""),12.0)</f>
        <v>12</v>
      </c>
      <c r="H171" s="1">
        <f>IFERROR(__xludf.DUMMYFUNCTION("""COMPUTED_VALUE"""),10.0)</f>
        <v>10</v>
      </c>
      <c r="I171" s="1">
        <f>IFERROR(__xludf.DUMMYFUNCTION("""COMPUTED_VALUE"""),90000.0)</f>
        <v>90000</v>
      </c>
      <c r="J171" s="1">
        <f>IFERROR(__xludf.DUMMYFUNCTION("""COMPUTED_VALUE"""),10.0)</f>
        <v>10</v>
      </c>
      <c r="K171" s="1">
        <f>IFERROR(__xludf.DUMMYFUNCTION("""COMPUTED_VALUE"""),110000.0)</f>
        <v>110000</v>
      </c>
      <c r="L171" s="1">
        <f>IFERROR(__xludf.DUMMYFUNCTION("""COMPUTED_VALUE"""),41.0)</f>
        <v>41</v>
      </c>
      <c r="M171" s="1">
        <f>IFERROR(__xludf.DUMMYFUNCTION("""COMPUTED_VALUE"""),110000.0)</f>
        <v>110000</v>
      </c>
      <c r="N171" s="1">
        <f>IFERROR(__xludf.DUMMYFUNCTION("""COMPUTED_VALUE"""),41.0)</f>
        <v>41</v>
      </c>
      <c r="O171" s="1">
        <f>IFERROR(__xludf.DUMMYFUNCTION("""COMPUTED_VALUE"""),10.0)</f>
        <v>10</v>
      </c>
      <c r="P171" s="1">
        <f>IFERROR(__xludf.DUMMYFUNCTION("""COMPUTED_VALUE"""),90000.0)</f>
        <v>90000</v>
      </c>
      <c r="Q171" s="1">
        <f>IFERROR(__xludf.DUMMYFUNCTION("""COMPUTED_VALUE"""),10.0)</f>
        <v>10</v>
      </c>
      <c r="R171" s="1">
        <f>IFERROR(__xludf.DUMMYFUNCTION("""COMPUTED_VALUE"""),68180.15625)</f>
        <v>68180.15625</v>
      </c>
      <c r="S171" s="1"/>
      <c r="T171" s="1"/>
      <c r="U171" s="1">
        <f>IFERROR(__xludf.DUMMYFUNCTION("""COMPUTED_VALUE"""),0.0)</f>
        <v>0</v>
      </c>
      <c r="V171" s="1"/>
      <c r="W171" s="1"/>
      <c r="X171" s="1">
        <f>IFERROR(__xludf.DUMMYFUNCTION("""COMPUTED_VALUE"""),0.0)</f>
        <v>0</v>
      </c>
      <c r="Y171" s="1">
        <f>IFERROR(__xludf.DUMMYFUNCTION("""COMPUTED_VALUE"""),90000.0)</f>
        <v>90000</v>
      </c>
      <c r="Z171" s="1">
        <f>IFERROR(__xludf.DUMMYFUNCTION("""COMPUTED_VALUE"""),13.0)</f>
        <v>13</v>
      </c>
      <c r="AA171" s="1">
        <f>IFERROR(__xludf.DUMMYFUNCTION("""COMPUTED_VALUE"""),99000.0)</f>
        <v>99000</v>
      </c>
      <c r="AB171" s="1">
        <f>IFERROR(__xludf.DUMMYFUNCTION("""COMPUTED_VALUE"""),25.0)</f>
        <v>25</v>
      </c>
      <c r="AC171" s="1">
        <f>IFERROR(__xludf.DUMMYFUNCTION("""COMPUTED_VALUE"""),5.0)</f>
        <v>5</v>
      </c>
      <c r="AD171" s="1">
        <f>IFERROR(__xludf.DUMMYFUNCTION("""COMPUTED_VALUE"""),70000.0)</f>
        <v>70000</v>
      </c>
      <c r="AE171" s="1">
        <f>IFERROR(__xludf.DUMMYFUNCTION("""COMPUTED_VALUE"""),5.0)</f>
        <v>5</v>
      </c>
      <c r="AF171" s="1">
        <f>IFERROR(__xludf.DUMMYFUNCTION("""COMPUTED_VALUE"""),68180.15625)</f>
        <v>68180.15625</v>
      </c>
      <c r="AG171" s="1"/>
      <c r="AH171" s="1"/>
      <c r="AI171" s="1">
        <f>IFERROR(__xludf.DUMMYFUNCTION("""COMPUTED_VALUE"""),0.0)</f>
        <v>0</v>
      </c>
      <c r="AJ171" s="1"/>
      <c r="AK171" s="1"/>
      <c r="AL171" s="1">
        <f>IFERROR(__xludf.DUMMYFUNCTION("""COMPUTED_VALUE"""),0.0)</f>
        <v>0</v>
      </c>
      <c r="AM171" s="1">
        <f>IFERROR(__xludf.DUMMYFUNCTION("""COMPUTED_VALUE"""),68180.15625)</f>
        <v>68180.15625</v>
      </c>
      <c r="AN171" s="1"/>
      <c r="AO171" s="1"/>
      <c r="AP171" s="1">
        <f>IFERROR(__xludf.DUMMYFUNCTION("""COMPUTED_VALUE"""),0.0)</f>
        <v>0</v>
      </c>
      <c r="AQ171" s="1">
        <f>IFERROR(__xludf.DUMMYFUNCTION("""COMPUTED_VALUE"""),10.0)</f>
        <v>10</v>
      </c>
      <c r="AR171" s="1">
        <f>IFERROR(__xludf.DUMMYFUNCTION("""COMPUTED_VALUE"""),90000.0)</f>
        <v>90000</v>
      </c>
      <c r="AS171" s="1">
        <f>IFERROR(__xludf.DUMMYFUNCTION("""COMPUTED_VALUE"""),10.0)</f>
        <v>10</v>
      </c>
    </row>
    <row r="172">
      <c r="A172" s="1" t="str">
        <f>IFERROR(__xludf.DUMMYFUNCTION("""COMPUTED_VALUE"""),"IND")</f>
        <v>IND</v>
      </c>
      <c r="B172" s="1"/>
      <c r="C172" s="1"/>
      <c r="D172" s="1">
        <f>IFERROR(__xludf.DUMMYFUNCTION("""COMPUTED_VALUE"""),5474.2900390625)</f>
        <v>5474.290039</v>
      </c>
      <c r="E172" s="1">
        <f>IFERROR(__xludf.DUMMYFUNCTION("""COMPUTED_VALUE"""),35.0)</f>
        <v>35</v>
      </c>
      <c r="F172" s="1">
        <f>IFERROR(__xludf.DUMMYFUNCTION("""COMPUTED_VALUE"""),5500.0)</f>
        <v>5500</v>
      </c>
      <c r="G172" s="1">
        <f>IFERROR(__xludf.DUMMYFUNCTION("""COMPUTED_VALUE"""),470.0)</f>
        <v>470</v>
      </c>
      <c r="H172" s="1">
        <f>IFERROR(__xludf.DUMMYFUNCTION("""COMPUTED_VALUE"""),58.0)</f>
        <v>58</v>
      </c>
      <c r="I172" s="1">
        <f>IFERROR(__xludf.DUMMYFUNCTION("""COMPUTED_VALUE"""),4200.0)</f>
        <v>4200</v>
      </c>
      <c r="J172" s="1">
        <f>IFERROR(__xludf.DUMMYFUNCTION("""COMPUTED_VALUE"""),707.0)</f>
        <v>707</v>
      </c>
      <c r="K172" s="1">
        <f>IFERROR(__xludf.DUMMYFUNCTION("""COMPUTED_VALUE"""),5900.0)</f>
        <v>5900</v>
      </c>
      <c r="L172" s="1">
        <f>IFERROR(__xludf.DUMMYFUNCTION("""COMPUTED_VALUE"""),18.0)</f>
        <v>18</v>
      </c>
      <c r="M172" s="1">
        <f>IFERROR(__xludf.DUMMYFUNCTION("""COMPUTED_VALUE"""),5900.0)</f>
        <v>5900</v>
      </c>
      <c r="N172" s="1">
        <f>IFERROR(__xludf.DUMMYFUNCTION("""COMPUTED_VALUE"""),18.0)</f>
        <v>18</v>
      </c>
      <c r="O172" s="1">
        <f>IFERROR(__xludf.DUMMYFUNCTION("""COMPUTED_VALUE"""),200.0)</f>
        <v>200</v>
      </c>
      <c r="P172" s="1">
        <f>IFERROR(__xludf.DUMMYFUNCTION("""COMPUTED_VALUE"""),3220.0)</f>
        <v>3220</v>
      </c>
      <c r="Q172" s="1">
        <f>IFERROR(__xludf.DUMMYFUNCTION("""COMPUTED_VALUE"""),229.0)</f>
        <v>229</v>
      </c>
      <c r="R172" s="1">
        <f>IFERROR(__xludf.DUMMYFUNCTION("""COMPUTED_VALUE"""),1977.28002929687)</f>
        <v>1977.280029</v>
      </c>
      <c r="S172" s="1"/>
      <c r="T172" s="1"/>
      <c r="U172" s="1">
        <f>IFERROR(__xludf.DUMMYFUNCTION("""COMPUTED_VALUE"""),0.0)</f>
        <v>0</v>
      </c>
      <c r="V172" s="1"/>
      <c r="W172" s="1"/>
      <c r="X172" s="1">
        <f>IFERROR(__xludf.DUMMYFUNCTION("""COMPUTED_VALUE"""),0.0)</f>
        <v>0</v>
      </c>
      <c r="Y172" s="1">
        <f>IFERROR(__xludf.DUMMYFUNCTION("""COMPUTED_VALUE"""),3400.0)</f>
        <v>3400</v>
      </c>
      <c r="Z172" s="1">
        <f>IFERROR(__xludf.DUMMYFUNCTION("""COMPUTED_VALUE"""),110.0)</f>
        <v>110</v>
      </c>
      <c r="AA172" s="1">
        <f>IFERROR(__xludf.DUMMYFUNCTION("""COMPUTED_VALUE"""),4100.0)</f>
        <v>4100</v>
      </c>
      <c r="AB172" s="1">
        <f>IFERROR(__xludf.DUMMYFUNCTION("""COMPUTED_VALUE"""),2478.0)</f>
        <v>2478</v>
      </c>
      <c r="AC172" s="1">
        <f>IFERROR(__xludf.DUMMYFUNCTION("""COMPUTED_VALUE"""),2.0)</f>
        <v>2</v>
      </c>
      <c r="AD172" s="1">
        <f>IFERROR(__xludf.DUMMYFUNCTION("""COMPUTED_VALUE"""),3400.0)</f>
        <v>3400</v>
      </c>
      <c r="AE172" s="1">
        <f>IFERROR(__xludf.DUMMYFUNCTION("""COMPUTED_VALUE"""),1946.0)</f>
        <v>1946</v>
      </c>
      <c r="AF172" s="1">
        <f>IFERROR(__xludf.DUMMYFUNCTION("""COMPUTED_VALUE"""),1977.28002929687)</f>
        <v>1977.280029</v>
      </c>
      <c r="AG172" s="1"/>
      <c r="AH172" s="1"/>
      <c r="AI172" s="1">
        <f>IFERROR(__xludf.DUMMYFUNCTION("""COMPUTED_VALUE"""),0.0)</f>
        <v>0</v>
      </c>
      <c r="AJ172" s="1"/>
      <c r="AK172" s="1"/>
      <c r="AL172" s="1">
        <f>IFERROR(__xludf.DUMMYFUNCTION("""COMPUTED_VALUE"""),0.0)</f>
        <v>0</v>
      </c>
      <c r="AM172" s="1">
        <f>IFERROR(__xludf.DUMMYFUNCTION("""COMPUTED_VALUE"""),4470.0)</f>
        <v>4470</v>
      </c>
      <c r="AN172" s="1">
        <f>IFERROR(__xludf.DUMMYFUNCTION("""COMPUTED_VALUE"""),66.0)</f>
        <v>66</v>
      </c>
      <c r="AO172" s="1">
        <f>IFERROR(__xludf.DUMMYFUNCTION("""COMPUTED_VALUE"""),4470.0)</f>
        <v>4470</v>
      </c>
      <c r="AP172" s="1">
        <f>IFERROR(__xludf.DUMMYFUNCTION("""COMPUTED_VALUE"""),590.0)</f>
        <v>590</v>
      </c>
      <c r="AQ172" s="1">
        <f>IFERROR(__xludf.DUMMYFUNCTION("""COMPUTED_VALUE"""),200.0)</f>
        <v>200</v>
      </c>
      <c r="AR172" s="1">
        <f>IFERROR(__xludf.DUMMYFUNCTION("""COMPUTED_VALUE"""),2310.0)</f>
        <v>2310</v>
      </c>
      <c r="AS172" s="1">
        <f>IFERROR(__xludf.DUMMYFUNCTION("""COMPUTED_VALUE"""),1090.0)</f>
        <v>1090</v>
      </c>
    </row>
    <row r="173">
      <c r="A173" s="1" t="str">
        <f>IFERROR(__xludf.DUMMYFUNCTION("""COMPUTED_VALUE"""),"INS")</f>
        <v>INS</v>
      </c>
      <c r="B173" s="1"/>
      <c r="C173" s="1"/>
      <c r="D173" s="1">
        <f>IFERROR(__xludf.DUMMYFUNCTION("""COMPUTED_VALUE"""),155.0)</f>
        <v>155</v>
      </c>
      <c r="E173" s="1">
        <f>IFERROR(__xludf.DUMMYFUNCTION("""COMPUTED_VALUE"""),2554.0)</f>
        <v>2554</v>
      </c>
      <c r="F173" s="1">
        <f>IFERROR(__xludf.DUMMYFUNCTION("""COMPUTED_VALUE"""),155.0)</f>
        <v>155</v>
      </c>
      <c r="G173" s="1">
        <f>IFERROR(__xludf.DUMMYFUNCTION("""COMPUTED_VALUE"""),474343.0)</f>
        <v>474343</v>
      </c>
      <c r="H173" s="1">
        <f>IFERROR(__xludf.DUMMYFUNCTION("""COMPUTED_VALUE"""),200.0)</f>
        <v>200</v>
      </c>
      <c r="I173" s="1">
        <f>IFERROR(__xludf.DUMMYFUNCTION("""COMPUTED_VALUE"""),141.0)</f>
        <v>141</v>
      </c>
      <c r="J173" s="1">
        <f>IFERROR(__xludf.DUMMYFUNCTION("""COMPUTED_VALUE"""),223758.0)</f>
        <v>223758</v>
      </c>
      <c r="K173" s="1">
        <f>IFERROR(__xludf.DUMMYFUNCTION("""COMPUTED_VALUE"""),159.0)</f>
        <v>159</v>
      </c>
      <c r="L173" s="1">
        <f>IFERROR(__xludf.DUMMYFUNCTION("""COMPUTED_VALUE"""),6498.0)</f>
        <v>6498</v>
      </c>
      <c r="M173" s="1">
        <f>IFERROR(__xludf.DUMMYFUNCTION("""COMPUTED_VALUE"""),159.0)</f>
        <v>159</v>
      </c>
      <c r="N173" s="1">
        <f>IFERROR(__xludf.DUMMYFUNCTION("""COMPUTED_VALUE"""),128259.0)</f>
        <v>128259</v>
      </c>
      <c r="O173" s="1">
        <f>IFERROR(__xludf.DUMMYFUNCTION("""COMPUTED_VALUE"""),60.0)</f>
        <v>60</v>
      </c>
      <c r="P173" s="1">
        <f>IFERROR(__xludf.DUMMYFUNCTION("""COMPUTED_VALUE"""),149.0)</f>
        <v>149</v>
      </c>
      <c r="Q173" s="1">
        <f>IFERROR(__xludf.DUMMYFUNCTION("""COMPUTED_VALUE"""),159986.0)</f>
        <v>159986</v>
      </c>
      <c r="R173" s="1">
        <f>IFERROR(__xludf.DUMMYFUNCTION("""COMPUTED_VALUE"""),155.0)</f>
        <v>155</v>
      </c>
      <c r="S173" s="1">
        <f>IFERROR(__xludf.DUMMYFUNCTION("""COMPUTED_VALUE"""),3600.0)</f>
        <v>3600</v>
      </c>
      <c r="T173" s="1">
        <f>IFERROR(__xludf.DUMMYFUNCTION("""COMPUTED_VALUE"""),155.0)</f>
        <v>155</v>
      </c>
      <c r="U173" s="1">
        <f>IFERROR(__xludf.DUMMYFUNCTION("""COMPUTED_VALUE"""),30437.0)</f>
        <v>30437</v>
      </c>
      <c r="V173" s="1"/>
      <c r="W173" s="1"/>
      <c r="X173" s="1">
        <f>IFERROR(__xludf.DUMMYFUNCTION("""COMPUTED_VALUE"""),0.0)</f>
        <v>0</v>
      </c>
      <c r="Y173" s="1">
        <f>IFERROR(__xludf.DUMMYFUNCTION("""COMPUTED_VALUE"""),163.720001220703)</f>
        <v>163.7200012</v>
      </c>
      <c r="Z173" s="1">
        <f>IFERROR(__xludf.DUMMYFUNCTION("""COMPUTED_VALUE"""),4980.0)</f>
        <v>4980</v>
      </c>
      <c r="AA173" s="1">
        <f>IFERROR(__xludf.DUMMYFUNCTION("""COMPUTED_VALUE"""),164.0)</f>
        <v>164</v>
      </c>
      <c r="AB173" s="1">
        <f>IFERROR(__xludf.DUMMYFUNCTION("""COMPUTED_VALUE"""),224676.0)</f>
        <v>224676</v>
      </c>
      <c r="AC173" s="1">
        <f>IFERROR(__xludf.DUMMYFUNCTION("""COMPUTED_VALUE"""),19068.0)</f>
        <v>19068</v>
      </c>
      <c r="AD173" s="1">
        <f>IFERROR(__xludf.DUMMYFUNCTION("""COMPUTED_VALUE"""),141.0)</f>
        <v>141</v>
      </c>
      <c r="AE173" s="1">
        <f>IFERROR(__xludf.DUMMYFUNCTION("""COMPUTED_VALUE"""),154273.0)</f>
        <v>154273</v>
      </c>
      <c r="AF173" s="1">
        <f>IFERROR(__xludf.DUMMYFUNCTION("""COMPUTED_VALUE"""),165.0)</f>
        <v>165</v>
      </c>
      <c r="AG173" s="1"/>
      <c r="AH173" s="1"/>
      <c r="AI173" s="1">
        <f>IFERROR(__xludf.DUMMYFUNCTION("""COMPUTED_VALUE"""),0.0)</f>
        <v>0</v>
      </c>
      <c r="AJ173" s="1"/>
      <c r="AK173" s="1"/>
      <c r="AL173" s="1">
        <f>IFERROR(__xludf.DUMMYFUNCTION("""COMPUTED_VALUE"""),0.0)</f>
        <v>0</v>
      </c>
      <c r="AM173" s="1">
        <f>IFERROR(__xludf.DUMMYFUNCTION("""COMPUTED_VALUE"""),170.0)</f>
        <v>170</v>
      </c>
      <c r="AN173" s="1">
        <f>IFERROR(__xludf.DUMMYFUNCTION("""COMPUTED_VALUE"""),8744.0)</f>
        <v>8744</v>
      </c>
      <c r="AO173" s="1">
        <f>IFERROR(__xludf.DUMMYFUNCTION("""COMPUTED_VALUE"""),170.0)</f>
        <v>170</v>
      </c>
      <c r="AP173" s="1">
        <f>IFERROR(__xludf.DUMMYFUNCTION("""COMPUTED_VALUE"""),148559.0)</f>
        <v>148559</v>
      </c>
      <c r="AQ173" s="1">
        <f>IFERROR(__xludf.DUMMYFUNCTION("""COMPUTED_VALUE"""),82.0)</f>
        <v>82</v>
      </c>
      <c r="AR173" s="1">
        <f>IFERROR(__xludf.DUMMYFUNCTION("""COMPUTED_VALUE"""),169.0)</f>
        <v>169</v>
      </c>
      <c r="AS173" s="1">
        <f>IFERROR(__xludf.DUMMYFUNCTION("""COMPUTED_VALUE"""),119539.0)</f>
        <v>119539</v>
      </c>
    </row>
    <row r="174">
      <c r="A174" s="1" t="str">
        <f>IFERROR(__xludf.DUMMYFUNCTION("""COMPUTED_VALUE"""),"JUI")</f>
        <v>JUI</v>
      </c>
      <c r="B174" s="1"/>
      <c r="C174" s="1"/>
      <c r="D174" s="1">
        <f>IFERROR(__xludf.DUMMYFUNCTION("""COMPUTED_VALUE"""),1.0)</f>
        <v>1</v>
      </c>
      <c r="E174" s="1">
        <f>IFERROR(__xludf.DUMMYFUNCTION("""COMPUTED_VALUE"""),1.0)</f>
        <v>1</v>
      </c>
      <c r="F174" s="1">
        <f>IFERROR(__xludf.DUMMYFUNCTION("""COMPUTED_VALUE"""),98000.0)</f>
        <v>98000</v>
      </c>
      <c r="G174" s="1">
        <f>IFERROR(__xludf.DUMMYFUNCTION("""COMPUTED_VALUE"""),2.0)</f>
        <v>2</v>
      </c>
      <c r="H174" s="1"/>
      <c r="I174" s="1"/>
      <c r="J174" s="1">
        <f>IFERROR(__xludf.DUMMYFUNCTION("""COMPUTED_VALUE"""),0.0)</f>
        <v>0</v>
      </c>
      <c r="K174" s="1">
        <f>IFERROR(__xludf.DUMMYFUNCTION("""COMPUTED_VALUE"""),1.0)</f>
        <v>1</v>
      </c>
      <c r="L174" s="1">
        <f>IFERROR(__xludf.DUMMYFUNCTION("""COMPUTED_VALUE"""),29.0)</f>
        <v>29</v>
      </c>
      <c r="M174" s="1">
        <f>IFERROR(__xludf.DUMMYFUNCTION("""COMPUTED_VALUE"""),100000.0)</f>
        <v>100000</v>
      </c>
      <c r="N174" s="1">
        <f>IFERROR(__xludf.DUMMYFUNCTION("""COMPUTED_VALUE"""),309.0)</f>
        <v>309</v>
      </c>
      <c r="O174" s="1"/>
      <c r="P174" s="1"/>
      <c r="Q174" s="1">
        <f>IFERROR(__xludf.DUMMYFUNCTION("""COMPUTED_VALUE"""),0.0)</f>
        <v>0</v>
      </c>
      <c r="R174" s="1">
        <f>IFERROR(__xludf.DUMMYFUNCTION("""COMPUTED_VALUE"""),1098.26000976562)</f>
        <v>1098.26001</v>
      </c>
      <c r="S174" s="1">
        <f>IFERROR(__xludf.DUMMYFUNCTION("""COMPUTED_VALUE"""),280.0)</f>
        <v>280</v>
      </c>
      <c r="T174" s="1">
        <f>IFERROR(__xludf.DUMMYFUNCTION("""COMPUTED_VALUE"""),100000.0)</f>
        <v>100000</v>
      </c>
      <c r="U174" s="1">
        <f>IFERROR(__xludf.DUMMYFUNCTION("""COMPUTED_VALUE"""),280.0)</f>
        <v>280</v>
      </c>
      <c r="V174" s="1"/>
      <c r="W174" s="1"/>
      <c r="X174" s="1">
        <f>IFERROR(__xludf.DUMMYFUNCTION("""COMPUTED_VALUE"""),0.0)</f>
        <v>0</v>
      </c>
      <c r="Y174" s="1">
        <f>IFERROR(__xludf.DUMMYFUNCTION("""COMPUTED_VALUE"""),1.0)</f>
        <v>1</v>
      </c>
      <c r="Z174" s="1">
        <f>IFERROR(__xludf.DUMMYFUNCTION("""COMPUTED_VALUE"""),1.0)</f>
        <v>1</v>
      </c>
      <c r="AA174" s="1">
        <f>IFERROR(__xludf.DUMMYFUNCTION("""COMPUTED_VALUE"""),99000.0)</f>
        <v>99000</v>
      </c>
      <c r="AB174" s="1">
        <f>IFERROR(__xludf.DUMMYFUNCTION("""COMPUTED_VALUE"""),1.0)</f>
        <v>1</v>
      </c>
      <c r="AC174" s="1">
        <f>IFERROR(__xludf.DUMMYFUNCTION("""COMPUTED_VALUE"""),1.0)</f>
        <v>1</v>
      </c>
      <c r="AD174" s="1">
        <f>IFERROR(__xludf.DUMMYFUNCTION("""COMPUTED_VALUE"""),1.0)</f>
        <v>1</v>
      </c>
      <c r="AE174" s="1">
        <f>IFERROR(__xludf.DUMMYFUNCTION("""COMPUTED_VALUE"""),1.0)</f>
        <v>1</v>
      </c>
      <c r="AF174" s="1">
        <f>IFERROR(__xludf.DUMMYFUNCTION("""COMPUTED_VALUE"""),1098.26000976562)</f>
        <v>1098.26001</v>
      </c>
      <c r="AG174" s="1"/>
      <c r="AH174" s="1"/>
      <c r="AI174" s="1">
        <f>IFERROR(__xludf.DUMMYFUNCTION("""COMPUTED_VALUE"""),0.0)</f>
        <v>0</v>
      </c>
      <c r="AJ174" s="1"/>
      <c r="AK174" s="1"/>
      <c r="AL174" s="1">
        <f>IFERROR(__xludf.DUMMYFUNCTION("""COMPUTED_VALUE"""),0.0)</f>
        <v>0</v>
      </c>
      <c r="AM174" s="1">
        <f>IFERROR(__xludf.DUMMYFUNCTION("""COMPUTED_VALUE"""),30000.0)</f>
        <v>30000</v>
      </c>
      <c r="AN174" s="1">
        <f>IFERROR(__xludf.DUMMYFUNCTION("""COMPUTED_VALUE"""),119.0)</f>
        <v>119</v>
      </c>
      <c r="AO174" s="1">
        <f>IFERROR(__xludf.DUMMYFUNCTION("""COMPUTED_VALUE"""),30000.0)</f>
        <v>30000</v>
      </c>
      <c r="AP174" s="1">
        <f>IFERROR(__xludf.DUMMYFUNCTION("""COMPUTED_VALUE"""),122.0)</f>
        <v>122</v>
      </c>
      <c r="AQ174" s="1"/>
      <c r="AR174" s="1"/>
      <c r="AS174" s="1">
        <f>IFERROR(__xludf.DUMMYFUNCTION("""COMPUTED_VALUE"""),0.0)</f>
        <v>0</v>
      </c>
    </row>
    <row r="175">
      <c r="A175" s="1" t="str">
        <f>IFERROR(__xludf.DUMMYFUNCTION("""COMPUTED_VALUE"""),"KOM")</f>
        <v>KOM</v>
      </c>
      <c r="B175" s="1"/>
      <c r="C175" s="1"/>
      <c r="D175" s="1">
        <f>IFERROR(__xludf.DUMMYFUNCTION("""COMPUTED_VALUE"""),940.0)</f>
        <v>940</v>
      </c>
      <c r="E175" s="1">
        <f>IFERROR(__xludf.DUMMYFUNCTION("""COMPUTED_VALUE"""),2247.0)</f>
        <v>2247</v>
      </c>
      <c r="F175" s="1">
        <f>IFERROR(__xludf.DUMMYFUNCTION("""COMPUTED_VALUE"""),940.0)</f>
        <v>940</v>
      </c>
      <c r="G175" s="1">
        <f>IFERROR(__xludf.DUMMYFUNCTION("""COMPUTED_VALUE"""),16653.0)</f>
        <v>16653</v>
      </c>
      <c r="H175" s="1">
        <f>IFERROR(__xludf.DUMMYFUNCTION("""COMPUTED_VALUE"""),500.0)</f>
        <v>500</v>
      </c>
      <c r="I175" s="1">
        <f>IFERROR(__xludf.DUMMYFUNCTION("""COMPUTED_VALUE"""),852.0)</f>
        <v>852</v>
      </c>
      <c r="J175" s="1">
        <f>IFERROR(__xludf.DUMMYFUNCTION("""COMPUTED_VALUE"""),13250.0)</f>
        <v>13250</v>
      </c>
      <c r="K175" s="1">
        <f>IFERROR(__xludf.DUMMYFUNCTION("""COMPUTED_VALUE"""),953.75)</f>
        <v>953.75</v>
      </c>
      <c r="L175" s="1">
        <f>IFERROR(__xludf.DUMMYFUNCTION("""COMPUTED_VALUE"""),137.0)</f>
        <v>137</v>
      </c>
      <c r="M175" s="1">
        <f>IFERROR(__xludf.DUMMYFUNCTION("""COMPUTED_VALUE"""),954.0)</f>
        <v>954</v>
      </c>
      <c r="N175" s="1">
        <f>IFERROR(__xludf.DUMMYFUNCTION("""COMPUTED_VALUE"""),8861.0)</f>
        <v>8861</v>
      </c>
      <c r="O175" s="1">
        <f>IFERROR(__xludf.DUMMYFUNCTION("""COMPUTED_VALUE"""),25.0)</f>
        <v>25</v>
      </c>
      <c r="P175" s="1">
        <f>IFERROR(__xludf.DUMMYFUNCTION("""COMPUTED_VALUE"""),873.0)</f>
        <v>873</v>
      </c>
      <c r="Q175" s="1">
        <f>IFERROR(__xludf.DUMMYFUNCTION("""COMPUTED_VALUE"""),5859.0)</f>
        <v>5859</v>
      </c>
      <c r="R175" s="1">
        <f>IFERROR(__xludf.DUMMYFUNCTION("""COMPUTED_VALUE"""),999.0)</f>
        <v>999</v>
      </c>
      <c r="S175" s="1">
        <f>IFERROR(__xludf.DUMMYFUNCTION("""COMPUTED_VALUE"""),242.0)</f>
        <v>242</v>
      </c>
      <c r="T175" s="1">
        <f>IFERROR(__xludf.DUMMYFUNCTION("""COMPUTED_VALUE"""),999.0)</f>
        <v>999</v>
      </c>
      <c r="U175" s="1">
        <f>IFERROR(__xludf.DUMMYFUNCTION("""COMPUTED_VALUE"""),1242.0)</f>
        <v>1242</v>
      </c>
      <c r="V175" s="1">
        <f>IFERROR(__xludf.DUMMYFUNCTION("""COMPUTED_VALUE"""),500.0)</f>
        <v>500</v>
      </c>
      <c r="W175" s="1">
        <f>IFERROR(__xludf.DUMMYFUNCTION("""COMPUTED_VALUE"""),750.0)</f>
        <v>750</v>
      </c>
      <c r="X175" s="1">
        <f>IFERROR(__xludf.DUMMYFUNCTION("""COMPUTED_VALUE"""),500.0)</f>
        <v>500</v>
      </c>
      <c r="Y175" s="1">
        <f>IFERROR(__xludf.DUMMYFUNCTION("""COMPUTED_VALUE"""),950.0)</f>
        <v>950</v>
      </c>
      <c r="Z175" s="1">
        <f>IFERROR(__xludf.DUMMYFUNCTION("""COMPUTED_VALUE"""),1921.0)</f>
        <v>1921</v>
      </c>
      <c r="AA175" s="1">
        <f>IFERROR(__xludf.DUMMYFUNCTION("""COMPUTED_VALUE"""),950.0)</f>
        <v>950</v>
      </c>
      <c r="AB175" s="1">
        <f>IFERROR(__xludf.DUMMYFUNCTION("""COMPUTED_VALUE"""),29243.0)</f>
        <v>29243</v>
      </c>
      <c r="AC175" s="1">
        <f>IFERROR(__xludf.DUMMYFUNCTION("""COMPUTED_VALUE"""),20.0)</f>
        <v>20</v>
      </c>
      <c r="AD175" s="1">
        <f>IFERROR(__xludf.DUMMYFUNCTION("""COMPUTED_VALUE"""),894.0)</f>
        <v>894</v>
      </c>
      <c r="AE175" s="1">
        <f>IFERROR(__xludf.DUMMYFUNCTION("""COMPUTED_VALUE"""),18784.0)</f>
        <v>18784</v>
      </c>
      <c r="AF175" s="1">
        <f>IFERROR(__xludf.DUMMYFUNCTION("""COMPUTED_VALUE"""),1000.0)</f>
        <v>1000</v>
      </c>
      <c r="AG175" s="1">
        <f>IFERROR(__xludf.DUMMYFUNCTION("""COMPUTED_VALUE"""),805.0)</f>
        <v>805</v>
      </c>
      <c r="AH175" s="1">
        <f>IFERROR(__xludf.DUMMYFUNCTION("""COMPUTED_VALUE"""),1000.0)</f>
        <v>1000</v>
      </c>
      <c r="AI175" s="1">
        <f>IFERROR(__xludf.DUMMYFUNCTION("""COMPUTED_VALUE"""),805.0)</f>
        <v>805</v>
      </c>
      <c r="AJ175" s="1">
        <f>IFERROR(__xludf.DUMMYFUNCTION("""COMPUTED_VALUE"""),50.0)</f>
        <v>50</v>
      </c>
      <c r="AK175" s="1">
        <f>IFERROR(__xludf.DUMMYFUNCTION("""COMPUTED_VALUE"""),600.0)</f>
        <v>600</v>
      </c>
      <c r="AL175" s="1">
        <f>IFERROR(__xludf.DUMMYFUNCTION("""COMPUTED_VALUE"""),50.0)</f>
        <v>50</v>
      </c>
      <c r="AM175" s="1">
        <f>IFERROR(__xludf.DUMMYFUNCTION("""COMPUTED_VALUE"""),897.0)</f>
        <v>897</v>
      </c>
      <c r="AN175" s="1">
        <f>IFERROR(__xludf.DUMMYFUNCTION("""COMPUTED_VALUE"""),1955.0)</f>
        <v>1955</v>
      </c>
      <c r="AO175" s="1">
        <f>IFERROR(__xludf.DUMMYFUNCTION("""COMPUTED_VALUE"""),896.0)</f>
        <v>896</v>
      </c>
      <c r="AP175" s="1">
        <f>IFERROR(__xludf.DUMMYFUNCTION("""COMPUTED_VALUE"""),27371.0)</f>
        <v>27371</v>
      </c>
      <c r="AQ175" s="1">
        <f>IFERROR(__xludf.DUMMYFUNCTION("""COMPUTED_VALUE"""),58.0)</f>
        <v>58</v>
      </c>
      <c r="AR175" s="1">
        <f>IFERROR(__xludf.DUMMYFUNCTION("""COMPUTED_VALUE"""),801.0)</f>
        <v>801</v>
      </c>
      <c r="AS175" s="1">
        <f>IFERROR(__xludf.DUMMYFUNCTION("""COMPUTED_VALUE"""),18523.0)</f>
        <v>18523</v>
      </c>
    </row>
    <row r="176">
      <c r="A176" s="1" t="str">
        <f>IFERROR(__xludf.DUMMYFUNCTION("""COMPUTED_VALUE"""),"KR")</f>
        <v>KR</v>
      </c>
      <c r="B176" s="1"/>
      <c r="C176" s="1"/>
      <c r="D176" s="1">
        <f>IFERROR(__xludf.DUMMYFUNCTION("""COMPUTED_VALUE"""),150.0)</f>
        <v>150</v>
      </c>
      <c r="E176" s="1">
        <f>IFERROR(__xludf.DUMMYFUNCTION("""COMPUTED_VALUE"""),5000.0)</f>
        <v>5000</v>
      </c>
      <c r="F176" s="1">
        <f>IFERROR(__xludf.DUMMYFUNCTION("""COMPUTED_VALUE"""),149.0)</f>
        <v>149</v>
      </c>
      <c r="G176" s="1">
        <f>IFERROR(__xludf.DUMMYFUNCTION("""COMPUTED_VALUE"""),13543.0)</f>
        <v>13543</v>
      </c>
      <c r="H176" s="1">
        <f>IFERROR(__xludf.DUMMYFUNCTION("""COMPUTED_VALUE"""),50.0)</f>
        <v>50</v>
      </c>
      <c r="I176" s="1">
        <f>IFERROR(__xludf.DUMMYFUNCTION("""COMPUTED_VALUE"""),70.0)</f>
        <v>70</v>
      </c>
      <c r="J176" s="1">
        <f>IFERROR(__xludf.DUMMYFUNCTION("""COMPUTED_VALUE"""),50.0)</f>
        <v>50</v>
      </c>
      <c r="K176" s="1">
        <f>IFERROR(__xludf.DUMMYFUNCTION("""COMPUTED_VALUE"""),178.0)</f>
        <v>178</v>
      </c>
      <c r="L176" s="1">
        <f>IFERROR(__xludf.DUMMYFUNCTION("""COMPUTED_VALUE"""),200.0)</f>
        <v>200</v>
      </c>
      <c r="M176" s="1">
        <f>IFERROR(__xludf.DUMMYFUNCTION("""COMPUTED_VALUE"""),177.0)</f>
        <v>177</v>
      </c>
      <c r="N176" s="1">
        <f>IFERROR(__xludf.DUMMYFUNCTION("""COMPUTED_VALUE"""),8015.0)</f>
        <v>8015</v>
      </c>
      <c r="O176" s="1"/>
      <c r="P176" s="1"/>
      <c r="Q176" s="1">
        <f>IFERROR(__xludf.DUMMYFUNCTION("""COMPUTED_VALUE"""),0.0)</f>
        <v>0</v>
      </c>
      <c r="R176" s="1">
        <f>IFERROR(__xludf.DUMMYFUNCTION("""COMPUTED_VALUE"""),133.330001831054)</f>
        <v>133.3300018</v>
      </c>
      <c r="S176" s="1">
        <f>IFERROR(__xludf.DUMMYFUNCTION("""COMPUTED_VALUE"""),320.0)</f>
        <v>320</v>
      </c>
      <c r="T176" s="1">
        <f>IFERROR(__xludf.DUMMYFUNCTION("""COMPUTED_VALUE"""),500.0)</f>
        <v>500</v>
      </c>
      <c r="U176" s="1">
        <f>IFERROR(__xludf.DUMMYFUNCTION("""COMPUTED_VALUE"""),320.0)</f>
        <v>320</v>
      </c>
      <c r="V176" s="1"/>
      <c r="W176" s="1"/>
      <c r="X176" s="1">
        <f>IFERROR(__xludf.DUMMYFUNCTION("""COMPUTED_VALUE"""),0.0)</f>
        <v>0</v>
      </c>
      <c r="Y176" s="1">
        <f>IFERROR(__xludf.DUMMYFUNCTION("""COMPUTED_VALUE"""),178.0)</f>
        <v>178</v>
      </c>
      <c r="Z176" s="1">
        <f>IFERROR(__xludf.DUMMYFUNCTION("""COMPUTED_VALUE"""),2000.0)</f>
        <v>2000</v>
      </c>
      <c r="AA176" s="1">
        <f>IFERROR(__xludf.DUMMYFUNCTION("""COMPUTED_VALUE"""),176.0)</f>
        <v>176</v>
      </c>
      <c r="AB176" s="1">
        <f>IFERROR(__xludf.DUMMYFUNCTION("""COMPUTED_VALUE"""),47719.0)</f>
        <v>47719</v>
      </c>
      <c r="AC176" s="1">
        <f>IFERROR(__xludf.DUMMYFUNCTION("""COMPUTED_VALUE"""),999.0)</f>
        <v>999</v>
      </c>
      <c r="AD176" s="1">
        <f>IFERROR(__xludf.DUMMYFUNCTION("""COMPUTED_VALUE"""),60.0)</f>
        <v>60</v>
      </c>
      <c r="AE176" s="1">
        <f>IFERROR(__xludf.DUMMYFUNCTION("""COMPUTED_VALUE"""),999.0)</f>
        <v>999</v>
      </c>
      <c r="AF176" s="1">
        <f>IFERROR(__xludf.DUMMYFUNCTION("""COMPUTED_VALUE"""),133.330001831054)</f>
        <v>133.3300018</v>
      </c>
      <c r="AG176" s="1"/>
      <c r="AH176" s="1"/>
      <c r="AI176" s="1">
        <f>IFERROR(__xludf.DUMMYFUNCTION("""COMPUTED_VALUE"""),0.0)</f>
        <v>0</v>
      </c>
      <c r="AJ176" s="1"/>
      <c r="AK176" s="1"/>
      <c r="AL176" s="1">
        <f>IFERROR(__xludf.DUMMYFUNCTION("""COMPUTED_VALUE"""),0.0)</f>
        <v>0</v>
      </c>
      <c r="AM176" s="1">
        <f>IFERROR(__xludf.DUMMYFUNCTION("""COMPUTED_VALUE"""),150.0)</f>
        <v>150</v>
      </c>
      <c r="AN176" s="1">
        <f>IFERROR(__xludf.DUMMYFUNCTION("""COMPUTED_VALUE"""),1855.0)</f>
        <v>1855</v>
      </c>
      <c r="AO176" s="1">
        <f>IFERROR(__xludf.DUMMYFUNCTION("""COMPUTED_VALUE"""),179.0)</f>
        <v>179</v>
      </c>
      <c r="AP176" s="1">
        <f>IFERROR(__xludf.DUMMYFUNCTION("""COMPUTED_VALUE"""),23553.0)</f>
        <v>23553</v>
      </c>
      <c r="AQ176" s="1"/>
      <c r="AR176" s="1"/>
      <c r="AS176" s="1">
        <f>IFERROR(__xludf.DUMMYFUNCTION("""COMPUTED_VALUE"""),0.0)</f>
        <v>0</v>
      </c>
    </row>
    <row r="177">
      <c r="A177" s="1" t="str">
        <f>IFERROR(__xludf.DUMMYFUNCTION("""COMPUTED_VALUE"""),"KRE")</f>
        <v>KRE</v>
      </c>
      <c r="B177" s="1"/>
      <c r="C177" s="1"/>
      <c r="D177" s="1">
        <f>IFERROR(__xludf.DUMMYFUNCTION("""COMPUTED_VALUE"""),14000.0)</f>
        <v>14000</v>
      </c>
      <c r="E177" s="1">
        <f>IFERROR(__xludf.DUMMYFUNCTION("""COMPUTED_VALUE"""),11.0)</f>
        <v>11</v>
      </c>
      <c r="F177" s="1">
        <f>IFERROR(__xludf.DUMMYFUNCTION("""COMPUTED_VALUE"""),18000.0)</f>
        <v>18000</v>
      </c>
      <c r="G177" s="1">
        <f>IFERROR(__xludf.DUMMYFUNCTION("""COMPUTED_VALUE"""),77.0)</f>
        <v>77</v>
      </c>
      <c r="H177" s="1"/>
      <c r="I177" s="1"/>
      <c r="J177" s="1">
        <f>IFERROR(__xludf.DUMMYFUNCTION("""COMPUTED_VALUE"""),0.0)</f>
        <v>0</v>
      </c>
      <c r="K177" s="1">
        <f>IFERROR(__xludf.DUMMYFUNCTION("""COMPUTED_VALUE"""),17000.0)</f>
        <v>17000</v>
      </c>
      <c r="L177" s="1">
        <f>IFERROR(__xludf.DUMMYFUNCTION("""COMPUTED_VALUE"""),51.0)</f>
        <v>51</v>
      </c>
      <c r="M177" s="1">
        <f>IFERROR(__xludf.DUMMYFUNCTION("""COMPUTED_VALUE"""),25000.0)</f>
        <v>25000</v>
      </c>
      <c r="N177" s="1">
        <f>IFERROR(__xludf.DUMMYFUNCTION("""COMPUTED_VALUE"""),53.0)</f>
        <v>53</v>
      </c>
      <c r="O177" s="1">
        <f>IFERROR(__xludf.DUMMYFUNCTION("""COMPUTED_VALUE"""),49.0)</f>
        <v>49</v>
      </c>
      <c r="P177" s="1">
        <f>IFERROR(__xludf.DUMMYFUNCTION("""COMPUTED_VALUE"""),17000.0)</f>
        <v>17000</v>
      </c>
      <c r="Q177" s="1">
        <f>IFERROR(__xludf.DUMMYFUNCTION("""COMPUTED_VALUE"""),49.0)</f>
        <v>49</v>
      </c>
      <c r="R177" s="1">
        <f>IFERROR(__xludf.DUMMYFUNCTION("""COMPUTED_VALUE"""),15410.6201171875)</f>
        <v>15410.62012</v>
      </c>
      <c r="S177" s="1"/>
      <c r="T177" s="1"/>
      <c r="U177" s="1">
        <f>IFERROR(__xludf.DUMMYFUNCTION("""COMPUTED_VALUE"""),0.0)</f>
        <v>0</v>
      </c>
      <c r="V177" s="1"/>
      <c r="W177" s="1"/>
      <c r="X177" s="1">
        <f>IFERROR(__xludf.DUMMYFUNCTION("""COMPUTED_VALUE"""),0.0)</f>
        <v>0</v>
      </c>
      <c r="Y177" s="1">
        <f>IFERROR(__xludf.DUMMYFUNCTION("""COMPUTED_VALUE"""),19000.0)</f>
        <v>19000</v>
      </c>
      <c r="Z177" s="1">
        <f>IFERROR(__xludf.DUMMYFUNCTION("""COMPUTED_VALUE"""),68.0)</f>
        <v>68</v>
      </c>
      <c r="AA177" s="1">
        <f>IFERROR(__xludf.DUMMYFUNCTION("""COMPUTED_VALUE"""),17500.0)</f>
        <v>17500</v>
      </c>
      <c r="AB177" s="1">
        <f>IFERROR(__xludf.DUMMYFUNCTION("""COMPUTED_VALUE"""),1003.0)</f>
        <v>1003</v>
      </c>
      <c r="AC177" s="1"/>
      <c r="AD177" s="1"/>
      <c r="AE177" s="1">
        <f>IFERROR(__xludf.DUMMYFUNCTION("""COMPUTED_VALUE"""),0.0)</f>
        <v>0</v>
      </c>
      <c r="AF177" s="1">
        <f>IFERROR(__xludf.DUMMYFUNCTION("""COMPUTED_VALUE"""),15410.6201171875)</f>
        <v>15410.62012</v>
      </c>
      <c r="AG177" s="1"/>
      <c r="AH177" s="1"/>
      <c r="AI177" s="1">
        <f>IFERROR(__xludf.DUMMYFUNCTION("""COMPUTED_VALUE"""),0.0)</f>
        <v>0</v>
      </c>
      <c r="AJ177" s="1"/>
      <c r="AK177" s="1"/>
      <c r="AL177" s="1">
        <f>IFERROR(__xludf.DUMMYFUNCTION("""COMPUTED_VALUE"""),0.0)</f>
        <v>0</v>
      </c>
      <c r="AM177" s="1">
        <f>IFERROR(__xludf.DUMMYFUNCTION("""COMPUTED_VALUE"""),15410.6201171875)</f>
        <v>15410.62012</v>
      </c>
      <c r="AN177" s="1"/>
      <c r="AO177" s="1"/>
      <c r="AP177" s="1">
        <f>IFERROR(__xludf.DUMMYFUNCTION("""COMPUTED_VALUE"""),0.0)</f>
        <v>0</v>
      </c>
      <c r="AQ177" s="1"/>
      <c r="AR177" s="1"/>
      <c r="AS177" s="1">
        <f>IFERROR(__xludf.DUMMYFUNCTION("""COMPUTED_VALUE"""),0.0)</f>
        <v>0</v>
      </c>
    </row>
    <row r="178">
      <c r="A178" s="1" t="str">
        <f>IFERROR(__xludf.DUMMYFUNCTION("""COMPUTED_VALUE"""),"KV")</f>
        <v>KV</v>
      </c>
      <c r="B178" s="1"/>
      <c r="C178" s="1"/>
      <c r="D178" s="1">
        <f>IFERROR(__xludf.DUMMYFUNCTION("""COMPUTED_VALUE"""),29090.609375)</f>
        <v>29090.60938</v>
      </c>
      <c r="E178" s="1">
        <f>IFERROR(__xludf.DUMMYFUNCTION("""COMPUTED_VALUE"""),35.0)</f>
        <v>35</v>
      </c>
      <c r="F178" s="1">
        <f>IFERROR(__xludf.DUMMYFUNCTION("""COMPUTED_VALUE"""),29500.0)</f>
        <v>29500</v>
      </c>
      <c r="G178" s="1">
        <f>IFERROR(__xludf.DUMMYFUNCTION("""COMPUTED_VALUE"""),1232.0)</f>
        <v>1232</v>
      </c>
      <c r="H178" s="1">
        <f>IFERROR(__xludf.DUMMYFUNCTION("""COMPUTED_VALUE"""),200.0)</f>
        <v>200</v>
      </c>
      <c r="I178" s="1">
        <f>IFERROR(__xludf.DUMMYFUNCTION("""COMPUTED_VALUE"""),25400.0)</f>
        <v>25400</v>
      </c>
      <c r="J178" s="1">
        <f>IFERROR(__xludf.DUMMYFUNCTION("""COMPUTED_VALUE"""),799.0)</f>
        <v>799</v>
      </c>
      <c r="K178" s="1">
        <f>IFERROR(__xludf.DUMMYFUNCTION("""COMPUTED_VALUE"""),32772.5)</f>
        <v>32772.5</v>
      </c>
      <c r="L178" s="1">
        <f>IFERROR(__xludf.DUMMYFUNCTION("""COMPUTED_VALUE"""),3.0)</f>
        <v>3</v>
      </c>
      <c r="M178" s="1">
        <f>IFERROR(__xludf.DUMMYFUNCTION("""COMPUTED_VALUE"""),32500.0)</f>
        <v>32500</v>
      </c>
      <c r="N178" s="1">
        <f>IFERROR(__xludf.DUMMYFUNCTION("""COMPUTED_VALUE"""),242.0)</f>
        <v>242</v>
      </c>
      <c r="O178" s="1">
        <f>IFERROR(__xludf.DUMMYFUNCTION("""COMPUTED_VALUE"""),110.0)</f>
        <v>110</v>
      </c>
      <c r="P178" s="1">
        <f>IFERROR(__xludf.DUMMYFUNCTION("""COMPUTED_VALUE"""),30000.0)</f>
        <v>30000</v>
      </c>
      <c r="Q178" s="1">
        <f>IFERROR(__xludf.DUMMYFUNCTION("""COMPUTED_VALUE"""),301.0)</f>
        <v>301</v>
      </c>
      <c r="R178" s="1">
        <f>IFERROR(__xludf.DUMMYFUNCTION("""COMPUTED_VALUE"""),2000.0)</f>
        <v>2000</v>
      </c>
      <c r="S178" s="1"/>
      <c r="T178" s="1"/>
      <c r="U178" s="1">
        <f>IFERROR(__xludf.DUMMYFUNCTION("""COMPUTED_VALUE"""),0.0)</f>
        <v>0</v>
      </c>
      <c r="V178" s="1"/>
      <c r="W178" s="1"/>
      <c r="X178" s="1">
        <f>IFERROR(__xludf.DUMMYFUNCTION("""COMPUTED_VALUE"""),0.0)</f>
        <v>0</v>
      </c>
      <c r="Y178" s="1">
        <f>IFERROR(__xludf.DUMMYFUNCTION("""COMPUTED_VALUE"""),27500.0)</f>
        <v>27500</v>
      </c>
      <c r="Z178" s="1">
        <f>IFERROR(__xludf.DUMMYFUNCTION("""COMPUTED_VALUE"""),14.0)</f>
        <v>14</v>
      </c>
      <c r="AA178" s="1">
        <f>IFERROR(__xludf.DUMMYFUNCTION("""COMPUTED_VALUE"""),27500.0)</f>
        <v>27500</v>
      </c>
      <c r="AB178" s="1">
        <f>IFERROR(__xludf.DUMMYFUNCTION("""COMPUTED_VALUE"""),786.0)</f>
        <v>786</v>
      </c>
      <c r="AC178" s="1">
        <f>IFERROR(__xludf.DUMMYFUNCTION("""COMPUTED_VALUE"""),50.0)</f>
        <v>50</v>
      </c>
      <c r="AD178" s="1">
        <f>IFERROR(__xludf.DUMMYFUNCTION("""COMPUTED_VALUE"""),25900.0)</f>
        <v>25900</v>
      </c>
      <c r="AE178" s="1">
        <f>IFERROR(__xludf.DUMMYFUNCTION("""COMPUTED_VALUE"""),1041.0)</f>
        <v>1041</v>
      </c>
      <c r="AF178" s="1">
        <f>IFERROR(__xludf.DUMMYFUNCTION("""COMPUTED_VALUE"""),13533.4599609375)</f>
        <v>13533.45996</v>
      </c>
      <c r="AG178" s="1">
        <f>IFERROR(__xludf.DUMMYFUNCTION("""COMPUTED_VALUE"""),10.0)</f>
        <v>10</v>
      </c>
      <c r="AH178" s="1">
        <f>IFERROR(__xludf.DUMMYFUNCTION("""COMPUTED_VALUE"""),34000.0)</f>
        <v>34000</v>
      </c>
      <c r="AI178" s="1">
        <f>IFERROR(__xludf.DUMMYFUNCTION("""COMPUTED_VALUE"""),10.0)</f>
        <v>10</v>
      </c>
      <c r="AJ178" s="1"/>
      <c r="AK178" s="1"/>
      <c r="AL178" s="1">
        <f>IFERROR(__xludf.DUMMYFUNCTION("""COMPUTED_VALUE"""),0.0)</f>
        <v>0</v>
      </c>
      <c r="AM178" s="1">
        <f>IFERROR(__xludf.DUMMYFUNCTION("""COMPUTED_VALUE"""),24500.0)</f>
        <v>24500</v>
      </c>
      <c r="AN178" s="1">
        <f>IFERROR(__xludf.DUMMYFUNCTION("""COMPUTED_VALUE"""),14.0)</f>
        <v>14</v>
      </c>
      <c r="AO178" s="1">
        <f>IFERROR(__xludf.DUMMYFUNCTION("""COMPUTED_VALUE"""),27900.0)</f>
        <v>27900</v>
      </c>
      <c r="AP178" s="1">
        <f>IFERROR(__xludf.DUMMYFUNCTION("""COMPUTED_VALUE"""),361.0)</f>
        <v>361</v>
      </c>
      <c r="AQ178" s="1">
        <f>IFERROR(__xludf.DUMMYFUNCTION("""COMPUTED_VALUE"""),7.0)</f>
        <v>7</v>
      </c>
      <c r="AR178" s="1">
        <f>IFERROR(__xludf.DUMMYFUNCTION("""COMPUTED_VALUE"""),24000.0)</f>
        <v>24000</v>
      </c>
      <c r="AS178" s="1">
        <f>IFERROR(__xludf.DUMMYFUNCTION("""COMPUTED_VALUE"""),44.0)</f>
        <v>44</v>
      </c>
    </row>
    <row r="179">
      <c r="A179" s="1" t="str">
        <f>IFERROR(__xludf.DUMMYFUNCTION("""COMPUTED_VALUE"""),"LBH")</f>
        <v>LBH</v>
      </c>
      <c r="B179" s="1"/>
      <c r="C179" s="1"/>
      <c r="D179" s="1">
        <f>IFERROR(__xludf.DUMMYFUNCTION("""COMPUTED_VALUE"""),4690.0)</f>
        <v>4690</v>
      </c>
      <c r="E179" s="1">
        <f>IFERROR(__xludf.DUMMYFUNCTION("""COMPUTED_VALUE"""),43.0)</f>
        <v>43</v>
      </c>
      <c r="F179" s="1">
        <f>IFERROR(__xludf.DUMMYFUNCTION("""COMPUTED_VALUE"""),4690.0)</f>
        <v>4690</v>
      </c>
      <c r="G179" s="1">
        <f>IFERROR(__xludf.DUMMYFUNCTION("""COMPUTED_VALUE"""),6749.0)</f>
        <v>6749</v>
      </c>
      <c r="H179" s="1">
        <f>IFERROR(__xludf.DUMMYFUNCTION("""COMPUTED_VALUE"""),4.0)</f>
        <v>4</v>
      </c>
      <c r="I179" s="1">
        <f>IFERROR(__xludf.DUMMYFUNCTION("""COMPUTED_VALUE"""),4100.0)</f>
        <v>4100</v>
      </c>
      <c r="J179" s="1">
        <f>IFERROR(__xludf.DUMMYFUNCTION("""COMPUTED_VALUE"""),2624.0)</f>
        <v>2624</v>
      </c>
      <c r="K179" s="1">
        <f>IFERROR(__xludf.DUMMYFUNCTION("""COMPUTED_VALUE"""),4700.0)</f>
        <v>4700</v>
      </c>
      <c r="L179" s="1">
        <f>IFERROR(__xludf.DUMMYFUNCTION("""COMPUTED_VALUE"""),8.0)</f>
        <v>8</v>
      </c>
      <c r="M179" s="1">
        <f>IFERROR(__xludf.DUMMYFUNCTION("""COMPUTED_VALUE"""),4800.0)</f>
        <v>4800</v>
      </c>
      <c r="N179" s="1">
        <f>IFERROR(__xludf.DUMMYFUNCTION("""COMPUTED_VALUE"""),1244.0)</f>
        <v>1244</v>
      </c>
      <c r="O179" s="1">
        <f>IFERROR(__xludf.DUMMYFUNCTION("""COMPUTED_VALUE"""),135.0)</f>
        <v>135</v>
      </c>
      <c r="P179" s="1">
        <f>IFERROR(__xludf.DUMMYFUNCTION("""COMPUTED_VALUE"""),4700.0)</f>
        <v>4700</v>
      </c>
      <c r="Q179" s="1">
        <f>IFERROR(__xludf.DUMMYFUNCTION("""COMPUTED_VALUE"""),586.0)</f>
        <v>586</v>
      </c>
      <c r="R179" s="1">
        <f>IFERROR(__xludf.DUMMYFUNCTION("""COMPUTED_VALUE"""),4333.47021484375)</f>
        <v>4333.470215</v>
      </c>
      <c r="S179" s="1"/>
      <c r="T179" s="1"/>
      <c r="U179" s="1">
        <f>IFERROR(__xludf.DUMMYFUNCTION("""COMPUTED_VALUE"""),0.0)</f>
        <v>0</v>
      </c>
      <c r="V179" s="1"/>
      <c r="W179" s="1"/>
      <c r="X179" s="1">
        <f>IFERROR(__xludf.DUMMYFUNCTION("""COMPUTED_VALUE"""),0.0)</f>
        <v>0</v>
      </c>
      <c r="Y179" s="1">
        <f>IFERROR(__xludf.DUMMYFUNCTION("""COMPUTED_VALUE"""),4890.0)</f>
        <v>4890</v>
      </c>
      <c r="Z179" s="1">
        <f>IFERROR(__xludf.DUMMYFUNCTION("""COMPUTED_VALUE"""),223.0)</f>
        <v>223</v>
      </c>
      <c r="AA179" s="1">
        <f>IFERROR(__xludf.DUMMYFUNCTION("""COMPUTED_VALUE"""),4890.0)</f>
        <v>4890</v>
      </c>
      <c r="AB179" s="1">
        <f>IFERROR(__xludf.DUMMYFUNCTION("""COMPUTED_VALUE"""),3856.0)</f>
        <v>3856</v>
      </c>
      <c r="AC179" s="1">
        <f>IFERROR(__xludf.DUMMYFUNCTION("""COMPUTED_VALUE"""),248.0)</f>
        <v>248</v>
      </c>
      <c r="AD179" s="1">
        <f>IFERROR(__xludf.DUMMYFUNCTION("""COMPUTED_VALUE"""),4250.0)</f>
        <v>4250</v>
      </c>
      <c r="AE179" s="1">
        <f>IFERROR(__xludf.DUMMYFUNCTION("""COMPUTED_VALUE"""),1154.0)</f>
        <v>1154</v>
      </c>
      <c r="AF179" s="1">
        <f>IFERROR(__xludf.DUMMYFUNCTION("""COMPUTED_VALUE"""),4000.0)</f>
        <v>4000</v>
      </c>
      <c r="AG179" s="1">
        <f>IFERROR(__xludf.DUMMYFUNCTION("""COMPUTED_VALUE"""),17.0)</f>
        <v>17</v>
      </c>
      <c r="AH179" s="1">
        <f>IFERROR(__xludf.DUMMYFUNCTION("""COMPUTED_VALUE"""),5300.0)</f>
        <v>5300</v>
      </c>
      <c r="AI179" s="1">
        <f>IFERROR(__xludf.DUMMYFUNCTION("""COMPUTED_VALUE"""),440.0)</f>
        <v>440</v>
      </c>
      <c r="AJ179" s="1">
        <f>IFERROR(__xludf.DUMMYFUNCTION("""COMPUTED_VALUE"""),10.0)</f>
        <v>10</v>
      </c>
      <c r="AK179" s="1">
        <f>IFERROR(__xludf.DUMMYFUNCTION("""COMPUTED_VALUE"""),4000.0)</f>
        <v>4000</v>
      </c>
      <c r="AL179" s="1">
        <f>IFERROR(__xludf.DUMMYFUNCTION("""COMPUTED_VALUE"""),10.0)</f>
        <v>10</v>
      </c>
      <c r="AM179" s="1">
        <f>IFERROR(__xludf.DUMMYFUNCTION("""COMPUTED_VALUE"""),4400.0)</f>
        <v>4400</v>
      </c>
      <c r="AN179" s="1">
        <f>IFERROR(__xludf.DUMMYFUNCTION("""COMPUTED_VALUE"""),14.0)</f>
        <v>14</v>
      </c>
      <c r="AO179" s="1">
        <f>IFERROR(__xludf.DUMMYFUNCTION("""COMPUTED_VALUE"""),4400.0)</f>
        <v>4400</v>
      </c>
      <c r="AP179" s="1">
        <f>IFERROR(__xludf.DUMMYFUNCTION("""COMPUTED_VALUE"""),1981.0)</f>
        <v>1981</v>
      </c>
      <c r="AQ179" s="1"/>
      <c r="AR179" s="1"/>
      <c r="AS179" s="1">
        <f>IFERROR(__xludf.DUMMYFUNCTION("""COMPUTED_VALUE"""),0.0)</f>
        <v>0</v>
      </c>
    </row>
    <row r="180">
      <c r="A180" s="1" t="str">
        <f>IFERROR(__xludf.DUMMYFUNCTION("""COMPUTED_VALUE"""),"LC")</f>
        <v>LC</v>
      </c>
      <c r="B180" s="1"/>
      <c r="C180" s="1"/>
      <c r="D180" s="1">
        <f>IFERROR(__xludf.DUMMYFUNCTION("""COMPUTED_VALUE"""),6400.0)</f>
        <v>6400</v>
      </c>
      <c r="E180" s="1">
        <f>IFERROR(__xludf.DUMMYFUNCTION("""COMPUTED_VALUE"""),117.0)</f>
        <v>117</v>
      </c>
      <c r="F180" s="1">
        <f>IFERROR(__xludf.DUMMYFUNCTION("""COMPUTED_VALUE"""),6400.0)</f>
        <v>6400</v>
      </c>
      <c r="G180" s="1">
        <f>IFERROR(__xludf.DUMMYFUNCTION("""COMPUTED_VALUE"""),1506.0)</f>
        <v>1506</v>
      </c>
      <c r="H180" s="1">
        <f>IFERROR(__xludf.DUMMYFUNCTION("""COMPUTED_VALUE"""),20.0)</f>
        <v>20</v>
      </c>
      <c r="I180" s="1">
        <f>IFERROR(__xludf.DUMMYFUNCTION("""COMPUTED_VALUE"""),5010.0)</f>
        <v>5010</v>
      </c>
      <c r="J180" s="1">
        <f>IFERROR(__xludf.DUMMYFUNCTION("""COMPUTED_VALUE"""),162.0)</f>
        <v>162</v>
      </c>
      <c r="K180" s="1">
        <f>IFERROR(__xludf.DUMMYFUNCTION("""COMPUTED_VALUE"""),5300.0)</f>
        <v>5300</v>
      </c>
      <c r="L180" s="1">
        <f>IFERROR(__xludf.DUMMYFUNCTION("""COMPUTED_VALUE"""),127.0)</f>
        <v>127</v>
      </c>
      <c r="M180" s="1">
        <f>IFERROR(__xludf.DUMMYFUNCTION("""COMPUTED_VALUE"""),5300.0)</f>
        <v>5300</v>
      </c>
      <c r="N180" s="1">
        <f>IFERROR(__xludf.DUMMYFUNCTION("""COMPUTED_VALUE"""),1747.0)</f>
        <v>1747</v>
      </c>
      <c r="O180" s="1">
        <f>IFERROR(__xludf.DUMMYFUNCTION("""COMPUTED_VALUE"""),10.0)</f>
        <v>10</v>
      </c>
      <c r="P180" s="1">
        <f>IFERROR(__xludf.DUMMYFUNCTION("""COMPUTED_VALUE"""),4510.0)</f>
        <v>4510</v>
      </c>
      <c r="Q180" s="1">
        <f>IFERROR(__xludf.DUMMYFUNCTION("""COMPUTED_VALUE"""),372.0)</f>
        <v>372</v>
      </c>
      <c r="R180" s="1">
        <f>IFERROR(__xludf.DUMMYFUNCTION("""COMPUTED_VALUE"""),3176.93994140625)</f>
        <v>3176.939941</v>
      </c>
      <c r="S180" s="1">
        <f>IFERROR(__xludf.DUMMYFUNCTION("""COMPUTED_VALUE"""),24.0)</f>
        <v>24</v>
      </c>
      <c r="T180" s="1">
        <f>IFERROR(__xludf.DUMMYFUNCTION("""COMPUTED_VALUE"""),9000.0)</f>
        <v>9000</v>
      </c>
      <c r="U180" s="1">
        <f>IFERROR(__xludf.DUMMYFUNCTION("""COMPUTED_VALUE"""),64.0)</f>
        <v>64</v>
      </c>
      <c r="V180" s="1"/>
      <c r="W180" s="1"/>
      <c r="X180" s="1">
        <f>IFERROR(__xludf.DUMMYFUNCTION("""COMPUTED_VALUE"""),0.0)</f>
        <v>0</v>
      </c>
      <c r="Y180" s="1">
        <f>IFERROR(__xludf.DUMMYFUNCTION("""COMPUTED_VALUE"""),5000.0)</f>
        <v>5000</v>
      </c>
      <c r="Z180" s="1">
        <f>IFERROR(__xludf.DUMMYFUNCTION("""COMPUTED_VALUE"""),9.0)</f>
        <v>9</v>
      </c>
      <c r="AA180" s="1">
        <f>IFERROR(__xludf.DUMMYFUNCTION("""COMPUTED_VALUE"""),6300.0)</f>
        <v>6300</v>
      </c>
      <c r="AB180" s="1">
        <f>IFERROR(__xludf.DUMMYFUNCTION("""COMPUTED_VALUE"""),3012.0)</f>
        <v>3012</v>
      </c>
      <c r="AC180" s="1">
        <f>IFERROR(__xludf.DUMMYFUNCTION("""COMPUTED_VALUE"""),62.0)</f>
        <v>62</v>
      </c>
      <c r="AD180" s="1">
        <f>IFERROR(__xludf.DUMMYFUNCTION("""COMPUTED_VALUE"""),5000.0)</f>
        <v>5000</v>
      </c>
      <c r="AE180" s="1">
        <f>IFERROR(__xludf.DUMMYFUNCTION("""COMPUTED_VALUE"""),1025.0)</f>
        <v>1025</v>
      </c>
      <c r="AF180" s="1">
        <f>IFERROR(__xludf.DUMMYFUNCTION("""COMPUTED_VALUE"""),3176.93994140625)</f>
        <v>3176.939941</v>
      </c>
      <c r="AG180" s="1">
        <f>IFERROR(__xludf.DUMMYFUNCTION("""COMPUTED_VALUE"""),10.0)</f>
        <v>10</v>
      </c>
      <c r="AH180" s="1">
        <f>IFERROR(__xludf.DUMMYFUNCTION("""COMPUTED_VALUE"""),5000.0)</f>
        <v>5000</v>
      </c>
      <c r="AI180" s="1">
        <f>IFERROR(__xludf.DUMMYFUNCTION("""COMPUTED_VALUE"""),95.0)</f>
        <v>95</v>
      </c>
      <c r="AJ180" s="1"/>
      <c r="AK180" s="1"/>
      <c r="AL180" s="1">
        <f>IFERROR(__xludf.DUMMYFUNCTION("""COMPUTED_VALUE"""),0.0)</f>
        <v>0</v>
      </c>
      <c r="AM180" s="1">
        <f>IFERROR(__xludf.DUMMYFUNCTION("""COMPUTED_VALUE"""),5000.0)</f>
        <v>5000</v>
      </c>
      <c r="AN180" s="1">
        <f>IFERROR(__xludf.DUMMYFUNCTION("""COMPUTED_VALUE"""),15.0)</f>
        <v>15</v>
      </c>
      <c r="AO180" s="1">
        <f>IFERROR(__xludf.DUMMYFUNCTION("""COMPUTED_VALUE"""),5000.0)</f>
        <v>5000</v>
      </c>
      <c r="AP180" s="1">
        <f>IFERROR(__xludf.DUMMYFUNCTION("""COMPUTED_VALUE"""),3682.0)</f>
        <v>3682</v>
      </c>
      <c r="AQ180" s="1">
        <f>IFERROR(__xludf.DUMMYFUNCTION("""COMPUTED_VALUE"""),12.0)</f>
        <v>12</v>
      </c>
      <c r="AR180" s="1">
        <f>IFERROR(__xludf.DUMMYFUNCTION("""COMPUTED_VALUE"""),4600.0)</f>
        <v>4600</v>
      </c>
      <c r="AS180" s="1">
        <f>IFERROR(__xludf.DUMMYFUNCTION("""COMPUTED_VALUE"""),22.0)</f>
        <v>22</v>
      </c>
    </row>
    <row r="181">
      <c r="A181" s="1" t="str">
        <f>IFERROR(__xludf.DUMMYFUNCTION("""COMPUTED_VALUE"""),"LCB")</f>
        <v>LCB</v>
      </c>
      <c r="B181" s="1"/>
      <c r="C181" s="1"/>
      <c r="D181" s="1">
        <f>IFERROR(__xludf.DUMMYFUNCTION("""COMPUTED_VALUE"""),850000.0)</f>
        <v>850000</v>
      </c>
      <c r="E181" s="1">
        <f>IFERROR(__xludf.DUMMYFUNCTION("""COMPUTED_VALUE"""),1.0)</f>
        <v>1</v>
      </c>
      <c r="F181" s="1">
        <f>IFERROR(__xludf.DUMMYFUNCTION("""COMPUTED_VALUE"""),1000000.0)</f>
        <v>1000000</v>
      </c>
      <c r="G181" s="1">
        <f>IFERROR(__xludf.DUMMYFUNCTION("""COMPUTED_VALUE"""),1.0)</f>
        <v>1</v>
      </c>
      <c r="H181" s="1">
        <f>IFERROR(__xludf.DUMMYFUNCTION("""COMPUTED_VALUE"""),1.0)</f>
        <v>1</v>
      </c>
      <c r="I181" s="1">
        <f>IFERROR(__xludf.DUMMYFUNCTION("""COMPUTED_VALUE"""),700000.0)</f>
        <v>700000</v>
      </c>
      <c r="J181" s="1">
        <f>IFERROR(__xludf.DUMMYFUNCTION("""COMPUTED_VALUE"""),10.0)</f>
        <v>10</v>
      </c>
      <c r="K181" s="1">
        <f>IFERROR(__xludf.DUMMYFUNCTION("""COMPUTED_VALUE"""),996000.0)</f>
        <v>996000</v>
      </c>
      <c r="L181" s="1">
        <f>IFERROR(__xludf.DUMMYFUNCTION("""COMPUTED_VALUE"""),1.0)</f>
        <v>1</v>
      </c>
      <c r="M181" s="1">
        <f>IFERROR(__xludf.DUMMYFUNCTION("""COMPUTED_VALUE"""),997000.0)</f>
        <v>997000</v>
      </c>
      <c r="N181" s="1">
        <f>IFERROR(__xludf.DUMMYFUNCTION("""COMPUTED_VALUE"""),2.0)</f>
        <v>2</v>
      </c>
      <c r="O181" s="1"/>
      <c r="P181" s="1"/>
      <c r="Q181" s="1">
        <f>IFERROR(__xludf.DUMMYFUNCTION("""COMPUTED_VALUE"""),0.0)</f>
        <v>0</v>
      </c>
      <c r="R181" s="1">
        <f>IFERROR(__xludf.DUMMYFUNCTION("""COMPUTED_VALUE"""),330133.84375)</f>
        <v>330133.8438</v>
      </c>
      <c r="S181" s="1"/>
      <c r="T181" s="1"/>
      <c r="U181" s="1">
        <f>IFERROR(__xludf.DUMMYFUNCTION("""COMPUTED_VALUE"""),0.0)</f>
        <v>0</v>
      </c>
      <c r="V181" s="1"/>
      <c r="W181" s="1"/>
      <c r="X181" s="1">
        <f>IFERROR(__xludf.DUMMYFUNCTION("""COMPUTED_VALUE"""),0.0)</f>
        <v>0</v>
      </c>
      <c r="Y181" s="1">
        <f>IFERROR(__xludf.DUMMYFUNCTION("""COMPUTED_VALUE"""),740000.0)</f>
        <v>740000</v>
      </c>
      <c r="Z181" s="1">
        <f>IFERROR(__xludf.DUMMYFUNCTION("""COMPUTED_VALUE"""),1.0)</f>
        <v>1</v>
      </c>
      <c r="AA181" s="1">
        <f>IFERROR(__xludf.DUMMYFUNCTION("""COMPUTED_VALUE"""),744000.0)</f>
        <v>744000</v>
      </c>
      <c r="AB181" s="1">
        <f>IFERROR(__xludf.DUMMYFUNCTION("""COMPUTED_VALUE"""),7.0)</f>
        <v>7</v>
      </c>
      <c r="AC181" s="1">
        <f>IFERROR(__xludf.DUMMYFUNCTION("""COMPUTED_VALUE"""),1.0)</f>
        <v>1</v>
      </c>
      <c r="AD181" s="1">
        <f>IFERROR(__xludf.DUMMYFUNCTION("""COMPUTED_VALUE"""),316000.0)</f>
        <v>316000</v>
      </c>
      <c r="AE181" s="1">
        <f>IFERROR(__xludf.DUMMYFUNCTION("""COMPUTED_VALUE"""),4.0)</f>
        <v>4</v>
      </c>
      <c r="AF181" s="1">
        <f>IFERROR(__xludf.DUMMYFUNCTION("""COMPUTED_VALUE"""),330133.84375)</f>
        <v>330133.8438</v>
      </c>
      <c r="AG181" s="1"/>
      <c r="AH181" s="1"/>
      <c r="AI181" s="1">
        <f>IFERROR(__xludf.DUMMYFUNCTION("""COMPUTED_VALUE"""),0.0)</f>
        <v>0</v>
      </c>
      <c r="AJ181" s="1"/>
      <c r="AK181" s="1"/>
      <c r="AL181" s="1">
        <f>IFERROR(__xludf.DUMMYFUNCTION("""COMPUTED_VALUE"""),0.0)</f>
        <v>0</v>
      </c>
      <c r="AM181" s="1">
        <f>IFERROR(__xludf.DUMMYFUNCTION("""COMPUTED_VALUE"""),947000.0)</f>
        <v>947000</v>
      </c>
      <c r="AN181" s="1">
        <f>IFERROR(__xludf.DUMMYFUNCTION("""COMPUTED_VALUE"""),1.0)</f>
        <v>1</v>
      </c>
      <c r="AO181" s="1">
        <f>IFERROR(__xludf.DUMMYFUNCTION("""COMPUTED_VALUE"""),940000.0)</f>
        <v>940000</v>
      </c>
      <c r="AP181" s="1">
        <f>IFERROR(__xludf.DUMMYFUNCTION("""COMPUTED_VALUE"""),3.0)</f>
        <v>3</v>
      </c>
      <c r="AQ181" s="1"/>
      <c r="AR181" s="1"/>
      <c r="AS181" s="1">
        <f>IFERROR(__xludf.DUMMYFUNCTION("""COMPUTED_VALUE"""),0.0)</f>
        <v>0</v>
      </c>
    </row>
    <row r="182">
      <c r="A182" s="1" t="str">
        <f>IFERROR(__xludf.DUMMYFUNCTION("""COMPUTED_VALUE"""),"LCR")</f>
        <v>LCR</v>
      </c>
      <c r="B182" s="1"/>
      <c r="C182" s="1"/>
      <c r="D182" s="1">
        <f>IFERROR(__xludf.DUMMYFUNCTION("""COMPUTED_VALUE"""),1850.0)</f>
        <v>1850</v>
      </c>
      <c r="E182" s="1">
        <f>IFERROR(__xludf.DUMMYFUNCTION("""COMPUTED_VALUE"""),436.0)</f>
        <v>436</v>
      </c>
      <c r="F182" s="1">
        <f>IFERROR(__xludf.DUMMYFUNCTION("""COMPUTED_VALUE"""),3990.0)</f>
        <v>3990</v>
      </c>
      <c r="G182" s="1">
        <f>IFERROR(__xludf.DUMMYFUNCTION("""COMPUTED_VALUE"""),517.0)</f>
        <v>517</v>
      </c>
      <c r="H182" s="1">
        <f>IFERROR(__xludf.DUMMYFUNCTION("""COMPUTED_VALUE"""),18.0)</f>
        <v>18</v>
      </c>
      <c r="I182" s="1">
        <f>IFERROR(__xludf.DUMMYFUNCTION("""COMPUTED_VALUE"""),1850.0)</f>
        <v>1850</v>
      </c>
      <c r="J182" s="1">
        <f>IFERROR(__xludf.DUMMYFUNCTION("""COMPUTED_VALUE"""),245.0)</f>
        <v>245</v>
      </c>
      <c r="K182" s="1">
        <f>IFERROR(__xludf.DUMMYFUNCTION("""COMPUTED_VALUE"""),1800.0)</f>
        <v>1800</v>
      </c>
      <c r="L182" s="1"/>
      <c r="M182" s="1"/>
      <c r="N182" s="1">
        <f>IFERROR(__xludf.DUMMYFUNCTION("""COMPUTED_VALUE"""),0.0)</f>
        <v>0</v>
      </c>
      <c r="O182" s="1">
        <f>IFERROR(__xludf.DUMMYFUNCTION("""COMPUTED_VALUE"""),98.0)</f>
        <v>98</v>
      </c>
      <c r="P182" s="1">
        <f>IFERROR(__xludf.DUMMYFUNCTION("""COMPUTED_VALUE"""),1840.0)</f>
        <v>1840</v>
      </c>
      <c r="Q182" s="1">
        <f>IFERROR(__xludf.DUMMYFUNCTION("""COMPUTED_VALUE"""),108.0)</f>
        <v>108</v>
      </c>
      <c r="R182" s="1">
        <f>IFERROR(__xludf.DUMMYFUNCTION("""COMPUTED_VALUE"""),2948.30004882812)</f>
        <v>2948.300049</v>
      </c>
      <c r="S182" s="1"/>
      <c r="T182" s="1"/>
      <c r="U182" s="1">
        <f>IFERROR(__xludf.DUMMYFUNCTION("""COMPUTED_VALUE"""),0.0)</f>
        <v>0</v>
      </c>
      <c r="V182" s="1"/>
      <c r="W182" s="1"/>
      <c r="X182" s="1">
        <f>IFERROR(__xludf.DUMMYFUNCTION("""COMPUTED_VALUE"""),0.0)</f>
        <v>0</v>
      </c>
      <c r="Y182" s="1">
        <f>IFERROR(__xludf.DUMMYFUNCTION("""COMPUTED_VALUE"""),4000.0)</f>
        <v>4000</v>
      </c>
      <c r="Z182" s="1">
        <f>IFERROR(__xludf.DUMMYFUNCTION("""COMPUTED_VALUE"""),225.0)</f>
        <v>225</v>
      </c>
      <c r="AA182" s="1">
        <f>IFERROR(__xludf.DUMMYFUNCTION("""COMPUTED_VALUE"""),4000.0)</f>
        <v>4000</v>
      </c>
      <c r="AB182" s="1">
        <f>IFERROR(__xludf.DUMMYFUNCTION("""COMPUTED_VALUE"""),225.0)</f>
        <v>225</v>
      </c>
      <c r="AC182" s="1">
        <f>IFERROR(__xludf.DUMMYFUNCTION("""COMPUTED_VALUE"""),20.0)</f>
        <v>20</v>
      </c>
      <c r="AD182" s="1">
        <f>IFERROR(__xludf.DUMMYFUNCTION("""COMPUTED_VALUE"""),1800.0)</f>
        <v>1800</v>
      </c>
      <c r="AE182" s="1">
        <f>IFERROR(__xludf.DUMMYFUNCTION("""COMPUTED_VALUE"""),20.0)</f>
        <v>20</v>
      </c>
      <c r="AF182" s="1">
        <f>IFERROR(__xludf.DUMMYFUNCTION("""COMPUTED_VALUE"""),2948.30004882812)</f>
        <v>2948.300049</v>
      </c>
      <c r="AG182" s="1"/>
      <c r="AH182" s="1"/>
      <c r="AI182" s="1">
        <f>IFERROR(__xludf.DUMMYFUNCTION("""COMPUTED_VALUE"""),0.0)</f>
        <v>0</v>
      </c>
      <c r="AJ182" s="1"/>
      <c r="AK182" s="1"/>
      <c r="AL182" s="1">
        <f>IFERROR(__xludf.DUMMYFUNCTION("""COMPUTED_VALUE"""),0.0)</f>
        <v>0</v>
      </c>
      <c r="AM182" s="1">
        <f>IFERROR(__xludf.DUMMYFUNCTION("""COMPUTED_VALUE"""),2250.0)</f>
        <v>2250</v>
      </c>
      <c r="AN182" s="1">
        <f>IFERROR(__xludf.DUMMYFUNCTION("""COMPUTED_VALUE"""),5.0)</f>
        <v>5</v>
      </c>
      <c r="AO182" s="1">
        <f>IFERROR(__xludf.DUMMYFUNCTION("""COMPUTED_VALUE"""),2250.0)</f>
        <v>2250</v>
      </c>
      <c r="AP182" s="1">
        <f>IFERROR(__xludf.DUMMYFUNCTION("""COMPUTED_VALUE"""),5.0)</f>
        <v>5</v>
      </c>
      <c r="AQ182" s="1">
        <f>IFERROR(__xludf.DUMMYFUNCTION("""COMPUTED_VALUE"""),20.0)</f>
        <v>20</v>
      </c>
      <c r="AR182" s="1">
        <f>IFERROR(__xludf.DUMMYFUNCTION("""COMPUTED_VALUE"""),1800.0)</f>
        <v>1800</v>
      </c>
      <c r="AS182" s="1">
        <f>IFERROR(__xludf.DUMMYFUNCTION("""COMPUTED_VALUE"""),20.0)</f>
        <v>20</v>
      </c>
    </row>
    <row r="183">
      <c r="A183" s="1" t="str">
        <f>IFERROR(__xludf.DUMMYFUNCTION("""COMPUTED_VALUE"""),"LD")</f>
        <v>LD</v>
      </c>
      <c r="B183" s="1"/>
      <c r="C183" s="1"/>
      <c r="D183" s="1">
        <f>IFERROR(__xludf.DUMMYFUNCTION("""COMPUTED_VALUE"""),11500.0)</f>
        <v>11500</v>
      </c>
      <c r="E183" s="1">
        <f>IFERROR(__xludf.DUMMYFUNCTION("""COMPUTED_VALUE"""),1660.0)</f>
        <v>1660</v>
      </c>
      <c r="F183" s="1">
        <f>IFERROR(__xludf.DUMMYFUNCTION("""COMPUTED_VALUE"""),12500.0)</f>
        <v>12500</v>
      </c>
      <c r="G183" s="1">
        <f>IFERROR(__xludf.DUMMYFUNCTION("""COMPUTED_VALUE"""),1706.0)</f>
        <v>1706</v>
      </c>
      <c r="H183" s="1">
        <f>IFERROR(__xludf.DUMMYFUNCTION("""COMPUTED_VALUE"""),235.0)</f>
        <v>235</v>
      </c>
      <c r="I183" s="1">
        <f>IFERROR(__xludf.DUMMYFUNCTION("""COMPUTED_VALUE"""),11500.0)</f>
        <v>11500</v>
      </c>
      <c r="J183" s="1">
        <f>IFERROR(__xludf.DUMMYFUNCTION("""COMPUTED_VALUE"""),613.0)</f>
        <v>613</v>
      </c>
      <c r="K183" s="1">
        <f>IFERROR(__xludf.DUMMYFUNCTION("""COMPUTED_VALUE"""),12000.0)</f>
        <v>12000</v>
      </c>
      <c r="L183" s="1">
        <f>IFERROR(__xludf.DUMMYFUNCTION("""COMPUTED_VALUE"""),13.0)</f>
        <v>13</v>
      </c>
      <c r="M183" s="1">
        <f>IFERROR(__xludf.DUMMYFUNCTION("""COMPUTED_VALUE"""),12000.0)</f>
        <v>12000</v>
      </c>
      <c r="N183" s="1">
        <f>IFERROR(__xludf.DUMMYFUNCTION("""COMPUTED_VALUE"""),301.0)</f>
        <v>301</v>
      </c>
      <c r="O183" s="1">
        <f>IFERROR(__xludf.DUMMYFUNCTION("""COMPUTED_VALUE"""),30.0)</f>
        <v>30</v>
      </c>
      <c r="P183" s="1">
        <f>IFERROR(__xludf.DUMMYFUNCTION("""COMPUTED_VALUE"""),9000.0)</f>
        <v>9000</v>
      </c>
      <c r="Q183" s="1">
        <f>IFERROR(__xludf.DUMMYFUNCTION("""COMPUTED_VALUE"""),96.0)</f>
        <v>96</v>
      </c>
      <c r="R183" s="1">
        <f>IFERROR(__xludf.DUMMYFUNCTION("""COMPUTED_VALUE"""),5092.5)</f>
        <v>5092.5</v>
      </c>
      <c r="S183" s="1"/>
      <c r="T183" s="1"/>
      <c r="U183" s="1">
        <f>IFERROR(__xludf.DUMMYFUNCTION("""COMPUTED_VALUE"""),0.0)</f>
        <v>0</v>
      </c>
      <c r="V183" s="1"/>
      <c r="W183" s="1"/>
      <c r="X183" s="1">
        <f>IFERROR(__xludf.DUMMYFUNCTION("""COMPUTED_VALUE"""),0.0)</f>
        <v>0</v>
      </c>
      <c r="Y183" s="1">
        <f>IFERROR(__xludf.DUMMYFUNCTION("""COMPUTED_VALUE"""),11000.0)</f>
        <v>11000</v>
      </c>
      <c r="Z183" s="1">
        <f>IFERROR(__xludf.DUMMYFUNCTION("""COMPUTED_VALUE"""),10.0)</f>
        <v>10</v>
      </c>
      <c r="AA183" s="1">
        <f>IFERROR(__xludf.DUMMYFUNCTION("""COMPUTED_VALUE"""),12000.0)</f>
        <v>12000</v>
      </c>
      <c r="AB183" s="1">
        <f>IFERROR(__xludf.DUMMYFUNCTION("""COMPUTED_VALUE"""),239.0)</f>
        <v>239</v>
      </c>
      <c r="AC183" s="1">
        <f>IFERROR(__xludf.DUMMYFUNCTION("""COMPUTED_VALUE"""),50.0)</f>
        <v>50</v>
      </c>
      <c r="AD183" s="1">
        <f>IFERROR(__xludf.DUMMYFUNCTION("""COMPUTED_VALUE"""),11000.0)</f>
        <v>11000</v>
      </c>
      <c r="AE183" s="1">
        <f>IFERROR(__xludf.DUMMYFUNCTION("""COMPUTED_VALUE"""),287.0)</f>
        <v>287</v>
      </c>
      <c r="AF183" s="1">
        <f>IFERROR(__xludf.DUMMYFUNCTION("""COMPUTED_VALUE"""),5092.5)</f>
        <v>5092.5</v>
      </c>
      <c r="AG183" s="1"/>
      <c r="AH183" s="1"/>
      <c r="AI183" s="1">
        <f>IFERROR(__xludf.DUMMYFUNCTION("""COMPUTED_VALUE"""),0.0)</f>
        <v>0</v>
      </c>
      <c r="AJ183" s="1"/>
      <c r="AK183" s="1"/>
      <c r="AL183" s="1">
        <f>IFERROR(__xludf.DUMMYFUNCTION("""COMPUTED_VALUE"""),0.0)</f>
        <v>0</v>
      </c>
      <c r="AM183" s="1">
        <f>IFERROR(__xludf.DUMMYFUNCTION("""COMPUTED_VALUE"""),9949.8603515625)</f>
        <v>9949.860352</v>
      </c>
      <c r="AN183" s="1">
        <f>IFERROR(__xludf.DUMMYFUNCTION("""COMPUTED_VALUE"""),50.0)</f>
        <v>50</v>
      </c>
      <c r="AO183" s="1">
        <f>IFERROR(__xludf.DUMMYFUNCTION("""COMPUTED_VALUE"""),13000.0)</f>
        <v>13000</v>
      </c>
      <c r="AP183" s="1">
        <f>IFERROR(__xludf.DUMMYFUNCTION("""COMPUTED_VALUE"""),50.0)</f>
        <v>50</v>
      </c>
      <c r="AQ183" s="1"/>
      <c r="AR183" s="1"/>
      <c r="AS183" s="1">
        <f>IFERROR(__xludf.DUMMYFUNCTION("""COMPUTED_VALUE"""),0.0)</f>
        <v>0</v>
      </c>
    </row>
    <row r="184">
      <c r="A184" s="1" t="str">
        <f>IFERROR(__xludf.DUMMYFUNCTION("""COMPUTED_VALUE"""),"LDE")</f>
        <v>LDE</v>
      </c>
      <c r="B184" s="1"/>
      <c r="C184" s="1"/>
      <c r="D184" s="1">
        <f>IFERROR(__xludf.DUMMYFUNCTION("""COMPUTED_VALUE"""),11100.0)</f>
        <v>11100</v>
      </c>
      <c r="E184" s="1">
        <f>IFERROR(__xludf.DUMMYFUNCTION("""COMPUTED_VALUE"""),21.0)</f>
        <v>21</v>
      </c>
      <c r="F184" s="1">
        <f>IFERROR(__xludf.DUMMYFUNCTION("""COMPUTED_VALUE"""),11100.0)</f>
        <v>11100</v>
      </c>
      <c r="G184" s="1">
        <f>IFERROR(__xludf.DUMMYFUNCTION("""COMPUTED_VALUE"""),1837.0)</f>
        <v>1837</v>
      </c>
      <c r="H184" s="1">
        <f>IFERROR(__xludf.DUMMYFUNCTION("""COMPUTED_VALUE"""),80.0)</f>
        <v>80</v>
      </c>
      <c r="I184" s="1">
        <f>IFERROR(__xludf.DUMMYFUNCTION("""COMPUTED_VALUE"""),10400.0)</f>
        <v>10400</v>
      </c>
      <c r="J184" s="1">
        <f>IFERROR(__xludf.DUMMYFUNCTION("""COMPUTED_VALUE"""),1796.0)</f>
        <v>1796</v>
      </c>
      <c r="K184" s="1">
        <f>IFERROR(__xludf.DUMMYFUNCTION("""COMPUTED_VALUE"""),11458.330078125)</f>
        <v>11458.33008</v>
      </c>
      <c r="L184" s="1">
        <f>IFERROR(__xludf.DUMMYFUNCTION("""COMPUTED_VALUE"""),143.0)</f>
        <v>143</v>
      </c>
      <c r="M184" s="1">
        <f>IFERROR(__xludf.DUMMYFUNCTION("""COMPUTED_VALUE"""),11500.0)</f>
        <v>11500</v>
      </c>
      <c r="N184" s="1">
        <f>IFERROR(__xludf.DUMMYFUNCTION("""COMPUTED_VALUE"""),948.0)</f>
        <v>948</v>
      </c>
      <c r="O184" s="1">
        <f>IFERROR(__xludf.DUMMYFUNCTION("""COMPUTED_VALUE"""),4.0)</f>
        <v>4</v>
      </c>
      <c r="P184" s="1">
        <f>IFERROR(__xludf.DUMMYFUNCTION("""COMPUTED_VALUE"""),10300.0)</f>
        <v>10300</v>
      </c>
      <c r="Q184" s="1">
        <f>IFERROR(__xludf.DUMMYFUNCTION("""COMPUTED_VALUE"""),202.0)</f>
        <v>202</v>
      </c>
      <c r="R184" s="1">
        <f>IFERROR(__xludf.DUMMYFUNCTION("""COMPUTED_VALUE"""),10000.0)</f>
        <v>10000</v>
      </c>
      <c r="S184" s="1">
        <f>IFERROR(__xludf.DUMMYFUNCTION("""COMPUTED_VALUE"""),50.0)</f>
        <v>50</v>
      </c>
      <c r="T184" s="1">
        <f>IFERROR(__xludf.DUMMYFUNCTION("""COMPUTED_VALUE"""),11500.0)</f>
        <v>11500</v>
      </c>
      <c r="U184" s="1">
        <f>IFERROR(__xludf.DUMMYFUNCTION("""COMPUTED_VALUE"""),150.0)</f>
        <v>150</v>
      </c>
      <c r="V184" s="1"/>
      <c r="W184" s="1"/>
      <c r="X184" s="1">
        <f>IFERROR(__xludf.DUMMYFUNCTION("""COMPUTED_VALUE"""),0.0)</f>
        <v>0</v>
      </c>
      <c r="Y184" s="1">
        <f>IFERROR(__xludf.DUMMYFUNCTION("""COMPUTED_VALUE"""),10900.0)</f>
        <v>10900</v>
      </c>
      <c r="Z184" s="1">
        <f>IFERROR(__xludf.DUMMYFUNCTION("""COMPUTED_VALUE"""),205.0)</f>
        <v>205</v>
      </c>
      <c r="AA184" s="1">
        <f>IFERROR(__xludf.DUMMYFUNCTION("""COMPUTED_VALUE"""),10900.0)</f>
        <v>10900</v>
      </c>
      <c r="AB184" s="1">
        <f>IFERROR(__xludf.DUMMYFUNCTION("""COMPUTED_VALUE"""),3005.0)</f>
        <v>3005</v>
      </c>
      <c r="AC184" s="1">
        <f>IFERROR(__xludf.DUMMYFUNCTION("""COMPUTED_VALUE"""),134.0)</f>
        <v>134</v>
      </c>
      <c r="AD184" s="1">
        <f>IFERROR(__xludf.DUMMYFUNCTION("""COMPUTED_VALUE"""),9940.0)</f>
        <v>9940</v>
      </c>
      <c r="AE184" s="1">
        <f>IFERROR(__xludf.DUMMYFUNCTION("""COMPUTED_VALUE"""),2976.0)</f>
        <v>2976</v>
      </c>
      <c r="AF184" s="1">
        <f>IFERROR(__xludf.DUMMYFUNCTION("""COMPUTED_VALUE"""),11800.0)</f>
        <v>11800</v>
      </c>
      <c r="AG184" s="1">
        <f>IFERROR(__xludf.DUMMYFUNCTION("""COMPUTED_VALUE"""),143.0)</f>
        <v>143</v>
      </c>
      <c r="AH184" s="1">
        <f>IFERROR(__xludf.DUMMYFUNCTION("""COMPUTED_VALUE"""),11800.0)</f>
        <v>11800</v>
      </c>
      <c r="AI184" s="1">
        <f>IFERROR(__xludf.DUMMYFUNCTION("""COMPUTED_VALUE"""),143.0)</f>
        <v>143</v>
      </c>
      <c r="AJ184" s="1">
        <f>IFERROR(__xludf.DUMMYFUNCTION("""COMPUTED_VALUE"""),10.0)</f>
        <v>10</v>
      </c>
      <c r="AK184" s="1">
        <f>IFERROR(__xludf.DUMMYFUNCTION("""COMPUTED_VALUE"""),6500.0)</f>
        <v>6500</v>
      </c>
      <c r="AL184" s="1">
        <f>IFERROR(__xludf.DUMMYFUNCTION("""COMPUTED_VALUE"""),10.0)</f>
        <v>10</v>
      </c>
      <c r="AM184" s="1">
        <f>IFERROR(__xludf.DUMMYFUNCTION("""COMPUTED_VALUE"""),10100.0)</f>
        <v>10100</v>
      </c>
      <c r="AN184" s="1">
        <f>IFERROR(__xludf.DUMMYFUNCTION("""COMPUTED_VALUE"""),30.0)</f>
        <v>30</v>
      </c>
      <c r="AO184" s="1">
        <f>IFERROR(__xludf.DUMMYFUNCTION("""COMPUTED_VALUE"""),10000.0)</f>
        <v>10000</v>
      </c>
      <c r="AP184" s="1">
        <f>IFERROR(__xludf.DUMMYFUNCTION("""COMPUTED_VALUE"""),1881.0)</f>
        <v>1881</v>
      </c>
      <c r="AQ184" s="1">
        <f>IFERROR(__xludf.DUMMYFUNCTION("""COMPUTED_VALUE"""),1000.0)</f>
        <v>1000</v>
      </c>
      <c r="AR184" s="1">
        <f>IFERROR(__xludf.DUMMYFUNCTION("""COMPUTED_VALUE"""),8000.0)</f>
        <v>8000</v>
      </c>
      <c r="AS184" s="1">
        <f>IFERROR(__xludf.DUMMYFUNCTION("""COMPUTED_VALUE"""),1410.0)</f>
        <v>1410</v>
      </c>
    </row>
    <row r="185">
      <c r="A185" s="1" t="str">
        <f>IFERROR(__xludf.DUMMYFUNCTION("""COMPUTED_VALUE"""),"LDI")</f>
        <v>LDI</v>
      </c>
      <c r="B185" s="1"/>
      <c r="C185" s="1"/>
      <c r="D185" s="1">
        <f>IFERROR(__xludf.DUMMYFUNCTION("""COMPUTED_VALUE"""),450.0)</f>
        <v>450</v>
      </c>
      <c r="E185" s="1">
        <f>IFERROR(__xludf.DUMMYFUNCTION("""COMPUTED_VALUE"""),415.0)</f>
        <v>415</v>
      </c>
      <c r="F185" s="1">
        <f>IFERROR(__xludf.DUMMYFUNCTION("""COMPUTED_VALUE"""),449.0)</f>
        <v>449</v>
      </c>
      <c r="G185" s="1">
        <f>IFERROR(__xludf.DUMMYFUNCTION("""COMPUTED_VALUE"""),1925.0)</f>
        <v>1925</v>
      </c>
      <c r="H185" s="1">
        <f>IFERROR(__xludf.DUMMYFUNCTION("""COMPUTED_VALUE"""),500.0)</f>
        <v>500</v>
      </c>
      <c r="I185" s="1">
        <f>IFERROR(__xludf.DUMMYFUNCTION("""COMPUTED_VALUE"""),103.0)</f>
        <v>103</v>
      </c>
      <c r="J185" s="1">
        <f>IFERROR(__xludf.DUMMYFUNCTION("""COMPUTED_VALUE"""),2941.0)</f>
        <v>2941</v>
      </c>
      <c r="K185" s="1">
        <f>IFERROR(__xludf.DUMMYFUNCTION("""COMPUTED_VALUE"""),644.0)</f>
        <v>644</v>
      </c>
      <c r="L185" s="1">
        <f>IFERROR(__xludf.DUMMYFUNCTION("""COMPUTED_VALUE"""),4806.0)</f>
        <v>4806</v>
      </c>
      <c r="M185" s="1">
        <f>IFERROR(__xludf.DUMMYFUNCTION("""COMPUTED_VALUE"""),644.0)</f>
        <v>644</v>
      </c>
      <c r="N185" s="1">
        <f>IFERROR(__xludf.DUMMYFUNCTION("""COMPUTED_VALUE"""),5953.0)</f>
        <v>5953</v>
      </c>
      <c r="O185" s="1">
        <f>IFERROR(__xludf.DUMMYFUNCTION("""COMPUTED_VALUE"""),547.0)</f>
        <v>547</v>
      </c>
      <c r="P185" s="1">
        <f>IFERROR(__xludf.DUMMYFUNCTION("""COMPUTED_VALUE"""),332.0)</f>
        <v>332</v>
      </c>
      <c r="Q185" s="1">
        <f>IFERROR(__xludf.DUMMYFUNCTION("""COMPUTED_VALUE"""),548.0)</f>
        <v>548</v>
      </c>
      <c r="R185" s="1">
        <f>IFERROR(__xludf.DUMMYFUNCTION("""COMPUTED_VALUE"""),282.579986572265)</f>
        <v>282.5799866</v>
      </c>
      <c r="S185" s="1"/>
      <c r="T185" s="1"/>
      <c r="U185" s="1">
        <f>IFERROR(__xludf.DUMMYFUNCTION("""COMPUTED_VALUE"""),0.0)</f>
        <v>0</v>
      </c>
      <c r="V185" s="1"/>
      <c r="W185" s="1"/>
      <c r="X185" s="1">
        <f>IFERROR(__xludf.DUMMYFUNCTION("""COMPUTED_VALUE"""),0.0)</f>
        <v>0</v>
      </c>
      <c r="Y185" s="1">
        <f>IFERROR(__xludf.DUMMYFUNCTION("""COMPUTED_VALUE"""),544.0)</f>
        <v>544</v>
      </c>
      <c r="Z185" s="1">
        <f>IFERROR(__xludf.DUMMYFUNCTION("""COMPUTED_VALUE"""),119.0)</f>
        <v>119</v>
      </c>
      <c r="AA185" s="1">
        <f>IFERROR(__xludf.DUMMYFUNCTION("""COMPUTED_VALUE"""),544.0)</f>
        <v>544</v>
      </c>
      <c r="AB185" s="1">
        <f>IFERROR(__xludf.DUMMYFUNCTION("""COMPUTED_VALUE"""),10650.0)</f>
        <v>10650</v>
      </c>
      <c r="AC185" s="1">
        <f>IFERROR(__xludf.DUMMYFUNCTION("""COMPUTED_VALUE"""),233.0)</f>
        <v>233</v>
      </c>
      <c r="AD185" s="1">
        <f>IFERROR(__xludf.DUMMYFUNCTION("""COMPUTED_VALUE"""),401.0)</f>
        <v>401</v>
      </c>
      <c r="AE185" s="1">
        <f>IFERROR(__xludf.DUMMYFUNCTION("""COMPUTED_VALUE"""),1812.0)</f>
        <v>1812</v>
      </c>
      <c r="AF185" s="1">
        <f>IFERROR(__xludf.DUMMYFUNCTION("""COMPUTED_VALUE"""),375.0)</f>
        <v>375</v>
      </c>
      <c r="AG185" s="1">
        <f>IFERROR(__xludf.DUMMYFUNCTION("""COMPUTED_VALUE"""),20.0)</f>
        <v>20</v>
      </c>
      <c r="AH185" s="1">
        <f>IFERROR(__xludf.DUMMYFUNCTION("""COMPUTED_VALUE"""),740.0)</f>
        <v>740</v>
      </c>
      <c r="AI185" s="1">
        <f>IFERROR(__xludf.DUMMYFUNCTION("""COMPUTED_VALUE"""),20.0)</f>
        <v>20</v>
      </c>
      <c r="AJ185" s="1"/>
      <c r="AK185" s="1"/>
      <c r="AL185" s="1">
        <f>IFERROR(__xludf.DUMMYFUNCTION("""COMPUTED_VALUE"""),0.0)</f>
        <v>0</v>
      </c>
      <c r="AM185" s="1">
        <f>IFERROR(__xludf.DUMMYFUNCTION("""COMPUTED_VALUE"""),500.0)</f>
        <v>500</v>
      </c>
      <c r="AN185" s="1">
        <f>IFERROR(__xludf.DUMMYFUNCTION("""COMPUTED_VALUE"""),1593.0)</f>
        <v>1593</v>
      </c>
      <c r="AO185" s="1">
        <f>IFERROR(__xludf.DUMMYFUNCTION("""COMPUTED_VALUE"""),525.0)</f>
        <v>525</v>
      </c>
      <c r="AP185" s="1">
        <f>IFERROR(__xludf.DUMMYFUNCTION("""COMPUTED_VALUE"""),2961.0)</f>
        <v>2961</v>
      </c>
      <c r="AQ185" s="1"/>
      <c r="AR185" s="1"/>
      <c r="AS185" s="1">
        <f>IFERROR(__xludf.DUMMYFUNCTION("""COMPUTED_VALUE"""),0.0)</f>
        <v>0</v>
      </c>
    </row>
    <row r="186">
      <c r="A186" s="1" t="str">
        <f>IFERROR(__xludf.DUMMYFUNCTION("""COMPUTED_VALUE"""),"LES")</f>
        <v>LES</v>
      </c>
      <c r="B186" s="1"/>
      <c r="C186" s="1"/>
      <c r="D186" s="1">
        <f>IFERROR(__xludf.DUMMYFUNCTION("""COMPUTED_VALUE"""),618.559997558593)</f>
        <v>618.5599976</v>
      </c>
      <c r="E186" s="1">
        <f>IFERROR(__xludf.DUMMYFUNCTION("""COMPUTED_VALUE"""),100.0)</f>
        <v>100</v>
      </c>
      <c r="F186" s="1">
        <f>IFERROR(__xludf.DUMMYFUNCTION("""COMPUTED_VALUE"""),1780.0)</f>
        <v>1780</v>
      </c>
      <c r="G186" s="1">
        <f>IFERROR(__xludf.DUMMYFUNCTION("""COMPUTED_VALUE"""),2810.0)</f>
        <v>2810</v>
      </c>
      <c r="H186" s="1">
        <f>IFERROR(__xludf.DUMMYFUNCTION("""COMPUTED_VALUE"""),100.0)</f>
        <v>100</v>
      </c>
      <c r="I186" s="1">
        <f>IFERROR(__xludf.DUMMYFUNCTION("""COMPUTED_VALUE"""),501.0)</f>
        <v>501</v>
      </c>
      <c r="J186" s="1">
        <f>IFERROR(__xludf.DUMMYFUNCTION("""COMPUTED_VALUE"""),1129.0)</f>
        <v>1129</v>
      </c>
      <c r="K186" s="1">
        <f>IFERROR(__xludf.DUMMYFUNCTION("""COMPUTED_VALUE"""),900.0)</f>
        <v>900</v>
      </c>
      <c r="L186" s="1">
        <f>IFERROR(__xludf.DUMMYFUNCTION("""COMPUTED_VALUE"""),200.0)</f>
        <v>200</v>
      </c>
      <c r="M186" s="1">
        <f>IFERROR(__xludf.DUMMYFUNCTION("""COMPUTED_VALUE"""),1400.0)</f>
        <v>1400</v>
      </c>
      <c r="N186" s="1">
        <f>IFERROR(__xludf.DUMMYFUNCTION("""COMPUTED_VALUE"""),590.0)</f>
        <v>590</v>
      </c>
      <c r="O186" s="1">
        <f>IFERROR(__xludf.DUMMYFUNCTION("""COMPUTED_VALUE"""),100.0)</f>
        <v>100</v>
      </c>
      <c r="P186" s="1">
        <f>IFERROR(__xludf.DUMMYFUNCTION("""COMPUTED_VALUE"""),701.0)</f>
        <v>701</v>
      </c>
      <c r="Q186" s="1">
        <f>IFERROR(__xludf.DUMMYFUNCTION("""COMPUTED_VALUE"""),290.0)</f>
        <v>290</v>
      </c>
      <c r="R186" s="1">
        <f>IFERROR(__xludf.DUMMYFUNCTION("""COMPUTED_VALUE"""),228.570007324218)</f>
        <v>228.5700073</v>
      </c>
      <c r="S186" s="1">
        <f>IFERROR(__xludf.DUMMYFUNCTION("""COMPUTED_VALUE"""),50.0)</f>
        <v>50</v>
      </c>
      <c r="T186" s="1">
        <f>IFERROR(__xludf.DUMMYFUNCTION("""COMPUTED_VALUE"""),1500.0)</f>
        <v>1500</v>
      </c>
      <c r="U186" s="1">
        <f>IFERROR(__xludf.DUMMYFUNCTION("""COMPUTED_VALUE"""),150.0)</f>
        <v>150</v>
      </c>
      <c r="V186" s="1"/>
      <c r="W186" s="1"/>
      <c r="X186" s="1">
        <f>IFERROR(__xludf.DUMMYFUNCTION("""COMPUTED_VALUE"""),0.0)</f>
        <v>0</v>
      </c>
      <c r="Y186" s="1">
        <f>IFERROR(__xludf.DUMMYFUNCTION("""COMPUTED_VALUE"""),1250.0)</f>
        <v>1250</v>
      </c>
      <c r="Z186" s="1">
        <f>IFERROR(__xludf.DUMMYFUNCTION("""COMPUTED_VALUE"""),99.0)</f>
        <v>99</v>
      </c>
      <c r="AA186" s="1">
        <f>IFERROR(__xludf.DUMMYFUNCTION("""COMPUTED_VALUE"""),1240.0)</f>
        <v>1240</v>
      </c>
      <c r="AB186" s="1">
        <f>IFERROR(__xludf.DUMMYFUNCTION("""COMPUTED_VALUE"""),7691.0)</f>
        <v>7691</v>
      </c>
      <c r="AC186" s="1">
        <f>IFERROR(__xludf.DUMMYFUNCTION("""COMPUTED_VALUE"""),500.0)</f>
        <v>500</v>
      </c>
      <c r="AD186" s="1">
        <f>IFERROR(__xludf.DUMMYFUNCTION("""COMPUTED_VALUE"""),750.0)</f>
        <v>750</v>
      </c>
      <c r="AE186" s="1">
        <f>IFERROR(__xludf.DUMMYFUNCTION("""COMPUTED_VALUE"""),2000.0)</f>
        <v>2000</v>
      </c>
      <c r="AF186" s="1">
        <f>IFERROR(__xludf.DUMMYFUNCTION("""COMPUTED_VALUE"""),228.570007324218)</f>
        <v>228.5700073</v>
      </c>
      <c r="AG186" s="1"/>
      <c r="AH186" s="1"/>
      <c r="AI186" s="1">
        <f>IFERROR(__xludf.DUMMYFUNCTION("""COMPUTED_VALUE"""),0.0)</f>
        <v>0</v>
      </c>
      <c r="AJ186" s="1"/>
      <c r="AK186" s="1"/>
      <c r="AL186" s="1">
        <f>IFERROR(__xludf.DUMMYFUNCTION("""COMPUTED_VALUE"""),0.0)</f>
        <v>0</v>
      </c>
      <c r="AM186" s="1">
        <f>IFERROR(__xludf.DUMMYFUNCTION("""COMPUTED_VALUE"""),1430.0)</f>
        <v>1430</v>
      </c>
      <c r="AN186" s="1">
        <f>IFERROR(__xludf.DUMMYFUNCTION("""COMPUTED_VALUE"""),43.0)</f>
        <v>43</v>
      </c>
      <c r="AO186" s="1">
        <f>IFERROR(__xludf.DUMMYFUNCTION("""COMPUTED_VALUE"""),1400.0)</f>
        <v>1400</v>
      </c>
      <c r="AP186" s="1">
        <f>IFERROR(__xludf.DUMMYFUNCTION("""COMPUTED_VALUE"""),667.0)</f>
        <v>667</v>
      </c>
      <c r="AQ186" s="1"/>
      <c r="AR186" s="1"/>
      <c r="AS186" s="1">
        <f>IFERROR(__xludf.DUMMYFUNCTION("""COMPUTED_VALUE"""),0.0)</f>
        <v>0</v>
      </c>
    </row>
    <row r="187">
      <c r="A187" s="1" t="str">
        <f>IFERROR(__xludf.DUMMYFUNCTION("""COMPUTED_VALUE"""),"LFE")</f>
        <v>LFE</v>
      </c>
      <c r="B187" s="1"/>
      <c r="C187" s="1"/>
      <c r="D187" s="1">
        <f>IFERROR(__xludf.DUMMYFUNCTION("""COMPUTED_VALUE"""),169000.0)</f>
        <v>169000</v>
      </c>
      <c r="E187" s="1">
        <f>IFERROR(__xludf.DUMMYFUNCTION("""COMPUTED_VALUE"""),2.0)</f>
        <v>2</v>
      </c>
      <c r="F187" s="1">
        <f>IFERROR(__xludf.DUMMYFUNCTION("""COMPUTED_VALUE"""),169000.0)</f>
        <v>169000</v>
      </c>
      <c r="G187" s="1">
        <f>IFERROR(__xludf.DUMMYFUNCTION("""COMPUTED_VALUE"""),59.0)</f>
        <v>59</v>
      </c>
      <c r="H187" s="1">
        <f>IFERROR(__xludf.DUMMYFUNCTION("""COMPUTED_VALUE"""),9.0)</f>
        <v>9</v>
      </c>
      <c r="I187" s="1">
        <f>IFERROR(__xludf.DUMMYFUNCTION("""COMPUTED_VALUE"""),150000.0)</f>
        <v>150000</v>
      </c>
      <c r="J187" s="1">
        <f>IFERROR(__xludf.DUMMYFUNCTION("""COMPUTED_VALUE"""),9.0)</f>
        <v>9</v>
      </c>
      <c r="K187" s="1">
        <f>IFERROR(__xludf.DUMMYFUNCTION("""COMPUTED_VALUE"""),181500.0)</f>
        <v>181500</v>
      </c>
      <c r="L187" s="1">
        <f>IFERROR(__xludf.DUMMYFUNCTION("""COMPUTED_VALUE"""),2.0)</f>
        <v>2</v>
      </c>
      <c r="M187" s="1">
        <f>IFERROR(__xludf.DUMMYFUNCTION("""COMPUTED_VALUE"""),185000.0)</f>
        <v>185000</v>
      </c>
      <c r="N187" s="1">
        <f>IFERROR(__xludf.DUMMYFUNCTION("""COMPUTED_VALUE"""),5.0)</f>
        <v>5</v>
      </c>
      <c r="O187" s="1">
        <f>IFERROR(__xludf.DUMMYFUNCTION("""COMPUTED_VALUE"""),1.0)</f>
        <v>1</v>
      </c>
      <c r="P187" s="1">
        <f>IFERROR(__xludf.DUMMYFUNCTION("""COMPUTED_VALUE"""),153000.0)</f>
        <v>153000</v>
      </c>
      <c r="Q187" s="1">
        <f>IFERROR(__xludf.DUMMYFUNCTION("""COMPUTED_VALUE"""),11.0)</f>
        <v>11</v>
      </c>
      <c r="R187" s="1">
        <f>IFERROR(__xludf.DUMMYFUNCTION("""COMPUTED_VALUE"""),75255.75)</f>
        <v>75255.75</v>
      </c>
      <c r="S187" s="1"/>
      <c r="T187" s="1"/>
      <c r="U187" s="1">
        <f>IFERROR(__xludf.DUMMYFUNCTION("""COMPUTED_VALUE"""),0.0)</f>
        <v>0</v>
      </c>
      <c r="V187" s="1"/>
      <c r="W187" s="1"/>
      <c r="X187" s="1">
        <f>IFERROR(__xludf.DUMMYFUNCTION("""COMPUTED_VALUE"""),0.0)</f>
        <v>0</v>
      </c>
      <c r="Y187" s="1">
        <f>IFERROR(__xludf.DUMMYFUNCTION("""COMPUTED_VALUE"""),175000.0)</f>
        <v>175000</v>
      </c>
      <c r="Z187" s="1">
        <f>IFERROR(__xludf.DUMMYFUNCTION("""COMPUTED_VALUE"""),3.0)</f>
        <v>3</v>
      </c>
      <c r="AA187" s="1">
        <f>IFERROR(__xludf.DUMMYFUNCTION("""COMPUTED_VALUE"""),175000.0)</f>
        <v>175000</v>
      </c>
      <c r="AB187" s="1">
        <f>IFERROR(__xludf.DUMMYFUNCTION("""COMPUTED_VALUE"""),49.0)</f>
        <v>49</v>
      </c>
      <c r="AC187" s="1">
        <f>IFERROR(__xludf.DUMMYFUNCTION("""COMPUTED_VALUE"""),10.0)</f>
        <v>10</v>
      </c>
      <c r="AD187" s="1">
        <f>IFERROR(__xludf.DUMMYFUNCTION("""COMPUTED_VALUE"""),150000.0)</f>
        <v>150000</v>
      </c>
      <c r="AE187" s="1">
        <f>IFERROR(__xludf.DUMMYFUNCTION("""COMPUTED_VALUE"""),11.0)</f>
        <v>11</v>
      </c>
      <c r="AF187" s="1">
        <f>IFERROR(__xludf.DUMMYFUNCTION("""COMPUTED_VALUE"""),75255.75)</f>
        <v>75255.75</v>
      </c>
      <c r="AG187" s="1"/>
      <c r="AH187" s="1"/>
      <c r="AI187" s="1">
        <f>IFERROR(__xludf.DUMMYFUNCTION("""COMPUTED_VALUE"""),0.0)</f>
        <v>0</v>
      </c>
      <c r="AJ187" s="1"/>
      <c r="AK187" s="1"/>
      <c r="AL187" s="1">
        <f>IFERROR(__xludf.DUMMYFUNCTION("""COMPUTED_VALUE"""),0.0)</f>
        <v>0</v>
      </c>
      <c r="AM187" s="1">
        <f>IFERROR(__xludf.DUMMYFUNCTION("""COMPUTED_VALUE"""),174000.0)</f>
        <v>174000</v>
      </c>
      <c r="AN187" s="1">
        <f>IFERROR(__xludf.DUMMYFUNCTION("""COMPUTED_VALUE"""),6.0)</f>
        <v>6</v>
      </c>
      <c r="AO187" s="1">
        <f>IFERROR(__xludf.DUMMYFUNCTION("""COMPUTED_VALUE"""),174000.0)</f>
        <v>174000</v>
      </c>
      <c r="AP187" s="1">
        <f>IFERROR(__xludf.DUMMYFUNCTION("""COMPUTED_VALUE"""),75.0)</f>
        <v>75</v>
      </c>
      <c r="AQ187" s="1">
        <f>IFERROR(__xludf.DUMMYFUNCTION("""COMPUTED_VALUE"""),10.0)</f>
        <v>10</v>
      </c>
      <c r="AR187" s="1">
        <f>IFERROR(__xludf.DUMMYFUNCTION("""COMPUTED_VALUE"""),150000.0)</f>
        <v>150000</v>
      </c>
      <c r="AS187" s="1">
        <f>IFERROR(__xludf.DUMMYFUNCTION("""COMPUTED_VALUE"""),12.0)</f>
        <v>12</v>
      </c>
    </row>
    <row r="188">
      <c r="A188" s="1" t="str">
        <f>IFERROR(__xludf.DUMMYFUNCTION("""COMPUTED_VALUE"""),"LFL")</f>
        <v>LFL</v>
      </c>
      <c r="B188" s="1"/>
      <c r="C188" s="1"/>
      <c r="D188" s="1">
        <f>IFERROR(__xludf.DUMMYFUNCTION("""COMPUTED_VALUE"""),464000.0)</f>
        <v>464000</v>
      </c>
      <c r="E188" s="1">
        <f>IFERROR(__xludf.DUMMYFUNCTION("""COMPUTED_VALUE"""),2.0)</f>
        <v>2</v>
      </c>
      <c r="F188" s="1">
        <f>IFERROR(__xludf.DUMMYFUNCTION("""COMPUTED_VALUE"""),463000.0)</f>
        <v>463000</v>
      </c>
      <c r="G188" s="1">
        <f>IFERROR(__xludf.DUMMYFUNCTION("""COMPUTED_VALUE"""),12.0)</f>
        <v>12</v>
      </c>
      <c r="H188" s="1">
        <f>IFERROR(__xludf.DUMMYFUNCTION("""COMPUTED_VALUE"""),1.0)</f>
        <v>1</v>
      </c>
      <c r="I188" s="1">
        <f>IFERROR(__xludf.DUMMYFUNCTION("""COMPUTED_VALUE"""),250000.0)</f>
        <v>250000</v>
      </c>
      <c r="J188" s="1">
        <f>IFERROR(__xludf.DUMMYFUNCTION("""COMPUTED_VALUE"""),1.0)</f>
        <v>1</v>
      </c>
      <c r="K188" s="1">
        <f>IFERROR(__xludf.DUMMYFUNCTION("""COMPUTED_VALUE"""),320000.0)</f>
        <v>320000</v>
      </c>
      <c r="L188" s="1">
        <f>IFERROR(__xludf.DUMMYFUNCTION("""COMPUTED_VALUE"""),1.0)</f>
        <v>1</v>
      </c>
      <c r="M188" s="1">
        <f>IFERROR(__xludf.DUMMYFUNCTION("""COMPUTED_VALUE"""),324000.0)</f>
        <v>324000</v>
      </c>
      <c r="N188" s="1">
        <f>IFERROR(__xludf.DUMMYFUNCTION("""COMPUTED_VALUE"""),21.0)</f>
        <v>21</v>
      </c>
      <c r="O188" s="1">
        <f>IFERROR(__xludf.DUMMYFUNCTION("""COMPUTED_VALUE"""),2.0)</f>
        <v>2</v>
      </c>
      <c r="P188" s="1">
        <f>IFERROR(__xludf.DUMMYFUNCTION("""COMPUTED_VALUE"""),240000.0)</f>
        <v>240000</v>
      </c>
      <c r="Q188" s="1">
        <f>IFERROR(__xludf.DUMMYFUNCTION("""COMPUTED_VALUE"""),2.0)</f>
        <v>2</v>
      </c>
      <c r="R188" s="1">
        <f>IFERROR(__xludf.DUMMYFUNCTION("""COMPUTED_VALUE"""),122472.078125)</f>
        <v>122472.0781</v>
      </c>
      <c r="S188" s="1"/>
      <c r="T188" s="1"/>
      <c r="U188" s="1">
        <f>IFERROR(__xludf.DUMMYFUNCTION("""COMPUTED_VALUE"""),0.0)</f>
        <v>0</v>
      </c>
      <c r="V188" s="1"/>
      <c r="W188" s="1"/>
      <c r="X188" s="1">
        <f>IFERROR(__xludf.DUMMYFUNCTION("""COMPUTED_VALUE"""),0.0)</f>
        <v>0</v>
      </c>
      <c r="Y188" s="1">
        <f>IFERROR(__xludf.DUMMYFUNCTION("""COMPUTED_VALUE"""),340000.0)</f>
        <v>340000</v>
      </c>
      <c r="Z188" s="1">
        <f>IFERROR(__xludf.DUMMYFUNCTION("""COMPUTED_VALUE"""),3.0)</f>
        <v>3</v>
      </c>
      <c r="AA188" s="1">
        <f>IFERROR(__xludf.DUMMYFUNCTION("""COMPUTED_VALUE"""),347000.0)</f>
        <v>347000</v>
      </c>
      <c r="AB188" s="1">
        <f>IFERROR(__xludf.DUMMYFUNCTION("""COMPUTED_VALUE"""),14.0)</f>
        <v>14</v>
      </c>
      <c r="AC188" s="1">
        <f>IFERROR(__xludf.DUMMYFUNCTION("""COMPUTED_VALUE"""),1.0)</f>
        <v>1</v>
      </c>
      <c r="AD188" s="1">
        <f>IFERROR(__xludf.DUMMYFUNCTION("""COMPUTED_VALUE"""),250000.0)</f>
        <v>250000</v>
      </c>
      <c r="AE188" s="1">
        <f>IFERROR(__xludf.DUMMYFUNCTION("""COMPUTED_VALUE"""),1.0)</f>
        <v>1</v>
      </c>
      <c r="AF188" s="1">
        <f>IFERROR(__xludf.DUMMYFUNCTION("""COMPUTED_VALUE"""),122472.078125)</f>
        <v>122472.0781</v>
      </c>
      <c r="AG188" s="1"/>
      <c r="AH188" s="1"/>
      <c r="AI188" s="1">
        <f>IFERROR(__xludf.DUMMYFUNCTION("""COMPUTED_VALUE"""),0.0)</f>
        <v>0</v>
      </c>
      <c r="AJ188" s="1"/>
      <c r="AK188" s="1"/>
      <c r="AL188" s="1">
        <f>IFERROR(__xludf.DUMMYFUNCTION("""COMPUTED_VALUE"""),0.0)</f>
        <v>0</v>
      </c>
      <c r="AM188" s="1">
        <f>IFERROR(__xludf.DUMMYFUNCTION("""COMPUTED_VALUE"""),429000.0)</f>
        <v>429000</v>
      </c>
      <c r="AN188" s="1">
        <f>IFERROR(__xludf.DUMMYFUNCTION("""COMPUTED_VALUE"""),1.0)</f>
        <v>1</v>
      </c>
      <c r="AO188" s="1">
        <f>IFERROR(__xludf.DUMMYFUNCTION("""COMPUTED_VALUE"""),429000.0)</f>
        <v>429000</v>
      </c>
      <c r="AP188" s="1">
        <f>IFERROR(__xludf.DUMMYFUNCTION("""COMPUTED_VALUE"""),3.0)</f>
        <v>3</v>
      </c>
      <c r="AQ188" s="1">
        <f>IFERROR(__xludf.DUMMYFUNCTION("""COMPUTED_VALUE"""),1.0)</f>
        <v>1</v>
      </c>
      <c r="AR188" s="1">
        <f>IFERROR(__xludf.DUMMYFUNCTION("""COMPUTED_VALUE"""),250000.0)</f>
        <v>250000</v>
      </c>
      <c r="AS188" s="1">
        <f>IFERROR(__xludf.DUMMYFUNCTION("""COMPUTED_VALUE"""),1.0)</f>
        <v>1</v>
      </c>
    </row>
    <row r="189">
      <c r="A189" s="1" t="str">
        <f>IFERROR(__xludf.DUMMYFUNCTION("""COMPUTED_VALUE"""),"LFP")</f>
        <v>LFP</v>
      </c>
      <c r="B189" s="1"/>
      <c r="C189" s="1"/>
      <c r="D189" s="1">
        <f>IFERROR(__xludf.DUMMYFUNCTION("""COMPUTED_VALUE"""),15000.0)</f>
        <v>15000</v>
      </c>
      <c r="E189" s="1">
        <f>IFERROR(__xludf.DUMMYFUNCTION("""COMPUTED_VALUE"""),20.0)</f>
        <v>20</v>
      </c>
      <c r="F189" s="1">
        <f>IFERROR(__xludf.DUMMYFUNCTION("""COMPUTED_VALUE"""),15000.0)</f>
        <v>15000</v>
      </c>
      <c r="G189" s="1">
        <f>IFERROR(__xludf.DUMMYFUNCTION("""COMPUTED_VALUE"""),20.0)</f>
        <v>20</v>
      </c>
      <c r="H189" s="1">
        <f>IFERROR(__xludf.DUMMYFUNCTION("""COMPUTED_VALUE"""),55.0)</f>
        <v>55</v>
      </c>
      <c r="I189" s="1">
        <f>IFERROR(__xludf.DUMMYFUNCTION("""COMPUTED_VALUE"""),3570.0)</f>
        <v>3570</v>
      </c>
      <c r="J189" s="1">
        <f>IFERROR(__xludf.DUMMYFUNCTION("""COMPUTED_VALUE"""),88.0)</f>
        <v>88</v>
      </c>
      <c r="K189" s="1">
        <f>IFERROR(__xludf.DUMMYFUNCTION("""COMPUTED_VALUE"""),8709.259765625)</f>
        <v>8709.259766</v>
      </c>
      <c r="L189" s="1">
        <f>IFERROR(__xludf.DUMMYFUNCTION("""COMPUTED_VALUE"""),12.0)</f>
        <v>12</v>
      </c>
      <c r="M189" s="1">
        <f>IFERROR(__xludf.DUMMYFUNCTION("""COMPUTED_VALUE"""),8000.0)</f>
        <v>8000</v>
      </c>
      <c r="N189" s="1">
        <f>IFERROR(__xludf.DUMMYFUNCTION("""COMPUTED_VALUE"""),16.0)</f>
        <v>16</v>
      </c>
      <c r="O189" s="1">
        <f>IFERROR(__xludf.DUMMYFUNCTION("""COMPUTED_VALUE"""),6.0)</f>
        <v>6</v>
      </c>
      <c r="P189" s="1">
        <f>IFERROR(__xludf.DUMMYFUNCTION("""COMPUTED_VALUE"""),7200.0)</f>
        <v>7200</v>
      </c>
      <c r="Q189" s="1">
        <f>IFERROR(__xludf.DUMMYFUNCTION("""COMPUTED_VALUE"""),83.0)</f>
        <v>83</v>
      </c>
      <c r="R189" s="1">
        <f>IFERROR(__xludf.DUMMYFUNCTION("""COMPUTED_VALUE"""),7366.35009765625)</f>
        <v>7366.350098</v>
      </c>
      <c r="S189" s="1"/>
      <c r="T189" s="1"/>
      <c r="U189" s="1">
        <f>IFERROR(__xludf.DUMMYFUNCTION("""COMPUTED_VALUE"""),0.0)</f>
        <v>0</v>
      </c>
      <c r="V189" s="1"/>
      <c r="W189" s="1"/>
      <c r="X189" s="1">
        <f>IFERROR(__xludf.DUMMYFUNCTION("""COMPUTED_VALUE"""),0.0)</f>
        <v>0</v>
      </c>
      <c r="Y189" s="1">
        <f>IFERROR(__xludf.DUMMYFUNCTION("""COMPUTED_VALUE"""),9000.0)</f>
        <v>9000</v>
      </c>
      <c r="Z189" s="1"/>
      <c r="AA189" s="1"/>
      <c r="AB189" s="1">
        <f>IFERROR(__xludf.DUMMYFUNCTION("""COMPUTED_VALUE"""),0.0)</f>
        <v>0</v>
      </c>
      <c r="AC189" s="1">
        <f>IFERROR(__xludf.DUMMYFUNCTION("""COMPUTED_VALUE"""),100.0)</f>
        <v>100</v>
      </c>
      <c r="AD189" s="1">
        <f>IFERROR(__xludf.DUMMYFUNCTION("""COMPUTED_VALUE"""),7500.0)</f>
        <v>7500</v>
      </c>
      <c r="AE189" s="1">
        <f>IFERROR(__xludf.DUMMYFUNCTION("""COMPUTED_VALUE"""),100.0)</f>
        <v>100</v>
      </c>
      <c r="AF189" s="1">
        <f>IFERROR(__xludf.DUMMYFUNCTION("""COMPUTED_VALUE"""),7366.35009765625)</f>
        <v>7366.350098</v>
      </c>
      <c r="AG189" s="1"/>
      <c r="AH189" s="1"/>
      <c r="AI189" s="1">
        <f>IFERROR(__xludf.DUMMYFUNCTION("""COMPUTED_VALUE"""),0.0)</f>
        <v>0</v>
      </c>
      <c r="AJ189" s="1">
        <f>IFERROR(__xludf.DUMMYFUNCTION("""COMPUTED_VALUE"""),4.0)</f>
        <v>4</v>
      </c>
      <c r="AK189" s="1">
        <f>IFERROR(__xludf.DUMMYFUNCTION("""COMPUTED_VALUE"""),10000.0)</f>
        <v>10000</v>
      </c>
      <c r="AL189" s="1">
        <f>IFERROR(__xludf.DUMMYFUNCTION("""COMPUTED_VALUE"""),4.0)</f>
        <v>4</v>
      </c>
      <c r="AM189" s="1">
        <f>IFERROR(__xludf.DUMMYFUNCTION("""COMPUTED_VALUE"""),7000.0)</f>
        <v>7000</v>
      </c>
      <c r="AN189" s="1"/>
      <c r="AO189" s="1"/>
      <c r="AP189" s="1">
        <f>IFERROR(__xludf.DUMMYFUNCTION("""COMPUTED_VALUE"""),0.0)</f>
        <v>0</v>
      </c>
      <c r="AQ189" s="1"/>
      <c r="AR189" s="1"/>
      <c r="AS189" s="1">
        <f>IFERROR(__xludf.DUMMYFUNCTION("""COMPUTED_VALUE"""),0.0)</f>
        <v>0</v>
      </c>
    </row>
    <row r="190">
      <c r="A190" s="1" t="str">
        <f>IFERROR(__xludf.DUMMYFUNCTION("""COMPUTED_VALUE"""),"LHP")</f>
        <v>LHP</v>
      </c>
      <c r="B190" s="1"/>
      <c r="C190" s="1"/>
      <c r="D190" s="1">
        <f>IFERROR(__xludf.DUMMYFUNCTION("""COMPUTED_VALUE"""),3130.0)</f>
        <v>3130</v>
      </c>
      <c r="E190" s="1">
        <f>IFERROR(__xludf.DUMMYFUNCTION("""COMPUTED_VALUE"""),40.0)</f>
        <v>40</v>
      </c>
      <c r="F190" s="1">
        <f>IFERROR(__xludf.DUMMYFUNCTION("""COMPUTED_VALUE"""),3130.0)</f>
        <v>3130</v>
      </c>
      <c r="G190" s="1">
        <f>IFERROR(__xludf.DUMMYFUNCTION("""COMPUTED_VALUE"""),10685.0)</f>
        <v>10685</v>
      </c>
      <c r="H190" s="1">
        <f>IFERROR(__xludf.DUMMYFUNCTION("""COMPUTED_VALUE"""),25.0)</f>
        <v>25</v>
      </c>
      <c r="I190" s="1">
        <f>IFERROR(__xludf.DUMMYFUNCTION("""COMPUTED_VALUE"""),2750.0)</f>
        <v>2750</v>
      </c>
      <c r="J190" s="1">
        <f>IFERROR(__xludf.DUMMYFUNCTION("""COMPUTED_VALUE"""),5519.0)</f>
        <v>5519</v>
      </c>
      <c r="K190" s="1">
        <f>IFERROR(__xludf.DUMMYFUNCTION("""COMPUTED_VALUE"""),3480.0)</f>
        <v>3480</v>
      </c>
      <c r="L190" s="1">
        <f>IFERROR(__xludf.DUMMYFUNCTION("""COMPUTED_VALUE"""),28.0)</f>
        <v>28</v>
      </c>
      <c r="M190" s="1">
        <f>IFERROR(__xludf.DUMMYFUNCTION("""COMPUTED_VALUE"""),3480.0)</f>
        <v>3480</v>
      </c>
      <c r="N190" s="1">
        <f>IFERROR(__xludf.DUMMYFUNCTION("""COMPUTED_VALUE"""),1788.0)</f>
        <v>1788</v>
      </c>
      <c r="O190" s="1">
        <f>IFERROR(__xludf.DUMMYFUNCTION("""COMPUTED_VALUE"""),8.0)</f>
        <v>8</v>
      </c>
      <c r="P190" s="1">
        <f>IFERROR(__xludf.DUMMYFUNCTION("""COMPUTED_VALUE"""),3210.0)</f>
        <v>3210</v>
      </c>
      <c r="Q190" s="1">
        <f>IFERROR(__xludf.DUMMYFUNCTION("""COMPUTED_VALUE"""),235.0)</f>
        <v>235</v>
      </c>
      <c r="R190" s="1">
        <f>IFERROR(__xludf.DUMMYFUNCTION("""COMPUTED_VALUE"""),3600.0)</f>
        <v>3600</v>
      </c>
      <c r="S190" s="1">
        <f>IFERROR(__xludf.DUMMYFUNCTION("""COMPUTED_VALUE"""),397.0)</f>
        <v>397</v>
      </c>
      <c r="T190" s="1">
        <f>IFERROR(__xludf.DUMMYFUNCTION("""COMPUTED_VALUE"""),3600.0)</f>
        <v>3600</v>
      </c>
      <c r="U190" s="1">
        <f>IFERROR(__xludf.DUMMYFUNCTION("""COMPUTED_VALUE"""),1200.0)</f>
        <v>1200</v>
      </c>
      <c r="V190" s="1"/>
      <c r="W190" s="1"/>
      <c r="X190" s="1">
        <f>IFERROR(__xludf.DUMMYFUNCTION("""COMPUTED_VALUE"""),0.0)</f>
        <v>0</v>
      </c>
      <c r="Y190" s="1">
        <f>IFERROR(__xludf.DUMMYFUNCTION("""COMPUTED_VALUE"""),3530.0)</f>
        <v>3530</v>
      </c>
      <c r="Z190" s="1">
        <f>IFERROR(__xludf.DUMMYFUNCTION("""COMPUTED_VALUE"""),27.0)</f>
        <v>27</v>
      </c>
      <c r="AA190" s="1">
        <f>IFERROR(__xludf.DUMMYFUNCTION("""COMPUTED_VALUE"""),3530.0)</f>
        <v>3530</v>
      </c>
      <c r="AB190" s="1">
        <f>IFERROR(__xludf.DUMMYFUNCTION("""COMPUTED_VALUE"""),3953.0)</f>
        <v>3953</v>
      </c>
      <c r="AC190" s="1">
        <f>IFERROR(__xludf.DUMMYFUNCTION("""COMPUTED_VALUE"""),744.0)</f>
        <v>744</v>
      </c>
      <c r="AD190" s="1">
        <f>IFERROR(__xludf.DUMMYFUNCTION("""COMPUTED_VALUE"""),3200.0)</f>
        <v>3200</v>
      </c>
      <c r="AE190" s="1">
        <f>IFERROR(__xludf.DUMMYFUNCTION("""COMPUTED_VALUE"""),1314.0)</f>
        <v>1314</v>
      </c>
      <c r="AF190" s="1">
        <f>IFERROR(__xludf.DUMMYFUNCTION("""COMPUTED_VALUE"""),3500.0)</f>
        <v>3500</v>
      </c>
      <c r="AG190" s="1">
        <f>IFERROR(__xludf.DUMMYFUNCTION("""COMPUTED_VALUE"""),146.0)</f>
        <v>146</v>
      </c>
      <c r="AH190" s="1">
        <f>IFERROR(__xludf.DUMMYFUNCTION("""COMPUTED_VALUE"""),3500.0)</f>
        <v>3500</v>
      </c>
      <c r="AI190" s="1">
        <f>IFERROR(__xludf.DUMMYFUNCTION("""COMPUTED_VALUE"""),250.0)</f>
        <v>250</v>
      </c>
      <c r="AJ190" s="1"/>
      <c r="AK190" s="1"/>
      <c r="AL190" s="1">
        <f>IFERROR(__xludf.DUMMYFUNCTION("""COMPUTED_VALUE"""),0.0)</f>
        <v>0</v>
      </c>
      <c r="AM190" s="1">
        <f>IFERROR(__xludf.DUMMYFUNCTION("""COMPUTED_VALUE"""),3200.0)</f>
        <v>3200</v>
      </c>
      <c r="AN190" s="1">
        <f>IFERROR(__xludf.DUMMYFUNCTION("""COMPUTED_VALUE"""),429.0)</f>
        <v>429</v>
      </c>
      <c r="AO190" s="1">
        <f>IFERROR(__xludf.DUMMYFUNCTION("""COMPUTED_VALUE"""),3200.0)</f>
        <v>3200</v>
      </c>
      <c r="AP190" s="1">
        <f>IFERROR(__xludf.DUMMYFUNCTION("""COMPUTED_VALUE"""),1554.0)</f>
        <v>1554</v>
      </c>
      <c r="AQ190" s="1">
        <f>IFERROR(__xludf.DUMMYFUNCTION("""COMPUTED_VALUE"""),44.0)</f>
        <v>44</v>
      </c>
      <c r="AR190" s="1">
        <f>IFERROR(__xludf.DUMMYFUNCTION("""COMPUTED_VALUE"""),2800.0)</f>
        <v>2800</v>
      </c>
      <c r="AS190" s="1">
        <f>IFERROR(__xludf.DUMMYFUNCTION("""COMPUTED_VALUE"""),814.0)</f>
        <v>814</v>
      </c>
    </row>
    <row r="191">
      <c r="A191" s="1" t="str">
        <f>IFERROR(__xludf.DUMMYFUNCTION("""COMPUTED_VALUE"""),"LI")</f>
        <v>LI</v>
      </c>
      <c r="B191" s="1"/>
      <c r="C191" s="1"/>
      <c r="D191" s="1">
        <f>IFERROR(__xludf.DUMMYFUNCTION("""COMPUTED_VALUE"""),2280.0)</f>
        <v>2280</v>
      </c>
      <c r="E191" s="1">
        <f>IFERROR(__xludf.DUMMYFUNCTION("""COMPUTED_VALUE"""),26.0)</f>
        <v>26</v>
      </c>
      <c r="F191" s="1">
        <f>IFERROR(__xludf.DUMMYFUNCTION("""COMPUTED_VALUE"""),2280.0)</f>
        <v>2280</v>
      </c>
      <c r="G191" s="1">
        <f>IFERROR(__xludf.DUMMYFUNCTION("""COMPUTED_VALUE"""),8716.0)</f>
        <v>8716</v>
      </c>
      <c r="H191" s="1">
        <f>IFERROR(__xludf.DUMMYFUNCTION("""COMPUTED_VALUE"""),80.0)</f>
        <v>80</v>
      </c>
      <c r="I191" s="1">
        <f>IFERROR(__xludf.DUMMYFUNCTION("""COMPUTED_VALUE"""),2020.0)</f>
        <v>2020</v>
      </c>
      <c r="J191" s="1">
        <f>IFERROR(__xludf.DUMMYFUNCTION("""COMPUTED_VALUE"""),5444.0)</f>
        <v>5444</v>
      </c>
      <c r="K191" s="1">
        <f>IFERROR(__xludf.DUMMYFUNCTION("""COMPUTED_VALUE"""),2290.0)</f>
        <v>2290</v>
      </c>
      <c r="L191" s="1">
        <f>IFERROR(__xludf.DUMMYFUNCTION("""COMPUTED_VALUE"""),1000.0)</f>
        <v>1000</v>
      </c>
      <c r="M191" s="1">
        <f>IFERROR(__xludf.DUMMYFUNCTION("""COMPUTED_VALUE"""),2240.0)</f>
        <v>2240</v>
      </c>
      <c r="N191" s="1">
        <f>IFERROR(__xludf.DUMMYFUNCTION("""COMPUTED_VALUE"""),6878.0)</f>
        <v>6878</v>
      </c>
      <c r="O191" s="1">
        <f>IFERROR(__xludf.DUMMYFUNCTION("""COMPUTED_VALUE"""),536.0)</f>
        <v>536</v>
      </c>
      <c r="P191" s="1">
        <f>IFERROR(__xludf.DUMMYFUNCTION("""COMPUTED_VALUE"""),2050.0)</f>
        <v>2050</v>
      </c>
      <c r="Q191" s="1">
        <f>IFERROR(__xludf.DUMMYFUNCTION("""COMPUTED_VALUE"""),3497.0)</f>
        <v>3497</v>
      </c>
      <c r="R191" s="1">
        <f>IFERROR(__xludf.DUMMYFUNCTION("""COMPUTED_VALUE"""),1200.0)</f>
        <v>1200</v>
      </c>
      <c r="S191" s="1"/>
      <c r="T191" s="1"/>
      <c r="U191" s="1">
        <f>IFERROR(__xludf.DUMMYFUNCTION("""COMPUTED_VALUE"""),0.0)</f>
        <v>0</v>
      </c>
      <c r="V191" s="1"/>
      <c r="W191" s="1"/>
      <c r="X191" s="1">
        <f>IFERROR(__xludf.DUMMYFUNCTION("""COMPUTED_VALUE"""),0.0)</f>
        <v>0</v>
      </c>
      <c r="Y191" s="1">
        <f>IFERROR(__xludf.DUMMYFUNCTION("""COMPUTED_VALUE"""),2260.0)</f>
        <v>2260</v>
      </c>
      <c r="Z191" s="1">
        <f>IFERROR(__xludf.DUMMYFUNCTION("""COMPUTED_VALUE"""),42.0)</f>
        <v>42</v>
      </c>
      <c r="AA191" s="1">
        <f>IFERROR(__xludf.DUMMYFUNCTION("""COMPUTED_VALUE"""),2330.0)</f>
        <v>2330</v>
      </c>
      <c r="AB191" s="1">
        <f>IFERROR(__xludf.DUMMYFUNCTION("""COMPUTED_VALUE"""),2232.0)</f>
        <v>2232</v>
      </c>
      <c r="AC191" s="1">
        <f>IFERROR(__xludf.DUMMYFUNCTION("""COMPUTED_VALUE"""),343.0)</f>
        <v>343</v>
      </c>
      <c r="AD191" s="1">
        <f>IFERROR(__xludf.DUMMYFUNCTION("""COMPUTED_VALUE"""),2260.0)</f>
        <v>2260</v>
      </c>
      <c r="AE191" s="1">
        <f>IFERROR(__xludf.DUMMYFUNCTION("""COMPUTED_VALUE"""),4883.0)</f>
        <v>4883</v>
      </c>
      <c r="AF191" s="1">
        <f>IFERROR(__xludf.DUMMYFUNCTION("""COMPUTED_VALUE"""),472.290008544921)</f>
        <v>472.2900085</v>
      </c>
      <c r="AG191" s="1">
        <f>IFERROR(__xludf.DUMMYFUNCTION("""COMPUTED_VALUE"""),100.0)</f>
        <v>100</v>
      </c>
      <c r="AH191" s="1">
        <f>IFERROR(__xludf.DUMMYFUNCTION("""COMPUTED_VALUE"""),2190.0)</f>
        <v>2190</v>
      </c>
      <c r="AI191" s="1">
        <f>IFERROR(__xludf.DUMMYFUNCTION("""COMPUTED_VALUE"""),100.0)</f>
        <v>100</v>
      </c>
      <c r="AJ191" s="1">
        <f>IFERROR(__xludf.DUMMYFUNCTION("""COMPUTED_VALUE"""),50.0)</f>
        <v>50</v>
      </c>
      <c r="AK191" s="1">
        <f>IFERROR(__xludf.DUMMYFUNCTION("""COMPUTED_VALUE"""),1000.0)</f>
        <v>1000</v>
      </c>
      <c r="AL191" s="1">
        <f>IFERROR(__xludf.DUMMYFUNCTION("""COMPUTED_VALUE"""),50.0)</f>
        <v>50</v>
      </c>
      <c r="AM191" s="1">
        <f>IFERROR(__xludf.DUMMYFUNCTION("""COMPUTED_VALUE"""),1900.0)</f>
        <v>1900</v>
      </c>
      <c r="AN191" s="1">
        <f>IFERROR(__xludf.DUMMYFUNCTION("""COMPUTED_VALUE"""),600.0)</f>
        <v>600</v>
      </c>
      <c r="AO191" s="1">
        <f>IFERROR(__xludf.DUMMYFUNCTION("""COMPUTED_VALUE"""),2000.0)</f>
        <v>2000</v>
      </c>
      <c r="AP191" s="1">
        <f>IFERROR(__xludf.DUMMYFUNCTION("""COMPUTED_VALUE"""),1431.0)</f>
        <v>1431</v>
      </c>
      <c r="AQ191" s="1">
        <f>IFERROR(__xludf.DUMMYFUNCTION("""COMPUTED_VALUE"""),1040.0)</f>
        <v>1040</v>
      </c>
      <c r="AR191" s="1">
        <f>IFERROR(__xludf.DUMMYFUNCTION("""COMPUTED_VALUE"""),1900.0)</f>
        <v>1900</v>
      </c>
      <c r="AS191" s="1">
        <f>IFERROR(__xludf.DUMMYFUNCTION("""COMPUTED_VALUE"""),3580.0)</f>
        <v>3580</v>
      </c>
    </row>
    <row r="192">
      <c r="A192" s="1" t="str">
        <f>IFERROR(__xludf.DUMMYFUNCTION("""COMPUTED_VALUE"""),"LIO")</f>
        <v>LIO</v>
      </c>
      <c r="B192" s="1"/>
      <c r="C192" s="1"/>
      <c r="D192" s="1">
        <f>IFERROR(__xludf.DUMMYFUNCTION("""COMPUTED_VALUE"""),393.0)</f>
        <v>393</v>
      </c>
      <c r="E192" s="1">
        <f>IFERROR(__xludf.DUMMYFUNCTION("""COMPUTED_VALUE"""),1990.0)</f>
        <v>1990</v>
      </c>
      <c r="F192" s="1">
        <f>IFERROR(__xludf.DUMMYFUNCTION("""COMPUTED_VALUE"""),434.0)</f>
        <v>434</v>
      </c>
      <c r="G192" s="1">
        <f>IFERROR(__xludf.DUMMYFUNCTION("""COMPUTED_VALUE"""),30919.0)</f>
        <v>30919</v>
      </c>
      <c r="H192" s="1">
        <f>IFERROR(__xludf.DUMMYFUNCTION("""COMPUTED_VALUE"""),500.0)</f>
        <v>500</v>
      </c>
      <c r="I192" s="1">
        <f>IFERROR(__xludf.DUMMYFUNCTION("""COMPUTED_VALUE"""),381.0)</f>
        <v>381</v>
      </c>
      <c r="J192" s="1">
        <f>IFERROR(__xludf.DUMMYFUNCTION("""COMPUTED_VALUE"""),5100.0)</f>
        <v>5100</v>
      </c>
      <c r="K192" s="1">
        <f>IFERROR(__xludf.DUMMYFUNCTION("""COMPUTED_VALUE"""),395.0)</f>
        <v>395</v>
      </c>
      <c r="L192" s="1">
        <f>IFERROR(__xludf.DUMMYFUNCTION("""COMPUTED_VALUE"""),939.0)</f>
        <v>939</v>
      </c>
      <c r="M192" s="1">
        <f>IFERROR(__xludf.DUMMYFUNCTION("""COMPUTED_VALUE"""),395.0)</f>
        <v>395</v>
      </c>
      <c r="N192" s="1">
        <f>IFERROR(__xludf.DUMMYFUNCTION("""COMPUTED_VALUE"""),4205.0)</f>
        <v>4205</v>
      </c>
      <c r="O192" s="1">
        <f>IFERROR(__xludf.DUMMYFUNCTION("""COMPUTED_VALUE"""),2000.0)</f>
        <v>2000</v>
      </c>
      <c r="P192" s="1">
        <f>IFERROR(__xludf.DUMMYFUNCTION("""COMPUTED_VALUE"""),306.0)</f>
        <v>306</v>
      </c>
      <c r="Q192" s="1">
        <f>IFERROR(__xludf.DUMMYFUNCTION("""COMPUTED_VALUE"""),4652.0)</f>
        <v>4652</v>
      </c>
      <c r="R192" s="1">
        <f>IFERROR(__xludf.DUMMYFUNCTION("""COMPUTED_VALUE"""),200.0)</f>
        <v>200</v>
      </c>
      <c r="S192" s="1"/>
      <c r="T192" s="1"/>
      <c r="U192" s="1">
        <f>IFERROR(__xludf.DUMMYFUNCTION("""COMPUTED_VALUE"""),0.0)</f>
        <v>0</v>
      </c>
      <c r="V192" s="1"/>
      <c r="W192" s="1"/>
      <c r="X192" s="1">
        <f>IFERROR(__xludf.DUMMYFUNCTION("""COMPUTED_VALUE"""),0.0)</f>
        <v>0</v>
      </c>
      <c r="Y192" s="1">
        <f>IFERROR(__xludf.DUMMYFUNCTION("""COMPUTED_VALUE"""),450.0)</f>
        <v>450</v>
      </c>
      <c r="Z192" s="1">
        <f>IFERROR(__xludf.DUMMYFUNCTION("""COMPUTED_VALUE"""),1165.0)</f>
        <v>1165</v>
      </c>
      <c r="AA192" s="1">
        <f>IFERROR(__xludf.DUMMYFUNCTION("""COMPUTED_VALUE"""),460.0)</f>
        <v>460</v>
      </c>
      <c r="AB192" s="1">
        <f>IFERROR(__xludf.DUMMYFUNCTION("""COMPUTED_VALUE"""),9286.0)</f>
        <v>9286</v>
      </c>
      <c r="AC192" s="1">
        <f>IFERROR(__xludf.DUMMYFUNCTION("""COMPUTED_VALUE"""),300.0)</f>
        <v>300</v>
      </c>
      <c r="AD192" s="1">
        <f>IFERROR(__xludf.DUMMYFUNCTION("""COMPUTED_VALUE"""),360.0)</f>
        <v>360</v>
      </c>
      <c r="AE192" s="1">
        <f>IFERROR(__xludf.DUMMYFUNCTION("""COMPUTED_VALUE"""),15005.0)</f>
        <v>15005</v>
      </c>
      <c r="AF192" s="1">
        <f>IFERROR(__xludf.DUMMYFUNCTION("""COMPUTED_VALUE"""),100.0)</f>
        <v>100</v>
      </c>
      <c r="AG192" s="1"/>
      <c r="AH192" s="1"/>
      <c r="AI192" s="1">
        <f>IFERROR(__xludf.DUMMYFUNCTION("""COMPUTED_VALUE"""),0.0)</f>
        <v>0</v>
      </c>
      <c r="AJ192" s="1">
        <f>IFERROR(__xludf.DUMMYFUNCTION("""COMPUTED_VALUE"""),70.0)</f>
        <v>70</v>
      </c>
      <c r="AK192" s="1">
        <f>IFERROR(__xludf.DUMMYFUNCTION("""COMPUTED_VALUE"""),100.0)</f>
        <v>100</v>
      </c>
      <c r="AL192" s="1">
        <f>IFERROR(__xludf.DUMMYFUNCTION("""COMPUTED_VALUE"""),70.0)</f>
        <v>70</v>
      </c>
      <c r="AM192" s="1">
        <f>IFERROR(__xludf.DUMMYFUNCTION("""COMPUTED_VALUE"""),445.0)</f>
        <v>445</v>
      </c>
      <c r="AN192" s="1">
        <f>IFERROR(__xludf.DUMMYFUNCTION("""COMPUTED_VALUE"""),7587.0)</f>
        <v>7587</v>
      </c>
      <c r="AO192" s="1">
        <f>IFERROR(__xludf.DUMMYFUNCTION("""COMPUTED_VALUE"""),445.0)</f>
        <v>445</v>
      </c>
      <c r="AP192" s="1">
        <f>IFERROR(__xludf.DUMMYFUNCTION("""COMPUTED_VALUE"""),8128.0)</f>
        <v>8128</v>
      </c>
      <c r="AQ192" s="1">
        <f>IFERROR(__xludf.DUMMYFUNCTION("""COMPUTED_VALUE"""),700.0)</f>
        <v>700</v>
      </c>
      <c r="AR192" s="1">
        <f>IFERROR(__xludf.DUMMYFUNCTION("""COMPUTED_VALUE"""),316.0)</f>
        <v>316</v>
      </c>
      <c r="AS192" s="1">
        <f>IFERROR(__xludf.DUMMYFUNCTION("""COMPUTED_VALUE"""),2635.0)</f>
        <v>2635</v>
      </c>
    </row>
    <row r="193">
      <c r="A193" s="1" t="str">
        <f>IFERROR(__xludf.DUMMYFUNCTION("""COMPUTED_VALUE"""),"LIS")</f>
        <v>LIS</v>
      </c>
      <c r="B193" s="1">
        <f>IFERROR(__xludf.DUMMYFUNCTION("""COMPUTED_VALUE"""),450000.0)</f>
        <v>450000</v>
      </c>
      <c r="C193" s="1"/>
      <c r="D193" s="1">
        <f>IFERROR(__xludf.DUMMYFUNCTION("""COMPUTED_VALUE"""),450000.0)</f>
        <v>450000</v>
      </c>
      <c r="E193" s="1">
        <f>IFERROR(__xludf.DUMMYFUNCTION("""COMPUTED_VALUE"""),10.0)</f>
        <v>10</v>
      </c>
      <c r="F193" s="1">
        <f>IFERROR(__xludf.DUMMYFUNCTION("""COMPUTED_VALUE"""),475000.0)</f>
        <v>475000</v>
      </c>
      <c r="G193" s="1">
        <f>IFERROR(__xludf.DUMMYFUNCTION("""COMPUTED_VALUE"""),12.0)</f>
        <v>12</v>
      </c>
      <c r="H193" s="1">
        <f>IFERROR(__xludf.DUMMYFUNCTION("""COMPUTED_VALUE"""),100.0)</f>
        <v>100</v>
      </c>
      <c r="I193" s="1">
        <f>IFERROR(__xludf.DUMMYFUNCTION("""COMPUTED_VALUE"""),450000.0)</f>
        <v>450000</v>
      </c>
      <c r="J193" s="1">
        <f>IFERROR(__xludf.DUMMYFUNCTION("""COMPUTED_VALUE"""),100.0)</f>
        <v>100</v>
      </c>
      <c r="K193" s="1">
        <f>IFERROR(__xludf.DUMMYFUNCTION("""COMPUTED_VALUE"""),451000.0)</f>
        <v>451000</v>
      </c>
      <c r="L193" s="1">
        <f>IFERROR(__xludf.DUMMYFUNCTION("""COMPUTED_VALUE"""),1.0)</f>
        <v>1</v>
      </c>
      <c r="M193" s="1">
        <f>IFERROR(__xludf.DUMMYFUNCTION("""COMPUTED_VALUE"""),498000.0)</f>
        <v>498000</v>
      </c>
      <c r="N193" s="1">
        <f>IFERROR(__xludf.DUMMYFUNCTION("""COMPUTED_VALUE"""),7.0)</f>
        <v>7</v>
      </c>
      <c r="O193" s="1">
        <f>IFERROR(__xludf.DUMMYFUNCTION("""COMPUTED_VALUE"""),1.0)</f>
        <v>1</v>
      </c>
      <c r="P193" s="1">
        <f>IFERROR(__xludf.DUMMYFUNCTION("""COMPUTED_VALUE"""),451000.0)</f>
        <v>451000</v>
      </c>
      <c r="Q193" s="1">
        <f>IFERROR(__xludf.DUMMYFUNCTION("""COMPUTED_VALUE"""),102.0)</f>
        <v>102</v>
      </c>
      <c r="R193" s="1">
        <f>IFERROR(__xludf.DUMMYFUNCTION("""COMPUTED_VALUE"""),255694.21875)</f>
        <v>255694.2188</v>
      </c>
      <c r="S193" s="1"/>
      <c r="T193" s="1"/>
      <c r="U193" s="1">
        <f>IFERROR(__xludf.DUMMYFUNCTION("""COMPUTED_VALUE"""),0.0)</f>
        <v>0</v>
      </c>
      <c r="V193" s="1"/>
      <c r="W193" s="1"/>
      <c r="X193" s="1">
        <f>IFERROR(__xludf.DUMMYFUNCTION("""COMPUTED_VALUE"""),0.0)</f>
        <v>0</v>
      </c>
      <c r="Y193" s="1">
        <f>IFERROR(__xludf.DUMMYFUNCTION("""COMPUTED_VALUE"""),474000.0)</f>
        <v>474000</v>
      </c>
      <c r="Z193" s="1">
        <f>IFERROR(__xludf.DUMMYFUNCTION("""COMPUTED_VALUE"""),7.0)</f>
        <v>7</v>
      </c>
      <c r="AA193" s="1">
        <f>IFERROR(__xludf.DUMMYFUNCTION("""COMPUTED_VALUE"""),474000.0)</f>
        <v>474000</v>
      </c>
      <c r="AB193" s="1">
        <f>IFERROR(__xludf.DUMMYFUNCTION("""COMPUTED_VALUE"""),27.0)</f>
        <v>27</v>
      </c>
      <c r="AC193" s="1">
        <f>IFERROR(__xludf.DUMMYFUNCTION("""COMPUTED_VALUE"""),5.0)</f>
        <v>5</v>
      </c>
      <c r="AD193" s="1">
        <f>IFERROR(__xludf.DUMMYFUNCTION("""COMPUTED_VALUE"""),452000.0)</f>
        <v>452000</v>
      </c>
      <c r="AE193" s="1">
        <f>IFERROR(__xludf.DUMMYFUNCTION("""COMPUTED_VALUE"""),109.0)</f>
        <v>109</v>
      </c>
      <c r="AF193" s="1">
        <f>IFERROR(__xludf.DUMMYFUNCTION("""COMPUTED_VALUE"""),255694.21875)</f>
        <v>255694.2188</v>
      </c>
      <c r="AG193" s="1"/>
      <c r="AH193" s="1"/>
      <c r="AI193" s="1">
        <f>IFERROR(__xludf.DUMMYFUNCTION("""COMPUTED_VALUE"""),0.0)</f>
        <v>0</v>
      </c>
      <c r="AJ193" s="1"/>
      <c r="AK193" s="1"/>
      <c r="AL193" s="1">
        <f>IFERROR(__xludf.DUMMYFUNCTION("""COMPUTED_VALUE"""),0.0)</f>
        <v>0</v>
      </c>
      <c r="AM193" s="1">
        <f>IFERROR(__xludf.DUMMYFUNCTION("""COMPUTED_VALUE"""),475000.0)</f>
        <v>475000</v>
      </c>
      <c r="AN193" s="1">
        <f>IFERROR(__xludf.DUMMYFUNCTION("""COMPUTED_VALUE"""),11.0)</f>
        <v>11</v>
      </c>
      <c r="AO193" s="1">
        <f>IFERROR(__xludf.DUMMYFUNCTION("""COMPUTED_VALUE"""),475000.0)</f>
        <v>475000</v>
      </c>
      <c r="AP193" s="1">
        <f>IFERROR(__xludf.DUMMYFUNCTION("""COMPUTED_VALUE"""),11.0)</f>
        <v>11</v>
      </c>
      <c r="AQ193" s="1">
        <f>IFERROR(__xludf.DUMMYFUNCTION("""COMPUTED_VALUE"""),100.0)</f>
        <v>100</v>
      </c>
      <c r="AR193" s="1">
        <f>IFERROR(__xludf.DUMMYFUNCTION("""COMPUTED_VALUE"""),450000.0)</f>
        <v>450000</v>
      </c>
      <c r="AS193" s="1">
        <f>IFERROR(__xludf.DUMMYFUNCTION("""COMPUTED_VALUE"""),100.0)</f>
        <v>100</v>
      </c>
    </row>
    <row r="194">
      <c r="A194" s="1" t="str">
        <f>IFERROR(__xludf.DUMMYFUNCTION("""COMPUTED_VALUE"""),"LIT")</f>
        <v>LIT</v>
      </c>
      <c r="B194" s="1"/>
      <c r="C194" s="1"/>
      <c r="D194" s="1">
        <f>IFERROR(__xludf.DUMMYFUNCTION("""COMPUTED_VALUE"""),20602.5)</f>
        <v>20602.5</v>
      </c>
      <c r="E194" s="1">
        <f>IFERROR(__xludf.DUMMYFUNCTION("""COMPUTED_VALUE"""),99.0)</f>
        <v>99</v>
      </c>
      <c r="F194" s="1">
        <f>IFERROR(__xludf.DUMMYFUNCTION("""COMPUTED_VALUE"""),21000.0)</f>
        <v>21000</v>
      </c>
      <c r="G194" s="1">
        <f>IFERROR(__xludf.DUMMYFUNCTION("""COMPUTED_VALUE"""),99.0)</f>
        <v>99</v>
      </c>
      <c r="H194" s="1"/>
      <c r="I194" s="1"/>
      <c r="J194" s="1">
        <f>IFERROR(__xludf.DUMMYFUNCTION("""COMPUTED_VALUE"""),0.0)</f>
        <v>0</v>
      </c>
      <c r="K194" s="1">
        <f>IFERROR(__xludf.DUMMYFUNCTION("""COMPUTED_VALUE"""),19900.0)</f>
        <v>19900</v>
      </c>
      <c r="L194" s="1">
        <f>IFERROR(__xludf.DUMMYFUNCTION("""COMPUTED_VALUE"""),100.0)</f>
        <v>100</v>
      </c>
      <c r="M194" s="1">
        <f>IFERROR(__xludf.DUMMYFUNCTION("""COMPUTED_VALUE"""),19000.0)</f>
        <v>19000</v>
      </c>
      <c r="N194" s="1">
        <f>IFERROR(__xludf.DUMMYFUNCTION("""COMPUTED_VALUE"""),719.0)</f>
        <v>719</v>
      </c>
      <c r="O194" s="1"/>
      <c r="P194" s="1"/>
      <c r="Q194" s="1">
        <f>IFERROR(__xludf.DUMMYFUNCTION("""COMPUTED_VALUE"""),0.0)</f>
        <v>0</v>
      </c>
      <c r="R194" s="1">
        <f>IFERROR(__xludf.DUMMYFUNCTION("""COMPUTED_VALUE"""),13529.1103515625)</f>
        <v>13529.11035</v>
      </c>
      <c r="S194" s="1"/>
      <c r="T194" s="1"/>
      <c r="U194" s="1">
        <f>IFERROR(__xludf.DUMMYFUNCTION("""COMPUTED_VALUE"""),0.0)</f>
        <v>0</v>
      </c>
      <c r="V194" s="1"/>
      <c r="W194" s="1"/>
      <c r="X194" s="1">
        <f>IFERROR(__xludf.DUMMYFUNCTION("""COMPUTED_VALUE"""),0.0)</f>
        <v>0</v>
      </c>
      <c r="Y194" s="1">
        <f>IFERROR(__xludf.DUMMYFUNCTION("""COMPUTED_VALUE"""),18956.349609375)</f>
        <v>18956.34961</v>
      </c>
      <c r="Z194" s="1"/>
      <c r="AA194" s="1"/>
      <c r="AB194" s="1">
        <f>IFERROR(__xludf.DUMMYFUNCTION("""COMPUTED_VALUE"""),0.0)</f>
        <v>0</v>
      </c>
      <c r="AC194" s="1"/>
      <c r="AD194" s="1"/>
      <c r="AE194" s="1">
        <f>IFERROR(__xludf.DUMMYFUNCTION("""COMPUTED_VALUE"""),0.0)</f>
        <v>0</v>
      </c>
      <c r="AF194" s="1">
        <f>IFERROR(__xludf.DUMMYFUNCTION("""COMPUTED_VALUE"""),13529.1103515625)</f>
        <v>13529.11035</v>
      </c>
      <c r="AG194" s="1"/>
      <c r="AH194" s="1"/>
      <c r="AI194" s="1">
        <f>IFERROR(__xludf.DUMMYFUNCTION("""COMPUTED_VALUE"""),0.0)</f>
        <v>0</v>
      </c>
      <c r="AJ194" s="1"/>
      <c r="AK194" s="1"/>
      <c r="AL194" s="1">
        <f>IFERROR(__xludf.DUMMYFUNCTION("""COMPUTED_VALUE"""),0.0)</f>
        <v>0</v>
      </c>
      <c r="AM194" s="1">
        <f>IFERROR(__xludf.DUMMYFUNCTION("""COMPUTED_VALUE"""),16000.0)</f>
        <v>16000</v>
      </c>
      <c r="AN194" s="1">
        <f>IFERROR(__xludf.DUMMYFUNCTION("""COMPUTED_VALUE"""),100.0)</f>
        <v>100</v>
      </c>
      <c r="AO194" s="1">
        <f>IFERROR(__xludf.DUMMYFUNCTION("""COMPUTED_VALUE"""),18000.0)</f>
        <v>18000</v>
      </c>
      <c r="AP194" s="1">
        <f>IFERROR(__xludf.DUMMYFUNCTION("""COMPUTED_VALUE"""),400.0)</f>
        <v>400</v>
      </c>
      <c r="AQ194" s="1">
        <f>IFERROR(__xludf.DUMMYFUNCTION("""COMPUTED_VALUE"""),214.0)</f>
        <v>214</v>
      </c>
      <c r="AR194" s="1">
        <f>IFERROR(__xludf.DUMMYFUNCTION("""COMPUTED_VALUE"""),16000.0)</f>
        <v>16000</v>
      </c>
      <c r="AS194" s="1">
        <f>IFERROR(__xludf.DUMMYFUNCTION("""COMPUTED_VALUE"""),614.0)</f>
        <v>614</v>
      </c>
    </row>
    <row r="195">
      <c r="A195" s="1" t="str">
        <f>IFERROR(__xludf.DUMMYFUNCTION("""COMPUTED_VALUE"""),"LOG")</f>
        <v>LOG</v>
      </c>
      <c r="B195" s="1">
        <f>IFERROR(__xludf.DUMMYFUNCTION("""COMPUTED_VALUE"""),68000.0)</f>
        <v>68000</v>
      </c>
      <c r="C195" s="1"/>
      <c r="D195" s="1">
        <f>IFERROR(__xludf.DUMMYFUNCTION("""COMPUTED_VALUE"""),68100.0)</f>
        <v>68100</v>
      </c>
      <c r="E195" s="1">
        <f>IFERROR(__xludf.DUMMYFUNCTION("""COMPUTED_VALUE"""),113.0)</f>
        <v>113</v>
      </c>
      <c r="F195" s="1">
        <f>IFERROR(__xludf.DUMMYFUNCTION("""COMPUTED_VALUE"""),68100.0)</f>
        <v>68100</v>
      </c>
      <c r="G195" s="1">
        <f>IFERROR(__xludf.DUMMYFUNCTION("""COMPUTED_VALUE"""),166.0)</f>
        <v>166</v>
      </c>
      <c r="H195" s="1">
        <f>IFERROR(__xludf.DUMMYFUNCTION("""COMPUTED_VALUE"""),100.0)</f>
        <v>100</v>
      </c>
      <c r="I195" s="1">
        <f>IFERROR(__xludf.DUMMYFUNCTION("""COMPUTED_VALUE"""),68000.0)</f>
        <v>68000</v>
      </c>
      <c r="J195" s="1">
        <f>IFERROR(__xludf.DUMMYFUNCTION("""COMPUTED_VALUE"""),120.0)</f>
        <v>120</v>
      </c>
      <c r="K195" s="1">
        <f>IFERROR(__xludf.DUMMYFUNCTION("""COMPUTED_VALUE"""),68000.0)</f>
        <v>68000</v>
      </c>
      <c r="L195" s="1">
        <f>IFERROR(__xludf.DUMMYFUNCTION("""COMPUTED_VALUE"""),27.0)</f>
        <v>27</v>
      </c>
      <c r="M195" s="1">
        <f>IFERROR(__xludf.DUMMYFUNCTION("""COMPUTED_VALUE"""),68100.0)</f>
        <v>68100</v>
      </c>
      <c r="N195" s="1">
        <f>IFERROR(__xludf.DUMMYFUNCTION("""COMPUTED_VALUE"""),79.0)</f>
        <v>79</v>
      </c>
      <c r="O195" s="1">
        <f>IFERROR(__xludf.DUMMYFUNCTION("""COMPUTED_VALUE"""),100.0)</f>
        <v>100</v>
      </c>
      <c r="P195" s="1">
        <f>IFERROR(__xludf.DUMMYFUNCTION("""COMPUTED_VALUE"""),68000.0)</f>
        <v>68000</v>
      </c>
      <c r="Q195" s="1">
        <f>IFERROR(__xludf.DUMMYFUNCTION("""COMPUTED_VALUE"""),107.0)</f>
        <v>107</v>
      </c>
      <c r="R195" s="1">
        <f>IFERROR(__xludf.DUMMYFUNCTION("""COMPUTED_VALUE"""),65000.0)</f>
        <v>65000</v>
      </c>
      <c r="S195" s="1"/>
      <c r="T195" s="1"/>
      <c r="U195" s="1">
        <f>IFERROR(__xludf.DUMMYFUNCTION("""COMPUTED_VALUE"""),0.0)</f>
        <v>0</v>
      </c>
      <c r="V195" s="1"/>
      <c r="W195" s="1"/>
      <c r="X195" s="1">
        <f>IFERROR(__xludf.DUMMYFUNCTION("""COMPUTED_VALUE"""),0.0)</f>
        <v>0</v>
      </c>
      <c r="Y195" s="1">
        <f>IFERROR(__xludf.DUMMYFUNCTION("""COMPUTED_VALUE"""),68100.0)</f>
        <v>68100</v>
      </c>
      <c r="Z195" s="1">
        <f>IFERROR(__xludf.DUMMYFUNCTION("""COMPUTED_VALUE"""),54.0)</f>
        <v>54</v>
      </c>
      <c r="AA195" s="1">
        <f>IFERROR(__xludf.DUMMYFUNCTION("""COMPUTED_VALUE"""),68100.0)</f>
        <v>68100</v>
      </c>
      <c r="AB195" s="1">
        <f>IFERROR(__xludf.DUMMYFUNCTION("""COMPUTED_VALUE"""),1078.0)</f>
        <v>1078</v>
      </c>
      <c r="AC195" s="1">
        <f>IFERROR(__xludf.DUMMYFUNCTION("""COMPUTED_VALUE"""),100.0)</f>
        <v>100</v>
      </c>
      <c r="AD195" s="1">
        <f>IFERROR(__xludf.DUMMYFUNCTION("""COMPUTED_VALUE"""),68000.0)</f>
        <v>68000</v>
      </c>
      <c r="AE195" s="1">
        <f>IFERROR(__xludf.DUMMYFUNCTION("""COMPUTED_VALUE"""),100.0)</f>
        <v>100</v>
      </c>
      <c r="AF195" s="1">
        <f>IFERROR(__xludf.DUMMYFUNCTION("""COMPUTED_VALUE"""),28013.400390625)</f>
        <v>28013.40039</v>
      </c>
      <c r="AG195" s="1">
        <f>IFERROR(__xludf.DUMMYFUNCTION("""COMPUTED_VALUE"""),1.0)</f>
        <v>1</v>
      </c>
      <c r="AH195" s="1">
        <f>IFERROR(__xludf.DUMMYFUNCTION("""COMPUTED_VALUE"""),69700.0)</f>
        <v>69700</v>
      </c>
      <c r="AI195" s="1">
        <f>IFERROR(__xludf.DUMMYFUNCTION("""COMPUTED_VALUE"""),1.0)</f>
        <v>1</v>
      </c>
      <c r="AJ195" s="1"/>
      <c r="AK195" s="1"/>
      <c r="AL195" s="1">
        <f>IFERROR(__xludf.DUMMYFUNCTION("""COMPUTED_VALUE"""),0.0)</f>
        <v>0</v>
      </c>
      <c r="AM195" s="1">
        <f>IFERROR(__xludf.DUMMYFUNCTION("""COMPUTED_VALUE"""),68100.0)</f>
        <v>68100</v>
      </c>
      <c r="AN195" s="1">
        <f>IFERROR(__xludf.DUMMYFUNCTION("""COMPUTED_VALUE"""),22.0)</f>
        <v>22</v>
      </c>
      <c r="AO195" s="1">
        <f>IFERROR(__xludf.DUMMYFUNCTION("""COMPUTED_VALUE"""),68100.0)</f>
        <v>68100</v>
      </c>
      <c r="AP195" s="1">
        <f>IFERROR(__xludf.DUMMYFUNCTION("""COMPUTED_VALUE"""),76.0)</f>
        <v>76</v>
      </c>
      <c r="AQ195" s="1">
        <f>IFERROR(__xludf.DUMMYFUNCTION("""COMPUTED_VALUE"""),100.0)</f>
        <v>100</v>
      </c>
      <c r="AR195" s="1">
        <f>IFERROR(__xludf.DUMMYFUNCTION("""COMPUTED_VALUE"""),68000.0)</f>
        <v>68000</v>
      </c>
      <c r="AS195" s="1">
        <f>IFERROR(__xludf.DUMMYFUNCTION("""COMPUTED_VALUE"""),120.0)</f>
        <v>120</v>
      </c>
    </row>
    <row r="196">
      <c r="A196" s="1" t="str">
        <f>IFERROR(__xludf.DUMMYFUNCTION("""COMPUTED_VALUE"""),"LSE")</f>
        <v>LSE</v>
      </c>
      <c r="B196" s="1"/>
      <c r="C196" s="1"/>
      <c r="D196" s="1">
        <f>IFERROR(__xludf.DUMMYFUNCTION("""COMPUTED_VALUE"""),10400.0)</f>
        <v>10400</v>
      </c>
      <c r="E196" s="1">
        <f>IFERROR(__xludf.DUMMYFUNCTION("""COMPUTED_VALUE"""),13.0)</f>
        <v>13</v>
      </c>
      <c r="F196" s="1">
        <f>IFERROR(__xludf.DUMMYFUNCTION("""COMPUTED_VALUE"""),10400.0)</f>
        <v>10400</v>
      </c>
      <c r="G196" s="1">
        <f>IFERROR(__xludf.DUMMYFUNCTION("""COMPUTED_VALUE"""),2501.0)</f>
        <v>2501</v>
      </c>
      <c r="H196" s="1">
        <f>IFERROR(__xludf.DUMMYFUNCTION("""COMPUTED_VALUE"""),80.0)</f>
        <v>80</v>
      </c>
      <c r="I196" s="1">
        <f>IFERROR(__xludf.DUMMYFUNCTION("""COMPUTED_VALUE"""),9800.0)</f>
        <v>9800</v>
      </c>
      <c r="J196" s="1">
        <f>IFERROR(__xludf.DUMMYFUNCTION("""COMPUTED_VALUE"""),2086.0)</f>
        <v>2086</v>
      </c>
      <c r="K196" s="1">
        <f>IFERROR(__xludf.DUMMYFUNCTION("""COMPUTED_VALUE"""),10900.0)</f>
        <v>10900</v>
      </c>
      <c r="L196" s="1">
        <f>IFERROR(__xludf.DUMMYFUNCTION("""COMPUTED_VALUE"""),54.0)</f>
        <v>54</v>
      </c>
      <c r="M196" s="1">
        <f>IFERROR(__xludf.DUMMYFUNCTION("""COMPUTED_VALUE"""),10900.0)</f>
        <v>10900</v>
      </c>
      <c r="N196" s="1">
        <f>IFERROR(__xludf.DUMMYFUNCTION("""COMPUTED_VALUE"""),1009.0)</f>
        <v>1009</v>
      </c>
      <c r="O196" s="1">
        <f>IFERROR(__xludf.DUMMYFUNCTION("""COMPUTED_VALUE"""),4.0)</f>
        <v>4</v>
      </c>
      <c r="P196" s="1">
        <f>IFERROR(__xludf.DUMMYFUNCTION("""COMPUTED_VALUE"""),9110.0)</f>
        <v>9110</v>
      </c>
      <c r="Q196" s="1">
        <f>IFERROR(__xludf.DUMMYFUNCTION("""COMPUTED_VALUE"""),679.0)</f>
        <v>679</v>
      </c>
      <c r="R196" s="1">
        <f>IFERROR(__xludf.DUMMYFUNCTION("""COMPUTED_VALUE"""),9000.0)</f>
        <v>9000</v>
      </c>
      <c r="S196" s="1">
        <f>IFERROR(__xludf.DUMMYFUNCTION("""COMPUTED_VALUE"""),25.0)</f>
        <v>25</v>
      </c>
      <c r="T196" s="1">
        <f>IFERROR(__xludf.DUMMYFUNCTION("""COMPUTED_VALUE"""),10000.0)</f>
        <v>10000</v>
      </c>
      <c r="U196" s="1">
        <f>IFERROR(__xludf.DUMMYFUNCTION("""COMPUTED_VALUE"""),81.0)</f>
        <v>81</v>
      </c>
      <c r="V196" s="1"/>
      <c r="W196" s="1"/>
      <c r="X196" s="1">
        <f>IFERROR(__xludf.DUMMYFUNCTION("""COMPUTED_VALUE"""),0.0)</f>
        <v>0</v>
      </c>
      <c r="Y196" s="1">
        <f>IFERROR(__xludf.DUMMYFUNCTION("""COMPUTED_VALUE"""),11800.0)</f>
        <v>11800</v>
      </c>
      <c r="Z196" s="1">
        <f>IFERROR(__xludf.DUMMYFUNCTION("""COMPUTED_VALUE"""),191.0)</f>
        <v>191</v>
      </c>
      <c r="AA196" s="1">
        <f>IFERROR(__xludf.DUMMYFUNCTION("""COMPUTED_VALUE"""),11800.0)</f>
        <v>11800</v>
      </c>
      <c r="AB196" s="1">
        <f>IFERROR(__xludf.DUMMYFUNCTION("""COMPUTED_VALUE"""),1618.0)</f>
        <v>1618</v>
      </c>
      <c r="AC196" s="1">
        <f>IFERROR(__xludf.DUMMYFUNCTION("""COMPUTED_VALUE"""),39.0)</f>
        <v>39</v>
      </c>
      <c r="AD196" s="1">
        <f>IFERROR(__xludf.DUMMYFUNCTION("""COMPUTED_VALUE"""),9600.0)</f>
        <v>9600</v>
      </c>
      <c r="AE196" s="1">
        <f>IFERROR(__xludf.DUMMYFUNCTION("""COMPUTED_VALUE"""),2372.0)</f>
        <v>2372</v>
      </c>
      <c r="AF196" s="1">
        <f>IFERROR(__xludf.DUMMYFUNCTION("""COMPUTED_VALUE"""),8000.0)</f>
        <v>8000</v>
      </c>
      <c r="AG196" s="1">
        <f>IFERROR(__xludf.DUMMYFUNCTION("""COMPUTED_VALUE"""),102.0)</f>
        <v>102</v>
      </c>
      <c r="AH196" s="1">
        <f>IFERROR(__xludf.DUMMYFUNCTION("""COMPUTED_VALUE"""),10300.0)</f>
        <v>10300</v>
      </c>
      <c r="AI196" s="1">
        <f>IFERROR(__xludf.DUMMYFUNCTION("""COMPUTED_VALUE"""),236.0)</f>
        <v>236</v>
      </c>
      <c r="AJ196" s="1">
        <f>IFERROR(__xludf.DUMMYFUNCTION("""COMPUTED_VALUE"""),45.0)</f>
        <v>45</v>
      </c>
      <c r="AK196" s="1">
        <f>IFERROR(__xludf.DUMMYFUNCTION("""COMPUTED_VALUE"""),8000.0)</f>
        <v>8000</v>
      </c>
      <c r="AL196" s="1">
        <f>IFERROR(__xludf.DUMMYFUNCTION("""COMPUTED_VALUE"""),95.0)</f>
        <v>95</v>
      </c>
      <c r="AM196" s="1">
        <f>IFERROR(__xludf.DUMMYFUNCTION("""COMPUTED_VALUE"""),10500.0)</f>
        <v>10500</v>
      </c>
      <c r="AN196" s="1">
        <f>IFERROR(__xludf.DUMMYFUNCTION("""COMPUTED_VALUE"""),15.0)</f>
        <v>15</v>
      </c>
      <c r="AO196" s="1">
        <f>IFERROR(__xludf.DUMMYFUNCTION("""COMPUTED_VALUE"""),10500.0)</f>
        <v>10500</v>
      </c>
      <c r="AP196" s="1">
        <f>IFERROR(__xludf.DUMMYFUNCTION("""COMPUTED_VALUE"""),576.0)</f>
        <v>576</v>
      </c>
      <c r="AQ196" s="1">
        <f>IFERROR(__xludf.DUMMYFUNCTION("""COMPUTED_VALUE"""),2.0)</f>
        <v>2</v>
      </c>
      <c r="AR196" s="1">
        <f>IFERROR(__xludf.DUMMYFUNCTION("""COMPUTED_VALUE"""),9800.0)</f>
        <v>9800</v>
      </c>
      <c r="AS196" s="1">
        <f>IFERROR(__xludf.DUMMYFUNCTION("""COMPUTED_VALUE"""),592.0)</f>
        <v>592</v>
      </c>
    </row>
    <row r="197">
      <c r="A197" s="1" t="str">
        <f>IFERROR(__xludf.DUMMYFUNCTION("""COMPUTED_VALUE"""),"LSL")</f>
        <v>LSL</v>
      </c>
      <c r="B197" s="1"/>
      <c r="C197" s="1"/>
      <c r="D197" s="1">
        <f>IFERROR(__xludf.DUMMYFUNCTION("""COMPUTED_VALUE"""),415000.0)</f>
        <v>415000</v>
      </c>
      <c r="E197" s="1">
        <f>IFERROR(__xludf.DUMMYFUNCTION("""COMPUTED_VALUE"""),1.0)</f>
        <v>1</v>
      </c>
      <c r="F197" s="1">
        <f>IFERROR(__xludf.DUMMYFUNCTION("""COMPUTED_VALUE"""),497000.0)</f>
        <v>497000</v>
      </c>
      <c r="G197" s="1">
        <f>IFERROR(__xludf.DUMMYFUNCTION("""COMPUTED_VALUE"""),3.0)</f>
        <v>3</v>
      </c>
      <c r="H197" s="1"/>
      <c r="I197" s="1"/>
      <c r="J197" s="1">
        <f>IFERROR(__xludf.DUMMYFUNCTION("""COMPUTED_VALUE"""),0.0)</f>
        <v>0</v>
      </c>
      <c r="K197" s="1">
        <f>IFERROR(__xludf.DUMMYFUNCTION("""COMPUTED_VALUE"""),489000.0)</f>
        <v>489000</v>
      </c>
      <c r="L197" s="1">
        <f>IFERROR(__xludf.DUMMYFUNCTION("""COMPUTED_VALUE"""),1.0)</f>
        <v>1</v>
      </c>
      <c r="M197" s="1">
        <f>IFERROR(__xludf.DUMMYFUNCTION("""COMPUTED_VALUE"""),490000.0)</f>
        <v>490000</v>
      </c>
      <c r="N197" s="1">
        <f>IFERROR(__xludf.DUMMYFUNCTION("""COMPUTED_VALUE"""),5.0)</f>
        <v>5</v>
      </c>
      <c r="O197" s="1"/>
      <c r="P197" s="1"/>
      <c r="Q197" s="1">
        <f>IFERROR(__xludf.DUMMYFUNCTION("""COMPUTED_VALUE"""),0.0)</f>
        <v>0</v>
      </c>
      <c r="R197" s="1">
        <f>IFERROR(__xludf.DUMMYFUNCTION("""COMPUTED_VALUE"""),204785.046875)</f>
        <v>204785.0469</v>
      </c>
      <c r="S197" s="1"/>
      <c r="T197" s="1"/>
      <c r="U197" s="1">
        <f>IFERROR(__xludf.DUMMYFUNCTION("""COMPUTED_VALUE"""),0.0)</f>
        <v>0</v>
      </c>
      <c r="V197" s="1"/>
      <c r="W197" s="1"/>
      <c r="X197" s="1">
        <f>IFERROR(__xludf.DUMMYFUNCTION("""COMPUTED_VALUE"""),0.0)</f>
        <v>0</v>
      </c>
      <c r="Y197" s="1">
        <f>IFERROR(__xludf.DUMMYFUNCTION("""COMPUTED_VALUE"""),478000.0)</f>
        <v>478000</v>
      </c>
      <c r="Z197" s="1">
        <f>IFERROR(__xludf.DUMMYFUNCTION("""COMPUTED_VALUE"""),1.0)</f>
        <v>1</v>
      </c>
      <c r="AA197" s="1">
        <f>IFERROR(__xludf.DUMMYFUNCTION("""COMPUTED_VALUE"""),479000.0)</f>
        <v>479000</v>
      </c>
      <c r="AB197" s="1">
        <f>IFERROR(__xludf.DUMMYFUNCTION("""COMPUTED_VALUE"""),5.0)</f>
        <v>5</v>
      </c>
      <c r="AC197" s="1"/>
      <c r="AD197" s="1"/>
      <c r="AE197" s="1">
        <f>IFERROR(__xludf.DUMMYFUNCTION("""COMPUTED_VALUE"""),0.0)</f>
        <v>0</v>
      </c>
      <c r="AF197" s="1">
        <f>IFERROR(__xludf.DUMMYFUNCTION("""COMPUTED_VALUE"""),204785.046875)</f>
        <v>204785.0469</v>
      </c>
      <c r="AG197" s="1"/>
      <c r="AH197" s="1"/>
      <c r="AI197" s="1">
        <f>IFERROR(__xludf.DUMMYFUNCTION("""COMPUTED_VALUE"""),0.0)</f>
        <v>0</v>
      </c>
      <c r="AJ197" s="1"/>
      <c r="AK197" s="1"/>
      <c r="AL197" s="1">
        <f>IFERROR(__xludf.DUMMYFUNCTION("""COMPUTED_VALUE"""),0.0)</f>
        <v>0</v>
      </c>
      <c r="AM197" s="1">
        <f>IFERROR(__xludf.DUMMYFUNCTION("""COMPUTED_VALUE"""),500000.0)</f>
        <v>500000</v>
      </c>
      <c r="AN197" s="1"/>
      <c r="AO197" s="1"/>
      <c r="AP197" s="1">
        <f>IFERROR(__xludf.DUMMYFUNCTION("""COMPUTED_VALUE"""),0.0)</f>
        <v>0</v>
      </c>
      <c r="AQ197" s="1"/>
      <c r="AR197" s="1"/>
      <c r="AS197" s="1">
        <f>IFERROR(__xludf.DUMMYFUNCTION("""COMPUTED_VALUE"""),0.0)</f>
        <v>0</v>
      </c>
    </row>
    <row r="198">
      <c r="A198" s="1" t="str">
        <f>IFERROR(__xludf.DUMMYFUNCTION("""COMPUTED_VALUE"""),"LST")</f>
        <v>LST</v>
      </c>
      <c r="B198" s="1">
        <f>IFERROR(__xludf.DUMMYFUNCTION("""COMPUTED_VALUE"""),34.0)</f>
        <v>34</v>
      </c>
      <c r="C198" s="1"/>
      <c r="D198" s="1">
        <f>IFERROR(__xludf.DUMMYFUNCTION("""COMPUTED_VALUE"""),151.0)</f>
        <v>151</v>
      </c>
      <c r="E198" s="1">
        <f>IFERROR(__xludf.DUMMYFUNCTION("""COMPUTED_VALUE"""),732.0)</f>
        <v>732</v>
      </c>
      <c r="F198" s="1">
        <f>IFERROR(__xludf.DUMMYFUNCTION("""COMPUTED_VALUE"""),195.0)</f>
        <v>195</v>
      </c>
      <c r="G198" s="1">
        <f>IFERROR(__xludf.DUMMYFUNCTION("""COMPUTED_VALUE"""),37690.0)</f>
        <v>37690</v>
      </c>
      <c r="H198" s="1">
        <f>IFERROR(__xludf.DUMMYFUNCTION("""COMPUTED_VALUE"""),251.0)</f>
        <v>251</v>
      </c>
      <c r="I198" s="1">
        <f>IFERROR(__xludf.DUMMYFUNCTION("""COMPUTED_VALUE"""),151.0)</f>
        <v>151</v>
      </c>
      <c r="J198" s="1">
        <f>IFERROR(__xludf.DUMMYFUNCTION("""COMPUTED_VALUE"""),49226.0)</f>
        <v>49226</v>
      </c>
      <c r="K198" s="1">
        <f>IFERROR(__xludf.DUMMYFUNCTION("""COMPUTED_VALUE"""),189.0)</f>
        <v>189</v>
      </c>
      <c r="L198" s="1">
        <f>IFERROR(__xludf.DUMMYFUNCTION("""COMPUTED_VALUE"""),448.0)</f>
        <v>448</v>
      </c>
      <c r="M198" s="1">
        <f>IFERROR(__xludf.DUMMYFUNCTION("""COMPUTED_VALUE"""),190.0)</f>
        <v>190</v>
      </c>
      <c r="N198" s="1">
        <f>IFERROR(__xludf.DUMMYFUNCTION("""COMPUTED_VALUE"""),3564.0)</f>
        <v>3564</v>
      </c>
      <c r="O198" s="1">
        <f>IFERROR(__xludf.DUMMYFUNCTION("""COMPUTED_VALUE"""),90.0)</f>
        <v>90</v>
      </c>
      <c r="P198" s="1">
        <f>IFERROR(__xludf.DUMMYFUNCTION("""COMPUTED_VALUE"""),189.0)</f>
        <v>189</v>
      </c>
      <c r="Q198" s="1">
        <f>IFERROR(__xludf.DUMMYFUNCTION("""COMPUTED_VALUE"""),76002.0)</f>
        <v>76002</v>
      </c>
      <c r="R198" s="1">
        <f>IFERROR(__xludf.DUMMYFUNCTION("""COMPUTED_VALUE"""),160.0)</f>
        <v>160</v>
      </c>
      <c r="S198" s="1">
        <f>IFERROR(__xludf.DUMMYFUNCTION("""COMPUTED_VALUE"""),132.0)</f>
        <v>132</v>
      </c>
      <c r="T198" s="1">
        <f>IFERROR(__xludf.DUMMYFUNCTION("""COMPUTED_VALUE"""),160.0)</f>
        <v>160</v>
      </c>
      <c r="U198" s="1">
        <f>IFERROR(__xludf.DUMMYFUNCTION("""COMPUTED_VALUE"""),1532.0)</f>
        <v>1532</v>
      </c>
      <c r="V198" s="1"/>
      <c r="W198" s="1"/>
      <c r="X198" s="1">
        <f>IFERROR(__xludf.DUMMYFUNCTION("""COMPUTED_VALUE"""),0.0)</f>
        <v>0</v>
      </c>
      <c r="Y198" s="1">
        <f>IFERROR(__xludf.DUMMYFUNCTION("""COMPUTED_VALUE"""),171.919998168945)</f>
        <v>171.9199982</v>
      </c>
      <c r="Z198" s="1">
        <f>IFERROR(__xludf.DUMMYFUNCTION("""COMPUTED_VALUE"""),45.0)</f>
        <v>45</v>
      </c>
      <c r="AA198" s="1">
        <f>IFERROR(__xludf.DUMMYFUNCTION("""COMPUTED_VALUE"""),174.0)</f>
        <v>174</v>
      </c>
      <c r="AB198" s="1">
        <f>IFERROR(__xludf.DUMMYFUNCTION("""COMPUTED_VALUE"""),18161.0)</f>
        <v>18161</v>
      </c>
      <c r="AC198" s="1">
        <f>IFERROR(__xludf.DUMMYFUNCTION("""COMPUTED_VALUE"""),100.0)</f>
        <v>100</v>
      </c>
      <c r="AD198" s="1">
        <f>IFERROR(__xludf.DUMMYFUNCTION("""COMPUTED_VALUE"""),169.0)</f>
        <v>169</v>
      </c>
      <c r="AE198" s="1">
        <f>IFERROR(__xludf.DUMMYFUNCTION("""COMPUTED_VALUE"""),46627.0)</f>
        <v>46627</v>
      </c>
      <c r="AF198" s="1">
        <f>IFERROR(__xludf.DUMMYFUNCTION("""COMPUTED_VALUE"""),110.0)</f>
        <v>110</v>
      </c>
      <c r="AG198" s="1">
        <f>IFERROR(__xludf.DUMMYFUNCTION("""COMPUTED_VALUE"""),363.0)</f>
        <v>363</v>
      </c>
      <c r="AH198" s="1">
        <f>IFERROR(__xludf.DUMMYFUNCTION("""COMPUTED_VALUE"""),110.0)</f>
        <v>110</v>
      </c>
      <c r="AI198" s="1">
        <f>IFERROR(__xludf.DUMMYFUNCTION("""COMPUTED_VALUE"""),8964.0)</f>
        <v>8964</v>
      </c>
      <c r="AJ198" s="1">
        <f>IFERROR(__xludf.DUMMYFUNCTION("""COMPUTED_VALUE"""),1903.0)</f>
        <v>1903</v>
      </c>
      <c r="AK198" s="1">
        <f>IFERROR(__xludf.DUMMYFUNCTION("""COMPUTED_VALUE"""),100.0)</f>
        <v>100</v>
      </c>
      <c r="AL198" s="1">
        <f>IFERROR(__xludf.DUMMYFUNCTION("""COMPUTED_VALUE"""),1903.0)</f>
        <v>1903</v>
      </c>
      <c r="AM198" s="1">
        <f>IFERROR(__xludf.DUMMYFUNCTION("""COMPUTED_VALUE"""),379.440002441406)</f>
        <v>379.4400024</v>
      </c>
      <c r="AN198" s="1">
        <f>IFERROR(__xludf.DUMMYFUNCTION("""COMPUTED_VALUE"""),13.0)</f>
        <v>13</v>
      </c>
      <c r="AO198" s="1">
        <f>IFERROR(__xludf.DUMMYFUNCTION("""COMPUTED_VALUE"""),380.0)</f>
        <v>380</v>
      </c>
      <c r="AP198" s="1">
        <f>IFERROR(__xludf.DUMMYFUNCTION("""COMPUTED_VALUE"""),5080.0)</f>
        <v>5080</v>
      </c>
      <c r="AQ198" s="1">
        <f>IFERROR(__xludf.DUMMYFUNCTION("""COMPUTED_VALUE"""),100.0)</f>
        <v>100</v>
      </c>
      <c r="AR198" s="1">
        <f>IFERROR(__xludf.DUMMYFUNCTION("""COMPUTED_VALUE"""),161.0)</f>
        <v>161</v>
      </c>
      <c r="AS198" s="1">
        <f>IFERROR(__xludf.DUMMYFUNCTION("""COMPUTED_VALUE"""),38640.0)</f>
        <v>38640</v>
      </c>
    </row>
    <row r="199">
      <c r="A199" s="1" t="str">
        <f>IFERROR(__xludf.DUMMYFUNCTION("""COMPUTED_VALUE"""),"LTA")</f>
        <v>LTA</v>
      </c>
      <c r="B199" s="1"/>
      <c r="C199" s="1"/>
      <c r="D199" s="1">
        <f>IFERROR(__xludf.DUMMYFUNCTION("""COMPUTED_VALUE"""),4200.0)</f>
        <v>4200</v>
      </c>
      <c r="E199" s="1">
        <f>IFERROR(__xludf.DUMMYFUNCTION("""COMPUTED_VALUE"""),367.0)</f>
        <v>367</v>
      </c>
      <c r="F199" s="1">
        <f>IFERROR(__xludf.DUMMYFUNCTION("""COMPUTED_VALUE"""),4200.0)</f>
        <v>4200</v>
      </c>
      <c r="G199" s="1">
        <f>IFERROR(__xludf.DUMMYFUNCTION("""COMPUTED_VALUE"""),2296.0)</f>
        <v>2296</v>
      </c>
      <c r="H199" s="1">
        <f>IFERROR(__xludf.DUMMYFUNCTION("""COMPUTED_VALUE"""),55.0)</f>
        <v>55</v>
      </c>
      <c r="I199" s="1">
        <f>IFERROR(__xludf.DUMMYFUNCTION("""COMPUTED_VALUE"""),3900.0)</f>
        <v>3900</v>
      </c>
      <c r="J199" s="1">
        <f>IFERROR(__xludf.DUMMYFUNCTION("""COMPUTED_VALUE"""),748.0)</f>
        <v>748</v>
      </c>
      <c r="K199" s="1">
        <f>IFERROR(__xludf.DUMMYFUNCTION("""COMPUTED_VALUE"""),3858.47998046875)</f>
        <v>3858.47998</v>
      </c>
      <c r="L199" s="1">
        <f>IFERROR(__xludf.DUMMYFUNCTION("""COMPUTED_VALUE"""),124.0)</f>
        <v>124</v>
      </c>
      <c r="M199" s="1">
        <f>IFERROR(__xludf.DUMMYFUNCTION("""COMPUTED_VALUE"""),4300.0)</f>
        <v>4300</v>
      </c>
      <c r="N199" s="1">
        <f>IFERROR(__xludf.DUMMYFUNCTION("""COMPUTED_VALUE"""),1650.0)</f>
        <v>1650</v>
      </c>
      <c r="O199" s="1">
        <f>IFERROR(__xludf.DUMMYFUNCTION("""COMPUTED_VALUE"""),1.0)</f>
        <v>1</v>
      </c>
      <c r="P199" s="1">
        <f>IFERROR(__xludf.DUMMYFUNCTION("""COMPUTED_VALUE"""),3700.0)</f>
        <v>3700</v>
      </c>
      <c r="Q199" s="1">
        <f>IFERROR(__xludf.DUMMYFUNCTION("""COMPUTED_VALUE"""),87.0)</f>
        <v>87</v>
      </c>
      <c r="R199" s="1">
        <f>IFERROR(__xludf.DUMMYFUNCTION("""COMPUTED_VALUE"""),3800.0)</f>
        <v>3800</v>
      </c>
      <c r="S199" s="1">
        <f>IFERROR(__xludf.DUMMYFUNCTION("""COMPUTED_VALUE"""),200.0)</f>
        <v>200</v>
      </c>
      <c r="T199" s="1">
        <f>IFERROR(__xludf.DUMMYFUNCTION("""COMPUTED_VALUE"""),4200.0)</f>
        <v>4200</v>
      </c>
      <c r="U199" s="1">
        <f>IFERROR(__xludf.DUMMYFUNCTION("""COMPUTED_VALUE"""),200.0)</f>
        <v>200</v>
      </c>
      <c r="V199" s="1"/>
      <c r="W199" s="1"/>
      <c r="X199" s="1">
        <f>IFERROR(__xludf.DUMMYFUNCTION("""COMPUTED_VALUE"""),0.0)</f>
        <v>0</v>
      </c>
      <c r="Y199" s="1">
        <f>IFERROR(__xludf.DUMMYFUNCTION("""COMPUTED_VALUE"""),3990.0)</f>
        <v>3990</v>
      </c>
      <c r="Z199" s="1">
        <f>IFERROR(__xludf.DUMMYFUNCTION("""COMPUTED_VALUE"""),78.0)</f>
        <v>78</v>
      </c>
      <c r="AA199" s="1">
        <f>IFERROR(__xludf.DUMMYFUNCTION("""COMPUTED_VALUE"""),4000.0)</f>
        <v>4000</v>
      </c>
      <c r="AB199" s="1">
        <f>IFERROR(__xludf.DUMMYFUNCTION("""COMPUTED_VALUE"""),1676.0)</f>
        <v>1676</v>
      </c>
      <c r="AC199" s="1">
        <f>IFERROR(__xludf.DUMMYFUNCTION("""COMPUTED_VALUE"""),10.0)</f>
        <v>10</v>
      </c>
      <c r="AD199" s="1">
        <f>IFERROR(__xludf.DUMMYFUNCTION("""COMPUTED_VALUE"""),3990.0)</f>
        <v>3990</v>
      </c>
      <c r="AE199" s="1">
        <f>IFERROR(__xludf.DUMMYFUNCTION("""COMPUTED_VALUE"""),1598.0)</f>
        <v>1598</v>
      </c>
      <c r="AF199" s="1">
        <f>IFERROR(__xludf.DUMMYFUNCTION("""COMPUTED_VALUE"""),4200.0)</f>
        <v>4200</v>
      </c>
      <c r="AG199" s="1">
        <f>IFERROR(__xludf.DUMMYFUNCTION("""COMPUTED_VALUE"""),75.0)</f>
        <v>75</v>
      </c>
      <c r="AH199" s="1">
        <f>IFERROR(__xludf.DUMMYFUNCTION("""COMPUTED_VALUE"""),4200.0)</f>
        <v>4200</v>
      </c>
      <c r="AI199" s="1">
        <f>IFERROR(__xludf.DUMMYFUNCTION("""COMPUTED_VALUE"""),190.0)</f>
        <v>190</v>
      </c>
      <c r="AJ199" s="1">
        <f>IFERROR(__xludf.DUMMYFUNCTION("""COMPUTED_VALUE"""),70.0)</f>
        <v>70</v>
      </c>
      <c r="AK199" s="1">
        <f>IFERROR(__xludf.DUMMYFUNCTION("""COMPUTED_VALUE"""),3400.0)</f>
        <v>3400</v>
      </c>
      <c r="AL199" s="1">
        <f>IFERROR(__xludf.DUMMYFUNCTION("""COMPUTED_VALUE"""),70.0)</f>
        <v>70</v>
      </c>
      <c r="AM199" s="1">
        <f>IFERROR(__xludf.DUMMYFUNCTION("""COMPUTED_VALUE"""),4170.0)</f>
        <v>4170</v>
      </c>
      <c r="AN199" s="1">
        <f>IFERROR(__xludf.DUMMYFUNCTION("""COMPUTED_VALUE"""),53.0)</f>
        <v>53</v>
      </c>
      <c r="AO199" s="1">
        <f>IFERROR(__xludf.DUMMYFUNCTION("""COMPUTED_VALUE"""),4160.0)</f>
        <v>4160</v>
      </c>
      <c r="AP199" s="1">
        <f>IFERROR(__xludf.DUMMYFUNCTION("""COMPUTED_VALUE"""),2522.0)</f>
        <v>2522</v>
      </c>
      <c r="AQ199" s="1">
        <f>IFERROR(__xludf.DUMMYFUNCTION("""COMPUTED_VALUE"""),2.0)</f>
        <v>2</v>
      </c>
      <c r="AR199" s="1">
        <f>IFERROR(__xludf.DUMMYFUNCTION("""COMPUTED_VALUE"""),3850.0)</f>
        <v>3850</v>
      </c>
      <c r="AS199" s="1">
        <f>IFERROR(__xludf.DUMMYFUNCTION("""COMPUTED_VALUE"""),661.0)</f>
        <v>661</v>
      </c>
    </row>
    <row r="200">
      <c r="A200" s="1" t="str">
        <f>IFERROR(__xludf.DUMMYFUNCTION("""COMPUTED_VALUE"""),"LU")</f>
        <v>LU</v>
      </c>
      <c r="B200" s="1"/>
      <c r="C200" s="1"/>
      <c r="D200" s="1">
        <f>IFERROR(__xludf.DUMMYFUNCTION("""COMPUTED_VALUE"""),150000.0)</f>
        <v>150000</v>
      </c>
      <c r="E200" s="1">
        <f>IFERROR(__xludf.DUMMYFUNCTION("""COMPUTED_VALUE"""),2.0)</f>
        <v>2</v>
      </c>
      <c r="F200" s="1">
        <f>IFERROR(__xludf.DUMMYFUNCTION("""COMPUTED_VALUE"""),150000.0)</f>
        <v>150000</v>
      </c>
      <c r="G200" s="1">
        <f>IFERROR(__xludf.DUMMYFUNCTION("""COMPUTED_VALUE"""),2.0)</f>
        <v>2</v>
      </c>
      <c r="H200" s="1"/>
      <c r="I200" s="1"/>
      <c r="J200" s="1">
        <f>IFERROR(__xludf.DUMMYFUNCTION("""COMPUTED_VALUE"""),0.0)</f>
        <v>0</v>
      </c>
      <c r="K200" s="1">
        <f>IFERROR(__xludf.DUMMYFUNCTION("""COMPUTED_VALUE"""),80000.0)</f>
        <v>80000</v>
      </c>
      <c r="L200" s="1"/>
      <c r="M200" s="1"/>
      <c r="N200" s="1">
        <f>IFERROR(__xludf.DUMMYFUNCTION("""COMPUTED_VALUE"""),0.0)</f>
        <v>0</v>
      </c>
      <c r="O200" s="1"/>
      <c r="P200" s="1"/>
      <c r="Q200" s="1">
        <f>IFERROR(__xludf.DUMMYFUNCTION("""COMPUTED_VALUE"""),0.0)</f>
        <v>0</v>
      </c>
      <c r="R200" s="1">
        <f>IFERROR(__xludf.DUMMYFUNCTION("""COMPUTED_VALUE"""),62066.01953125)</f>
        <v>62066.01953</v>
      </c>
      <c r="S200" s="1"/>
      <c r="T200" s="1"/>
      <c r="U200" s="1">
        <f>IFERROR(__xludf.DUMMYFUNCTION("""COMPUTED_VALUE"""),0.0)</f>
        <v>0</v>
      </c>
      <c r="V200" s="1"/>
      <c r="W200" s="1"/>
      <c r="X200" s="1">
        <f>IFERROR(__xludf.DUMMYFUNCTION("""COMPUTED_VALUE"""),0.0)</f>
        <v>0</v>
      </c>
      <c r="Y200" s="1">
        <f>IFERROR(__xludf.DUMMYFUNCTION("""COMPUTED_VALUE"""),120000.0)</f>
        <v>120000</v>
      </c>
      <c r="Z200" s="1"/>
      <c r="AA200" s="1"/>
      <c r="AB200" s="1">
        <f>IFERROR(__xludf.DUMMYFUNCTION("""COMPUTED_VALUE"""),0.0)</f>
        <v>0</v>
      </c>
      <c r="AC200" s="1">
        <f>IFERROR(__xludf.DUMMYFUNCTION("""COMPUTED_VALUE"""),4.0)</f>
        <v>4</v>
      </c>
      <c r="AD200" s="1">
        <f>IFERROR(__xludf.DUMMYFUNCTION("""COMPUTED_VALUE"""),91900.0)</f>
        <v>91900</v>
      </c>
      <c r="AE200" s="1">
        <f>IFERROR(__xludf.DUMMYFUNCTION("""COMPUTED_VALUE"""),56.0)</f>
        <v>56</v>
      </c>
      <c r="AF200" s="1">
        <f>IFERROR(__xludf.DUMMYFUNCTION("""COMPUTED_VALUE"""),62066.01953125)</f>
        <v>62066.01953</v>
      </c>
      <c r="AG200" s="1"/>
      <c r="AH200" s="1"/>
      <c r="AI200" s="1">
        <f>IFERROR(__xludf.DUMMYFUNCTION("""COMPUTED_VALUE"""),0.0)</f>
        <v>0</v>
      </c>
      <c r="AJ200" s="1"/>
      <c r="AK200" s="1"/>
      <c r="AL200" s="1">
        <f>IFERROR(__xludf.DUMMYFUNCTION("""COMPUTED_VALUE"""),0.0)</f>
        <v>0</v>
      </c>
      <c r="AM200" s="1">
        <f>IFERROR(__xludf.DUMMYFUNCTION("""COMPUTED_VALUE"""),140000.0)</f>
        <v>140000</v>
      </c>
      <c r="AN200" s="1"/>
      <c r="AO200" s="1"/>
      <c r="AP200" s="1">
        <f>IFERROR(__xludf.DUMMYFUNCTION("""COMPUTED_VALUE"""),0.0)</f>
        <v>0</v>
      </c>
      <c r="AQ200" s="1"/>
      <c r="AR200" s="1"/>
      <c r="AS200" s="1">
        <f>IFERROR(__xludf.DUMMYFUNCTION("""COMPUTED_VALUE"""),0.0)</f>
        <v>0</v>
      </c>
    </row>
    <row r="201">
      <c r="A201" s="1" t="str">
        <f>IFERROR(__xludf.DUMMYFUNCTION("""COMPUTED_VALUE"""),"MAG")</f>
        <v>MAG</v>
      </c>
      <c r="B201" s="1">
        <f>IFERROR(__xludf.DUMMYFUNCTION("""COMPUTED_VALUE"""),87.0)</f>
        <v>87</v>
      </c>
      <c r="C201" s="1"/>
      <c r="D201" s="1">
        <f>IFERROR(__xludf.DUMMYFUNCTION("""COMPUTED_VALUE"""),399.450012207031)</f>
        <v>399.4500122</v>
      </c>
      <c r="E201" s="1">
        <f>IFERROR(__xludf.DUMMYFUNCTION("""COMPUTED_VALUE"""),117.0)</f>
        <v>117</v>
      </c>
      <c r="F201" s="1">
        <f>IFERROR(__xludf.DUMMYFUNCTION("""COMPUTED_VALUE"""),390.0)</f>
        <v>390</v>
      </c>
      <c r="G201" s="1">
        <f>IFERROR(__xludf.DUMMYFUNCTION("""COMPUTED_VALUE"""),6656.0)</f>
        <v>6656</v>
      </c>
      <c r="H201" s="1">
        <f>IFERROR(__xludf.DUMMYFUNCTION("""COMPUTED_VALUE"""),1000.0)</f>
        <v>1000</v>
      </c>
      <c r="I201" s="1">
        <f>IFERROR(__xludf.DUMMYFUNCTION("""COMPUTED_VALUE"""),330.0)</f>
        <v>330</v>
      </c>
      <c r="J201" s="1">
        <f>IFERROR(__xludf.DUMMYFUNCTION("""COMPUTED_VALUE"""),2141.0)</f>
        <v>2141</v>
      </c>
      <c r="K201" s="1">
        <f>IFERROR(__xludf.DUMMYFUNCTION("""COMPUTED_VALUE"""),364.790008544921)</f>
        <v>364.7900085</v>
      </c>
      <c r="L201" s="1"/>
      <c r="M201" s="1"/>
      <c r="N201" s="1">
        <f>IFERROR(__xludf.DUMMYFUNCTION("""COMPUTED_VALUE"""),0.0)</f>
        <v>0</v>
      </c>
      <c r="O201" s="1">
        <f>IFERROR(__xludf.DUMMYFUNCTION("""COMPUTED_VALUE"""),10.0)</f>
        <v>10</v>
      </c>
      <c r="P201" s="1">
        <f>IFERROR(__xludf.DUMMYFUNCTION("""COMPUTED_VALUE"""),250.0)</f>
        <v>250</v>
      </c>
      <c r="Q201" s="1">
        <f>IFERROR(__xludf.DUMMYFUNCTION("""COMPUTED_VALUE"""),299.0)</f>
        <v>299</v>
      </c>
      <c r="R201" s="1">
        <f>IFERROR(__xludf.DUMMYFUNCTION("""COMPUTED_VALUE"""),117.550003051757)</f>
        <v>117.5500031</v>
      </c>
      <c r="S201" s="1">
        <f>IFERROR(__xludf.DUMMYFUNCTION("""COMPUTED_VALUE"""),14.0)</f>
        <v>14</v>
      </c>
      <c r="T201" s="1">
        <f>IFERROR(__xludf.DUMMYFUNCTION("""COMPUTED_VALUE"""),300.0)</f>
        <v>300</v>
      </c>
      <c r="U201" s="1">
        <f>IFERROR(__xludf.DUMMYFUNCTION("""COMPUTED_VALUE"""),14.0)</f>
        <v>14</v>
      </c>
      <c r="V201" s="1"/>
      <c r="W201" s="1"/>
      <c r="X201" s="1">
        <f>IFERROR(__xludf.DUMMYFUNCTION("""COMPUTED_VALUE"""),0.0)</f>
        <v>0</v>
      </c>
      <c r="Y201" s="1">
        <f>IFERROR(__xludf.DUMMYFUNCTION("""COMPUTED_VALUE"""),297.0)</f>
        <v>297</v>
      </c>
      <c r="Z201" s="1">
        <f>IFERROR(__xludf.DUMMYFUNCTION("""COMPUTED_VALUE"""),20.0)</f>
        <v>20</v>
      </c>
      <c r="AA201" s="1">
        <f>IFERROR(__xludf.DUMMYFUNCTION("""COMPUTED_VALUE"""),297.0)</f>
        <v>297</v>
      </c>
      <c r="AB201" s="1">
        <f>IFERROR(__xludf.DUMMYFUNCTION("""COMPUTED_VALUE"""),3424.0)</f>
        <v>3424</v>
      </c>
      <c r="AC201" s="1">
        <f>IFERROR(__xludf.DUMMYFUNCTION("""COMPUTED_VALUE"""),498.0)</f>
        <v>498</v>
      </c>
      <c r="AD201" s="1">
        <f>IFERROR(__xludf.DUMMYFUNCTION("""COMPUTED_VALUE"""),170.0)</f>
        <v>170</v>
      </c>
      <c r="AE201" s="1">
        <f>IFERROR(__xludf.DUMMYFUNCTION("""COMPUTED_VALUE"""),3098.0)</f>
        <v>3098</v>
      </c>
      <c r="AF201" s="1">
        <f>IFERROR(__xludf.DUMMYFUNCTION("""COMPUTED_VALUE"""),117.550003051757)</f>
        <v>117.5500031</v>
      </c>
      <c r="AG201" s="1">
        <f>IFERROR(__xludf.DUMMYFUNCTION("""COMPUTED_VALUE"""),10.0)</f>
        <v>10</v>
      </c>
      <c r="AH201" s="1">
        <f>IFERROR(__xludf.DUMMYFUNCTION("""COMPUTED_VALUE"""),350.0)</f>
        <v>350</v>
      </c>
      <c r="AI201" s="1">
        <f>IFERROR(__xludf.DUMMYFUNCTION("""COMPUTED_VALUE"""),10.0)</f>
        <v>10</v>
      </c>
      <c r="AJ201" s="1"/>
      <c r="AK201" s="1"/>
      <c r="AL201" s="1">
        <f>IFERROR(__xludf.DUMMYFUNCTION("""COMPUTED_VALUE"""),0.0)</f>
        <v>0</v>
      </c>
      <c r="AM201" s="1">
        <f>IFERROR(__xludf.DUMMYFUNCTION("""COMPUTED_VALUE"""),200.0)</f>
        <v>200</v>
      </c>
      <c r="AN201" s="1">
        <f>IFERROR(__xludf.DUMMYFUNCTION("""COMPUTED_VALUE"""),25.0)</f>
        <v>25</v>
      </c>
      <c r="AO201" s="1">
        <f>IFERROR(__xludf.DUMMYFUNCTION("""COMPUTED_VALUE"""),395.0)</f>
        <v>395</v>
      </c>
      <c r="AP201" s="1">
        <f>IFERROR(__xludf.DUMMYFUNCTION("""COMPUTED_VALUE"""),565.0)</f>
        <v>565</v>
      </c>
      <c r="AQ201" s="1">
        <f>IFERROR(__xludf.DUMMYFUNCTION("""COMPUTED_VALUE"""),139.0)</f>
        <v>139</v>
      </c>
      <c r="AR201" s="1">
        <f>IFERROR(__xludf.DUMMYFUNCTION("""COMPUTED_VALUE"""),104.0)</f>
        <v>104</v>
      </c>
      <c r="AS201" s="1">
        <f>IFERROR(__xludf.DUMMYFUNCTION("""COMPUTED_VALUE"""),239.0)</f>
        <v>239</v>
      </c>
    </row>
    <row r="202">
      <c r="A202" s="1" t="str">
        <f>IFERROR(__xludf.DUMMYFUNCTION("""COMPUTED_VALUE"""),"MAI")</f>
        <v>MAI</v>
      </c>
      <c r="B202" s="1">
        <f>IFERROR(__xludf.DUMMYFUNCTION("""COMPUTED_VALUE"""),86.0)</f>
        <v>86</v>
      </c>
      <c r="C202" s="1"/>
      <c r="D202" s="1">
        <f>IFERROR(__xludf.DUMMYFUNCTION("""COMPUTED_VALUE"""),340.0)</f>
        <v>340</v>
      </c>
      <c r="E202" s="1">
        <f>IFERROR(__xludf.DUMMYFUNCTION("""COMPUTED_VALUE"""),778.0)</f>
        <v>778</v>
      </c>
      <c r="F202" s="1">
        <f>IFERROR(__xludf.DUMMYFUNCTION("""COMPUTED_VALUE"""),340.0)</f>
        <v>340</v>
      </c>
      <c r="G202" s="1">
        <f>IFERROR(__xludf.DUMMYFUNCTION("""COMPUTED_VALUE"""),64592.0)</f>
        <v>64592</v>
      </c>
      <c r="H202" s="1">
        <f>IFERROR(__xludf.DUMMYFUNCTION("""COMPUTED_VALUE"""),400.0)</f>
        <v>400</v>
      </c>
      <c r="I202" s="1">
        <f>IFERROR(__xludf.DUMMYFUNCTION("""COMPUTED_VALUE"""),295.0)</f>
        <v>295</v>
      </c>
      <c r="J202" s="1">
        <f>IFERROR(__xludf.DUMMYFUNCTION("""COMPUTED_VALUE"""),7460.0)</f>
        <v>7460</v>
      </c>
      <c r="K202" s="1">
        <f>IFERROR(__xludf.DUMMYFUNCTION("""COMPUTED_VALUE"""),252.0)</f>
        <v>252</v>
      </c>
      <c r="L202" s="1">
        <f>IFERROR(__xludf.DUMMYFUNCTION("""COMPUTED_VALUE"""),1230.0)</f>
        <v>1230</v>
      </c>
      <c r="M202" s="1">
        <f>IFERROR(__xludf.DUMMYFUNCTION("""COMPUTED_VALUE"""),330.0)</f>
        <v>330</v>
      </c>
      <c r="N202" s="1">
        <f>IFERROR(__xludf.DUMMYFUNCTION("""COMPUTED_VALUE"""),18314.0)</f>
        <v>18314</v>
      </c>
      <c r="O202" s="1">
        <f>IFERROR(__xludf.DUMMYFUNCTION("""COMPUTED_VALUE"""),122.0)</f>
        <v>122</v>
      </c>
      <c r="P202" s="1">
        <f>IFERROR(__xludf.DUMMYFUNCTION("""COMPUTED_VALUE"""),252.0)</f>
        <v>252</v>
      </c>
      <c r="Q202" s="1">
        <f>IFERROR(__xludf.DUMMYFUNCTION("""COMPUTED_VALUE"""),9144.0)</f>
        <v>9144</v>
      </c>
      <c r="R202" s="1">
        <f>IFERROR(__xludf.DUMMYFUNCTION("""COMPUTED_VALUE"""),400.0)</f>
        <v>400</v>
      </c>
      <c r="S202" s="1">
        <f>IFERROR(__xludf.DUMMYFUNCTION("""COMPUTED_VALUE"""),40.0)</f>
        <v>40</v>
      </c>
      <c r="T202" s="1">
        <f>IFERROR(__xludf.DUMMYFUNCTION("""COMPUTED_VALUE"""),400.0)</f>
        <v>400</v>
      </c>
      <c r="U202" s="1">
        <f>IFERROR(__xludf.DUMMYFUNCTION("""COMPUTED_VALUE"""),40.0)</f>
        <v>40</v>
      </c>
      <c r="V202" s="1"/>
      <c r="W202" s="1"/>
      <c r="X202" s="1">
        <f>IFERROR(__xludf.DUMMYFUNCTION("""COMPUTED_VALUE"""),0.0)</f>
        <v>0</v>
      </c>
      <c r="Y202" s="1">
        <f>IFERROR(__xludf.DUMMYFUNCTION("""COMPUTED_VALUE"""),359.0)</f>
        <v>359</v>
      </c>
      <c r="Z202" s="1">
        <f>IFERROR(__xludf.DUMMYFUNCTION("""COMPUTED_VALUE"""),102.0)</f>
        <v>102</v>
      </c>
      <c r="AA202" s="1">
        <f>IFERROR(__xludf.DUMMYFUNCTION("""COMPUTED_VALUE"""),359.0)</f>
        <v>359</v>
      </c>
      <c r="AB202" s="1">
        <f>IFERROR(__xludf.DUMMYFUNCTION("""COMPUTED_VALUE"""),39000.0)</f>
        <v>39000</v>
      </c>
      <c r="AC202" s="1">
        <f>IFERROR(__xludf.DUMMYFUNCTION("""COMPUTED_VALUE"""),7682.0)</f>
        <v>7682</v>
      </c>
      <c r="AD202" s="1">
        <f>IFERROR(__xludf.DUMMYFUNCTION("""COMPUTED_VALUE"""),330.0)</f>
        <v>330</v>
      </c>
      <c r="AE202" s="1">
        <f>IFERROR(__xludf.DUMMYFUNCTION("""COMPUTED_VALUE"""),13782.0)</f>
        <v>13782</v>
      </c>
      <c r="AF202" s="1">
        <f>IFERROR(__xludf.DUMMYFUNCTION("""COMPUTED_VALUE"""),300.0)</f>
        <v>300</v>
      </c>
      <c r="AG202" s="1">
        <f>IFERROR(__xludf.DUMMYFUNCTION("""COMPUTED_VALUE"""),100.0)</f>
        <v>100</v>
      </c>
      <c r="AH202" s="1">
        <f>IFERROR(__xludf.DUMMYFUNCTION("""COMPUTED_VALUE"""),380.0)</f>
        <v>380</v>
      </c>
      <c r="AI202" s="1">
        <f>IFERROR(__xludf.DUMMYFUNCTION("""COMPUTED_VALUE"""),100.0)</f>
        <v>100</v>
      </c>
      <c r="AJ202" s="1">
        <f>IFERROR(__xludf.DUMMYFUNCTION("""COMPUTED_VALUE"""),939.0)</f>
        <v>939</v>
      </c>
      <c r="AK202" s="1">
        <f>IFERROR(__xludf.DUMMYFUNCTION("""COMPUTED_VALUE"""),300.0)</f>
        <v>300</v>
      </c>
      <c r="AL202" s="1">
        <f>IFERROR(__xludf.DUMMYFUNCTION("""COMPUTED_VALUE"""),939.0)</f>
        <v>939</v>
      </c>
      <c r="AM202" s="1">
        <f>IFERROR(__xludf.DUMMYFUNCTION("""COMPUTED_VALUE"""),264.0)</f>
        <v>264</v>
      </c>
      <c r="AN202" s="1">
        <f>IFERROR(__xludf.DUMMYFUNCTION("""COMPUTED_VALUE"""),181.0)</f>
        <v>181</v>
      </c>
      <c r="AO202" s="1">
        <f>IFERROR(__xludf.DUMMYFUNCTION("""COMPUTED_VALUE"""),298.0)</f>
        <v>298</v>
      </c>
      <c r="AP202" s="1">
        <f>IFERROR(__xludf.DUMMYFUNCTION("""COMPUTED_VALUE"""),25531.0)</f>
        <v>25531</v>
      </c>
      <c r="AQ202" s="1">
        <f>IFERROR(__xludf.DUMMYFUNCTION("""COMPUTED_VALUE"""),868.0)</f>
        <v>868</v>
      </c>
      <c r="AR202" s="1">
        <f>IFERROR(__xludf.DUMMYFUNCTION("""COMPUTED_VALUE"""),264.0)</f>
        <v>264</v>
      </c>
      <c r="AS202" s="1">
        <f>IFERROR(__xludf.DUMMYFUNCTION("""COMPUTED_VALUE"""),16936.0)</f>
        <v>16936</v>
      </c>
    </row>
    <row r="203">
      <c r="A203" s="1" t="str">
        <f>IFERROR(__xludf.DUMMYFUNCTION("""COMPUTED_VALUE"""),"MB")</f>
        <v>MB</v>
      </c>
      <c r="B203" s="1"/>
      <c r="C203" s="1"/>
      <c r="D203" s="1">
        <f>IFERROR(__xludf.DUMMYFUNCTION("""COMPUTED_VALUE"""),9990.0)</f>
        <v>9990</v>
      </c>
      <c r="E203" s="1">
        <f>IFERROR(__xludf.DUMMYFUNCTION("""COMPUTED_VALUE"""),62.0)</f>
        <v>62</v>
      </c>
      <c r="F203" s="1">
        <f>IFERROR(__xludf.DUMMYFUNCTION("""COMPUTED_VALUE"""),9990.0)</f>
        <v>9990</v>
      </c>
      <c r="G203" s="1">
        <f>IFERROR(__xludf.DUMMYFUNCTION("""COMPUTED_VALUE"""),1567.0)</f>
        <v>1567</v>
      </c>
      <c r="H203" s="1">
        <f>IFERROR(__xludf.DUMMYFUNCTION("""COMPUTED_VALUE"""),10.0)</f>
        <v>10</v>
      </c>
      <c r="I203" s="1">
        <f>IFERROR(__xludf.DUMMYFUNCTION("""COMPUTED_VALUE"""),7200.0)</f>
        <v>7200</v>
      </c>
      <c r="J203" s="1">
        <f>IFERROR(__xludf.DUMMYFUNCTION("""COMPUTED_VALUE"""),821.0)</f>
        <v>821</v>
      </c>
      <c r="K203" s="1">
        <f>IFERROR(__xludf.DUMMYFUNCTION("""COMPUTED_VALUE"""),9000.0)</f>
        <v>9000</v>
      </c>
      <c r="L203" s="1">
        <f>IFERROR(__xludf.DUMMYFUNCTION("""COMPUTED_VALUE"""),147.0)</f>
        <v>147</v>
      </c>
      <c r="M203" s="1">
        <f>IFERROR(__xludf.DUMMYFUNCTION("""COMPUTED_VALUE"""),9000.0)</f>
        <v>9000</v>
      </c>
      <c r="N203" s="1">
        <f>IFERROR(__xludf.DUMMYFUNCTION("""COMPUTED_VALUE"""),147.0)</f>
        <v>147</v>
      </c>
      <c r="O203" s="1">
        <f>IFERROR(__xludf.DUMMYFUNCTION("""COMPUTED_VALUE"""),50.0)</f>
        <v>50</v>
      </c>
      <c r="P203" s="1">
        <f>IFERROR(__xludf.DUMMYFUNCTION("""COMPUTED_VALUE"""),8000.0)</f>
        <v>8000</v>
      </c>
      <c r="Q203" s="1">
        <f>IFERROR(__xludf.DUMMYFUNCTION("""COMPUTED_VALUE"""),141.0)</f>
        <v>141</v>
      </c>
      <c r="R203" s="1">
        <f>IFERROR(__xludf.DUMMYFUNCTION("""COMPUTED_VALUE"""),8000.0)</f>
        <v>8000</v>
      </c>
      <c r="S203" s="1"/>
      <c r="T203" s="1"/>
      <c r="U203" s="1">
        <f>IFERROR(__xludf.DUMMYFUNCTION("""COMPUTED_VALUE"""),0.0)</f>
        <v>0</v>
      </c>
      <c r="V203" s="1"/>
      <c r="W203" s="1"/>
      <c r="X203" s="1">
        <f>IFERROR(__xludf.DUMMYFUNCTION("""COMPUTED_VALUE"""),0.0)</f>
        <v>0</v>
      </c>
      <c r="Y203" s="1">
        <f>IFERROR(__xludf.DUMMYFUNCTION("""COMPUTED_VALUE"""),8000.0)</f>
        <v>8000</v>
      </c>
      <c r="Z203" s="1">
        <f>IFERROR(__xludf.DUMMYFUNCTION("""COMPUTED_VALUE"""),200.0)</f>
        <v>200</v>
      </c>
      <c r="AA203" s="1">
        <f>IFERROR(__xludf.DUMMYFUNCTION("""COMPUTED_VALUE"""),7900.0)</f>
        <v>7900</v>
      </c>
      <c r="AB203" s="1">
        <f>IFERROR(__xludf.DUMMYFUNCTION("""COMPUTED_VALUE"""),1145.0)</f>
        <v>1145</v>
      </c>
      <c r="AC203" s="1">
        <f>IFERROR(__xludf.DUMMYFUNCTION("""COMPUTED_VALUE"""),133.0)</f>
        <v>133</v>
      </c>
      <c r="AD203" s="1">
        <f>IFERROR(__xludf.DUMMYFUNCTION("""COMPUTED_VALUE"""),7250.0)</f>
        <v>7250</v>
      </c>
      <c r="AE203" s="1">
        <f>IFERROR(__xludf.DUMMYFUNCTION("""COMPUTED_VALUE"""),503.0)</f>
        <v>503</v>
      </c>
      <c r="AF203" s="1">
        <f>IFERROR(__xludf.DUMMYFUNCTION("""COMPUTED_VALUE"""),8400.0)</f>
        <v>8400</v>
      </c>
      <c r="AG203" s="1">
        <f>IFERROR(__xludf.DUMMYFUNCTION("""COMPUTED_VALUE"""),5.0)</f>
        <v>5</v>
      </c>
      <c r="AH203" s="1">
        <f>IFERROR(__xludf.DUMMYFUNCTION("""COMPUTED_VALUE"""),8500.0)</f>
        <v>8500</v>
      </c>
      <c r="AI203" s="1">
        <f>IFERROR(__xludf.DUMMYFUNCTION("""COMPUTED_VALUE"""),5.0)</f>
        <v>5</v>
      </c>
      <c r="AJ203" s="1"/>
      <c r="AK203" s="1"/>
      <c r="AL203" s="1">
        <f>IFERROR(__xludf.DUMMYFUNCTION("""COMPUTED_VALUE"""),0.0)</f>
        <v>0</v>
      </c>
      <c r="AM203" s="1">
        <f>IFERROR(__xludf.DUMMYFUNCTION("""COMPUTED_VALUE"""),625.0)</f>
        <v>625</v>
      </c>
      <c r="AN203" s="1">
        <f>IFERROR(__xludf.DUMMYFUNCTION("""COMPUTED_VALUE"""),30.0)</f>
        <v>30</v>
      </c>
      <c r="AO203" s="1">
        <f>IFERROR(__xludf.DUMMYFUNCTION("""COMPUTED_VALUE"""),7500.0)</f>
        <v>7500</v>
      </c>
      <c r="AP203" s="1">
        <f>IFERROR(__xludf.DUMMYFUNCTION("""COMPUTED_VALUE"""),30.0)</f>
        <v>30</v>
      </c>
      <c r="AQ203" s="1"/>
      <c r="AR203" s="1"/>
      <c r="AS203" s="1">
        <f>IFERROR(__xludf.DUMMYFUNCTION("""COMPUTED_VALUE"""),0.0)</f>
        <v>0</v>
      </c>
    </row>
    <row r="204">
      <c r="A204" s="1" t="str">
        <f>IFERROR(__xludf.DUMMYFUNCTION("""COMPUTED_VALUE"""),"MCB")</f>
        <v>MCB</v>
      </c>
      <c r="B204" s="1"/>
      <c r="C204" s="1"/>
      <c r="D204" s="1">
        <f>IFERROR(__xludf.DUMMYFUNCTION("""COMPUTED_VALUE"""),420000.0)</f>
        <v>420000</v>
      </c>
      <c r="E204" s="1">
        <f>IFERROR(__xludf.DUMMYFUNCTION("""COMPUTED_VALUE"""),1.0)</f>
        <v>1</v>
      </c>
      <c r="F204" s="1">
        <f>IFERROR(__xludf.DUMMYFUNCTION("""COMPUTED_VALUE"""),400000.0)</f>
        <v>400000</v>
      </c>
      <c r="G204" s="1">
        <f>IFERROR(__xludf.DUMMYFUNCTION("""COMPUTED_VALUE"""),1.0)</f>
        <v>1</v>
      </c>
      <c r="H204" s="1"/>
      <c r="I204" s="1"/>
      <c r="J204" s="1">
        <f>IFERROR(__xludf.DUMMYFUNCTION("""COMPUTED_VALUE"""),0.0)</f>
        <v>0</v>
      </c>
      <c r="K204" s="1">
        <f>IFERROR(__xludf.DUMMYFUNCTION("""COMPUTED_VALUE"""),218750.0)</f>
        <v>218750</v>
      </c>
      <c r="L204" s="1">
        <f>IFERROR(__xludf.DUMMYFUNCTION("""COMPUTED_VALUE"""),2.0)</f>
        <v>2</v>
      </c>
      <c r="M204" s="1">
        <f>IFERROR(__xludf.DUMMYFUNCTION("""COMPUTED_VALUE"""),350000.0)</f>
        <v>350000</v>
      </c>
      <c r="N204" s="1">
        <f>IFERROR(__xludf.DUMMYFUNCTION("""COMPUTED_VALUE"""),4.0)</f>
        <v>4</v>
      </c>
      <c r="O204" s="1"/>
      <c r="P204" s="1"/>
      <c r="Q204" s="1">
        <f>IFERROR(__xludf.DUMMYFUNCTION("""COMPUTED_VALUE"""),0.0)</f>
        <v>0</v>
      </c>
      <c r="R204" s="1">
        <f>IFERROR(__xludf.DUMMYFUNCTION("""COMPUTED_VALUE"""),166644.328125)</f>
        <v>166644.3281</v>
      </c>
      <c r="S204" s="1"/>
      <c r="T204" s="1"/>
      <c r="U204" s="1">
        <f>IFERROR(__xludf.DUMMYFUNCTION("""COMPUTED_VALUE"""),0.0)</f>
        <v>0</v>
      </c>
      <c r="V204" s="1">
        <f>IFERROR(__xludf.DUMMYFUNCTION("""COMPUTED_VALUE"""),1.0)</f>
        <v>1</v>
      </c>
      <c r="W204" s="1">
        <f>IFERROR(__xludf.DUMMYFUNCTION("""COMPUTED_VALUE"""),175000.0)</f>
        <v>175000</v>
      </c>
      <c r="X204" s="1">
        <f>IFERROR(__xludf.DUMMYFUNCTION("""COMPUTED_VALUE"""),1.0)</f>
        <v>1</v>
      </c>
      <c r="Y204" s="1">
        <f>IFERROR(__xludf.DUMMYFUNCTION("""COMPUTED_VALUE"""),350000.0)</f>
        <v>350000</v>
      </c>
      <c r="Z204" s="1">
        <f>IFERROR(__xludf.DUMMYFUNCTION("""COMPUTED_VALUE"""),1.0)</f>
        <v>1</v>
      </c>
      <c r="AA204" s="1">
        <f>IFERROR(__xludf.DUMMYFUNCTION("""COMPUTED_VALUE"""),350000.0)</f>
        <v>350000</v>
      </c>
      <c r="AB204" s="1">
        <f>IFERROR(__xludf.DUMMYFUNCTION("""COMPUTED_VALUE"""),6.0)</f>
        <v>6</v>
      </c>
      <c r="AC204" s="1"/>
      <c r="AD204" s="1"/>
      <c r="AE204" s="1">
        <f>IFERROR(__xludf.DUMMYFUNCTION("""COMPUTED_VALUE"""),0.0)</f>
        <v>0</v>
      </c>
      <c r="AF204" s="1">
        <f>IFERROR(__xludf.DUMMYFUNCTION("""COMPUTED_VALUE"""),166644.328125)</f>
        <v>166644.3281</v>
      </c>
      <c r="AG204" s="1"/>
      <c r="AH204" s="1"/>
      <c r="AI204" s="1">
        <f>IFERROR(__xludf.DUMMYFUNCTION("""COMPUTED_VALUE"""),0.0)</f>
        <v>0</v>
      </c>
      <c r="AJ204" s="1"/>
      <c r="AK204" s="1"/>
      <c r="AL204" s="1">
        <f>IFERROR(__xludf.DUMMYFUNCTION("""COMPUTED_VALUE"""),0.0)</f>
        <v>0</v>
      </c>
      <c r="AM204" s="1">
        <f>IFERROR(__xludf.DUMMYFUNCTION("""COMPUTED_VALUE"""),350000.0)</f>
        <v>350000</v>
      </c>
      <c r="AN204" s="1">
        <f>IFERROR(__xludf.DUMMYFUNCTION("""COMPUTED_VALUE"""),1.0)</f>
        <v>1</v>
      </c>
      <c r="AO204" s="1">
        <f>IFERROR(__xludf.DUMMYFUNCTION("""COMPUTED_VALUE"""),450000.0)</f>
        <v>450000</v>
      </c>
      <c r="AP204" s="1">
        <f>IFERROR(__xludf.DUMMYFUNCTION("""COMPUTED_VALUE"""),1.0)</f>
        <v>1</v>
      </c>
      <c r="AQ204" s="1">
        <f>IFERROR(__xludf.DUMMYFUNCTION("""COMPUTED_VALUE"""),1.0)</f>
        <v>1</v>
      </c>
      <c r="AR204" s="1">
        <f>IFERROR(__xludf.DUMMYFUNCTION("""COMPUTED_VALUE"""),275000.0)</f>
        <v>275000</v>
      </c>
      <c r="AS204" s="1">
        <f>IFERROR(__xludf.DUMMYFUNCTION("""COMPUTED_VALUE"""),1.0)</f>
        <v>1</v>
      </c>
    </row>
    <row r="205">
      <c r="A205" s="1" t="str">
        <f>IFERROR(__xludf.DUMMYFUNCTION("""COMPUTED_VALUE"""),"MCG")</f>
        <v>MCG</v>
      </c>
      <c r="B205" s="1">
        <f>IFERROR(__xludf.DUMMYFUNCTION("""COMPUTED_VALUE"""),12.0)</f>
        <v>12</v>
      </c>
      <c r="C205" s="1">
        <f>IFERROR(__xludf.DUMMYFUNCTION("""COMPUTED_VALUE"""),39.0)</f>
        <v>39</v>
      </c>
      <c r="D205" s="1">
        <f>IFERROR(__xludf.DUMMYFUNCTION("""COMPUTED_VALUE"""),38.7999992370605)</f>
        <v>38.79999924</v>
      </c>
      <c r="E205" s="1">
        <f>IFERROR(__xludf.DUMMYFUNCTION("""COMPUTED_VALUE"""),2908.0)</f>
        <v>2908</v>
      </c>
      <c r="F205" s="1">
        <f>IFERROR(__xludf.DUMMYFUNCTION("""COMPUTED_VALUE"""),38.7999992370605)</f>
        <v>38.79999924</v>
      </c>
      <c r="G205" s="1">
        <f>IFERROR(__xludf.DUMMYFUNCTION("""COMPUTED_VALUE"""),40890.0)</f>
        <v>40890</v>
      </c>
      <c r="H205" s="1">
        <f>IFERROR(__xludf.DUMMYFUNCTION("""COMPUTED_VALUE"""),17450.0)</f>
        <v>17450</v>
      </c>
      <c r="I205" s="1">
        <f>IFERROR(__xludf.DUMMYFUNCTION("""COMPUTED_VALUE"""),36.0)</f>
        <v>36</v>
      </c>
      <c r="J205" s="1">
        <f>IFERROR(__xludf.DUMMYFUNCTION("""COMPUTED_VALUE"""),412138.0)</f>
        <v>412138</v>
      </c>
      <c r="K205" s="1">
        <f>IFERROR(__xludf.DUMMYFUNCTION("""COMPUTED_VALUE"""),38.6599998474121)</f>
        <v>38.65999985</v>
      </c>
      <c r="L205" s="1">
        <f>IFERROR(__xludf.DUMMYFUNCTION("""COMPUTED_VALUE"""),742.0)</f>
        <v>742</v>
      </c>
      <c r="M205" s="1">
        <f>IFERROR(__xludf.DUMMYFUNCTION("""COMPUTED_VALUE"""),38.7000007629394)</f>
        <v>38.70000076</v>
      </c>
      <c r="N205" s="1">
        <f>IFERROR(__xludf.DUMMYFUNCTION("""COMPUTED_VALUE"""),1940.0)</f>
        <v>1940</v>
      </c>
      <c r="O205" s="1">
        <f>IFERROR(__xludf.DUMMYFUNCTION("""COMPUTED_VALUE"""),1000.0)</f>
        <v>1000</v>
      </c>
      <c r="P205" s="1">
        <f>IFERROR(__xludf.DUMMYFUNCTION("""COMPUTED_VALUE"""),36.4000015258789)</f>
        <v>36.40000153</v>
      </c>
      <c r="Q205" s="1">
        <f>IFERROR(__xludf.DUMMYFUNCTION("""COMPUTED_VALUE"""),140140.0)</f>
        <v>140140</v>
      </c>
      <c r="R205" s="1">
        <f>IFERROR(__xludf.DUMMYFUNCTION("""COMPUTED_VALUE"""),34.0)</f>
        <v>34</v>
      </c>
      <c r="S205" s="1">
        <f>IFERROR(__xludf.DUMMYFUNCTION("""COMPUTED_VALUE"""),890.0)</f>
        <v>890</v>
      </c>
      <c r="T205" s="1">
        <f>IFERROR(__xludf.DUMMYFUNCTION("""COMPUTED_VALUE"""),34.0)</f>
        <v>34</v>
      </c>
      <c r="U205" s="1">
        <f>IFERROR(__xludf.DUMMYFUNCTION("""COMPUTED_VALUE"""),8768.0)</f>
        <v>8768</v>
      </c>
      <c r="V205" s="1">
        <f>IFERROR(__xludf.DUMMYFUNCTION("""COMPUTED_VALUE"""),100.0)</f>
        <v>100</v>
      </c>
      <c r="W205" s="1">
        <f>IFERROR(__xludf.DUMMYFUNCTION("""COMPUTED_VALUE"""),30.0)</f>
        <v>30</v>
      </c>
      <c r="X205" s="1">
        <f>IFERROR(__xludf.DUMMYFUNCTION("""COMPUTED_VALUE"""),1300.0)</f>
        <v>1300</v>
      </c>
      <c r="Y205" s="1">
        <f>IFERROR(__xludf.DUMMYFUNCTION("""COMPUTED_VALUE"""),38.9000015258789)</f>
        <v>38.90000153</v>
      </c>
      <c r="Z205" s="1">
        <f>IFERROR(__xludf.DUMMYFUNCTION("""COMPUTED_VALUE"""),512.0)</f>
        <v>512</v>
      </c>
      <c r="AA205" s="1">
        <f>IFERROR(__xludf.DUMMYFUNCTION("""COMPUTED_VALUE"""),38.9000015258789)</f>
        <v>38.90000153</v>
      </c>
      <c r="AB205" s="1">
        <f>IFERROR(__xludf.DUMMYFUNCTION("""COMPUTED_VALUE"""),2922.0)</f>
        <v>2922</v>
      </c>
      <c r="AC205" s="1">
        <f>IFERROR(__xludf.DUMMYFUNCTION("""COMPUTED_VALUE"""),19929.0)</f>
        <v>19929</v>
      </c>
      <c r="AD205" s="1">
        <f>IFERROR(__xludf.DUMMYFUNCTION("""COMPUTED_VALUE"""),36.599998474121)</f>
        <v>36.59999847</v>
      </c>
      <c r="AE205" s="1">
        <f>IFERROR(__xludf.DUMMYFUNCTION("""COMPUTED_VALUE"""),211083.0)</f>
        <v>211083</v>
      </c>
      <c r="AF205" s="1">
        <f>IFERROR(__xludf.DUMMYFUNCTION("""COMPUTED_VALUE"""),27.0)</f>
        <v>27</v>
      </c>
      <c r="AG205" s="1">
        <f>IFERROR(__xludf.DUMMYFUNCTION("""COMPUTED_VALUE"""),537.0)</f>
        <v>537</v>
      </c>
      <c r="AH205" s="1">
        <f>IFERROR(__xludf.DUMMYFUNCTION("""COMPUTED_VALUE"""),28.0)</f>
        <v>28</v>
      </c>
      <c r="AI205" s="1">
        <f>IFERROR(__xludf.DUMMYFUNCTION("""COMPUTED_VALUE"""),7744.0)</f>
        <v>7744</v>
      </c>
      <c r="AJ205" s="1">
        <f>IFERROR(__xludf.DUMMYFUNCTION("""COMPUTED_VALUE"""),2500.0)</f>
        <v>2500</v>
      </c>
      <c r="AK205" s="1">
        <f>IFERROR(__xludf.DUMMYFUNCTION("""COMPUTED_VALUE"""),27.0)</f>
        <v>27</v>
      </c>
      <c r="AL205" s="1">
        <f>IFERROR(__xludf.DUMMYFUNCTION("""COMPUTED_VALUE"""),6367.0)</f>
        <v>6367</v>
      </c>
      <c r="AM205" s="1">
        <f>IFERROR(__xludf.DUMMYFUNCTION("""COMPUTED_VALUE"""),39.0)</f>
        <v>39</v>
      </c>
      <c r="AN205" s="1">
        <f>IFERROR(__xludf.DUMMYFUNCTION("""COMPUTED_VALUE"""),100.0)</f>
        <v>100</v>
      </c>
      <c r="AO205" s="1">
        <f>IFERROR(__xludf.DUMMYFUNCTION("""COMPUTED_VALUE"""),39.0)</f>
        <v>39</v>
      </c>
      <c r="AP205" s="1">
        <f>IFERROR(__xludf.DUMMYFUNCTION("""COMPUTED_VALUE"""),100.0)</f>
        <v>100</v>
      </c>
      <c r="AQ205" s="1">
        <f>IFERROR(__xludf.DUMMYFUNCTION("""COMPUTED_VALUE"""),240.0)</f>
        <v>240</v>
      </c>
      <c r="AR205" s="1">
        <f>IFERROR(__xludf.DUMMYFUNCTION("""COMPUTED_VALUE"""),36.5)</f>
        <v>36.5</v>
      </c>
      <c r="AS205" s="1">
        <f>IFERROR(__xludf.DUMMYFUNCTION("""COMPUTED_VALUE"""),118987.0)</f>
        <v>118987</v>
      </c>
    </row>
    <row r="206">
      <c r="A206" s="1" t="str">
        <f>IFERROR(__xludf.DUMMYFUNCTION("""COMPUTED_VALUE"""),"MEA")</f>
        <v>MEA</v>
      </c>
      <c r="B206" s="1"/>
      <c r="C206" s="1"/>
      <c r="D206" s="1">
        <f>IFERROR(__xludf.DUMMYFUNCTION("""COMPUTED_VALUE"""),3900.0)</f>
        <v>3900</v>
      </c>
      <c r="E206" s="1">
        <f>IFERROR(__xludf.DUMMYFUNCTION("""COMPUTED_VALUE"""),42.0)</f>
        <v>42</v>
      </c>
      <c r="F206" s="1">
        <f>IFERROR(__xludf.DUMMYFUNCTION("""COMPUTED_VALUE"""),3900.0)</f>
        <v>3900</v>
      </c>
      <c r="G206" s="1">
        <f>IFERROR(__xludf.DUMMYFUNCTION("""COMPUTED_VALUE"""),23645.0)</f>
        <v>23645</v>
      </c>
      <c r="H206" s="1">
        <f>IFERROR(__xludf.DUMMYFUNCTION("""COMPUTED_VALUE"""),110.0)</f>
        <v>110</v>
      </c>
      <c r="I206" s="1">
        <f>IFERROR(__xludf.DUMMYFUNCTION("""COMPUTED_VALUE"""),3410.0)</f>
        <v>3410</v>
      </c>
      <c r="J206" s="1">
        <f>IFERROR(__xludf.DUMMYFUNCTION("""COMPUTED_VALUE"""),4211.0)</f>
        <v>4211</v>
      </c>
      <c r="K206" s="1">
        <f>IFERROR(__xludf.DUMMYFUNCTION("""COMPUTED_VALUE"""),3500.0)</f>
        <v>3500</v>
      </c>
      <c r="L206" s="1">
        <f>IFERROR(__xludf.DUMMYFUNCTION("""COMPUTED_VALUE"""),60.0)</f>
        <v>60</v>
      </c>
      <c r="M206" s="1">
        <f>IFERROR(__xludf.DUMMYFUNCTION("""COMPUTED_VALUE"""),3400.0)</f>
        <v>3400</v>
      </c>
      <c r="N206" s="1">
        <f>IFERROR(__xludf.DUMMYFUNCTION("""COMPUTED_VALUE"""),5497.0)</f>
        <v>5497</v>
      </c>
      <c r="O206" s="1">
        <f>IFERROR(__xludf.DUMMYFUNCTION("""COMPUTED_VALUE"""),10.0)</f>
        <v>10</v>
      </c>
      <c r="P206" s="1">
        <f>IFERROR(__xludf.DUMMYFUNCTION("""COMPUTED_VALUE"""),3210.0)</f>
        <v>3210</v>
      </c>
      <c r="Q206" s="1">
        <f>IFERROR(__xludf.DUMMYFUNCTION("""COMPUTED_VALUE"""),4755.0)</f>
        <v>4755</v>
      </c>
      <c r="R206" s="1">
        <f>IFERROR(__xludf.DUMMYFUNCTION("""COMPUTED_VALUE"""),5000.0)</f>
        <v>5000</v>
      </c>
      <c r="S206" s="1">
        <f>IFERROR(__xludf.DUMMYFUNCTION("""COMPUTED_VALUE"""),50.0)</f>
        <v>50</v>
      </c>
      <c r="T206" s="1">
        <f>IFERROR(__xludf.DUMMYFUNCTION("""COMPUTED_VALUE"""),4000.0)</f>
        <v>4000</v>
      </c>
      <c r="U206" s="1">
        <f>IFERROR(__xludf.DUMMYFUNCTION("""COMPUTED_VALUE"""),70.0)</f>
        <v>70</v>
      </c>
      <c r="V206" s="1"/>
      <c r="W206" s="1"/>
      <c r="X206" s="1">
        <f>IFERROR(__xludf.DUMMYFUNCTION("""COMPUTED_VALUE"""),0.0)</f>
        <v>0</v>
      </c>
      <c r="Y206" s="1">
        <f>IFERROR(__xludf.DUMMYFUNCTION("""COMPUTED_VALUE"""),3600.0)</f>
        <v>3600</v>
      </c>
      <c r="Z206" s="1">
        <f>IFERROR(__xludf.DUMMYFUNCTION("""COMPUTED_VALUE"""),1962.0)</f>
        <v>1962</v>
      </c>
      <c r="AA206" s="1">
        <f>IFERROR(__xludf.DUMMYFUNCTION("""COMPUTED_VALUE"""),3600.0)</f>
        <v>3600</v>
      </c>
      <c r="AB206" s="1">
        <f>IFERROR(__xludf.DUMMYFUNCTION("""COMPUTED_VALUE"""),34876.0)</f>
        <v>34876</v>
      </c>
      <c r="AC206" s="1">
        <f>IFERROR(__xludf.DUMMYFUNCTION("""COMPUTED_VALUE"""),1000.0)</f>
        <v>1000</v>
      </c>
      <c r="AD206" s="1">
        <f>IFERROR(__xludf.DUMMYFUNCTION("""COMPUTED_VALUE"""),3300.0)</f>
        <v>3300</v>
      </c>
      <c r="AE206" s="1">
        <f>IFERROR(__xludf.DUMMYFUNCTION("""COMPUTED_VALUE"""),4828.0)</f>
        <v>4828</v>
      </c>
      <c r="AF206" s="1">
        <f>IFERROR(__xludf.DUMMYFUNCTION("""COMPUTED_VALUE"""),5000.0)</f>
        <v>5000</v>
      </c>
      <c r="AG206" s="1">
        <f>IFERROR(__xludf.DUMMYFUNCTION("""COMPUTED_VALUE"""),20.0)</f>
        <v>20</v>
      </c>
      <c r="AH206" s="1">
        <f>IFERROR(__xludf.DUMMYFUNCTION("""COMPUTED_VALUE"""),3900.0)</f>
        <v>3900</v>
      </c>
      <c r="AI206" s="1">
        <f>IFERROR(__xludf.DUMMYFUNCTION("""COMPUTED_VALUE"""),36.0)</f>
        <v>36</v>
      </c>
      <c r="AJ206" s="1"/>
      <c r="AK206" s="1"/>
      <c r="AL206" s="1">
        <f>IFERROR(__xludf.DUMMYFUNCTION("""COMPUTED_VALUE"""),0.0)</f>
        <v>0</v>
      </c>
      <c r="AM206" s="1">
        <f>IFERROR(__xludf.DUMMYFUNCTION("""COMPUTED_VALUE"""),3250.0)</f>
        <v>3250</v>
      </c>
      <c r="AN206" s="1">
        <f>IFERROR(__xludf.DUMMYFUNCTION("""COMPUTED_VALUE"""),124.0)</f>
        <v>124</v>
      </c>
      <c r="AO206" s="1">
        <f>IFERROR(__xludf.DUMMYFUNCTION("""COMPUTED_VALUE"""),3350.0)</f>
        <v>3350</v>
      </c>
      <c r="AP206" s="1">
        <f>IFERROR(__xludf.DUMMYFUNCTION("""COMPUTED_VALUE"""),12663.0)</f>
        <v>12663</v>
      </c>
      <c r="AQ206" s="1">
        <f>IFERROR(__xludf.DUMMYFUNCTION("""COMPUTED_VALUE"""),123.0)</f>
        <v>123</v>
      </c>
      <c r="AR206" s="1">
        <f>IFERROR(__xludf.DUMMYFUNCTION("""COMPUTED_VALUE"""),3250.0)</f>
        <v>3250</v>
      </c>
      <c r="AS206" s="1">
        <f>IFERROR(__xludf.DUMMYFUNCTION("""COMPUTED_VALUE"""),4287.0)</f>
        <v>4287</v>
      </c>
    </row>
    <row r="207">
      <c r="A207" s="1" t="str">
        <f>IFERROR(__xludf.DUMMYFUNCTION("""COMPUTED_VALUE"""),"MED")</f>
        <v>MED</v>
      </c>
      <c r="B207" s="1"/>
      <c r="C207" s="1"/>
      <c r="D207" s="1">
        <f>IFERROR(__xludf.DUMMYFUNCTION("""COMPUTED_VALUE"""),1390.0)</f>
        <v>1390</v>
      </c>
      <c r="E207" s="1">
        <f>IFERROR(__xludf.DUMMYFUNCTION("""COMPUTED_VALUE"""),146.0)</f>
        <v>146</v>
      </c>
      <c r="F207" s="1">
        <f>IFERROR(__xludf.DUMMYFUNCTION("""COMPUTED_VALUE"""),1390.0)</f>
        <v>1390</v>
      </c>
      <c r="G207" s="1">
        <f>IFERROR(__xludf.DUMMYFUNCTION("""COMPUTED_VALUE"""),13036.0)</f>
        <v>13036</v>
      </c>
      <c r="H207" s="1">
        <f>IFERROR(__xludf.DUMMYFUNCTION("""COMPUTED_VALUE"""),78.0)</f>
        <v>78</v>
      </c>
      <c r="I207" s="1">
        <f>IFERROR(__xludf.DUMMYFUNCTION("""COMPUTED_VALUE"""),1300.0)</f>
        <v>1300</v>
      </c>
      <c r="J207" s="1">
        <f>IFERROR(__xludf.DUMMYFUNCTION("""COMPUTED_VALUE"""),6204.0)</f>
        <v>6204</v>
      </c>
      <c r="K207" s="1">
        <f>IFERROR(__xludf.DUMMYFUNCTION("""COMPUTED_VALUE"""),860.640014648437)</f>
        <v>860.6400146</v>
      </c>
      <c r="L207" s="1">
        <f>IFERROR(__xludf.DUMMYFUNCTION("""COMPUTED_VALUE"""),50.0)</f>
        <v>50</v>
      </c>
      <c r="M207" s="1">
        <f>IFERROR(__xludf.DUMMYFUNCTION("""COMPUTED_VALUE"""),1340.0)</f>
        <v>1340</v>
      </c>
      <c r="N207" s="1">
        <f>IFERROR(__xludf.DUMMYFUNCTION("""COMPUTED_VALUE"""),9765.0)</f>
        <v>9765</v>
      </c>
      <c r="O207" s="1"/>
      <c r="P207" s="1"/>
      <c r="Q207" s="1">
        <f>IFERROR(__xludf.DUMMYFUNCTION("""COMPUTED_VALUE"""),0.0)</f>
        <v>0</v>
      </c>
      <c r="R207" s="1">
        <f>IFERROR(__xludf.DUMMYFUNCTION("""COMPUTED_VALUE"""),1600.0)</f>
        <v>1600</v>
      </c>
      <c r="S207" s="1">
        <f>IFERROR(__xludf.DUMMYFUNCTION("""COMPUTED_VALUE"""),47.0)</f>
        <v>47</v>
      </c>
      <c r="T207" s="1">
        <f>IFERROR(__xludf.DUMMYFUNCTION("""COMPUTED_VALUE"""),1600.0)</f>
        <v>1600</v>
      </c>
      <c r="U207" s="1">
        <f>IFERROR(__xludf.DUMMYFUNCTION("""COMPUTED_VALUE"""),47.0)</f>
        <v>47</v>
      </c>
      <c r="V207" s="1"/>
      <c r="W207" s="1"/>
      <c r="X207" s="1">
        <f>IFERROR(__xludf.DUMMYFUNCTION("""COMPUTED_VALUE"""),0.0)</f>
        <v>0</v>
      </c>
      <c r="Y207" s="1">
        <f>IFERROR(__xludf.DUMMYFUNCTION("""COMPUTED_VALUE"""),1270.0)</f>
        <v>1270</v>
      </c>
      <c r="Z207" s="1">
        <f>IFERROR(__xludf.DUMMYFUNCTION("""COMPUTED_VALUE"""),1050.0)</f>
        <v>1050</v>
      </c>
      <c r="AA207" s="1">
        <f>IFERROR(__xludf.DUMMYFUNCTION("""COMPUTED_VALUE"""),1270.0)</f>
        <v>1270</v>
      </c>
      <c r="AB207" s="1">
        <f>IFERROR(__xludf.DUMMYFUNCTION("""COMPUTED_VALUE"""),8149.0)</f>
        <v>8149</v>
      </c>
      <c r="AC207" s="1">
        <f>IFERROR(__xludf.DUMMYFUNCTION("""COMPUTED_VALUE"""),383.0)</f>
        <v>383</v>
      </c>
      <c r="AD207" s="1">
        <f>IFERROR(__xludf.DUMMYFUNCTION("""COMPUTED_VALUE"""),1120.0)</f>
        <v>1120</v>
      </c>
      <c r="AE207" s="1">
        <f>IFERROR(__xludf.DUMMYFUNCTION("""COMPUTED_VALUE"""),5691.0)</f>
        <v>5691</v>
      </c>
      <c r="AF207" s="1">
        <f>IFERROR(__xludf.DUMMYFUNCTION("""COMPUTED_VALUE"""),1400.0)</f>
        <v>1400</v>
      </c>
      <c r="AG207" s="1">
        <f>IFERROR(__xludf.DUMMYFUNCTION("""COMPUTED_VALUE"""),28.0)</f>
        <v>28</v>
      </c>
      <c r="AH207" s="1">
        <f>IFERROR(__xludf.DUMMYFUNCTION("""COMPUTED_VALUE"""),1400.0)</f>
        <v>1400</v>
      </c>
      <c r="AI207" s="1">
        <f>IFERROR(__xludf.DUMMYFUNCTION("""COMPUTED_VALUE"""),771.0)</f>
        <v>771</v>
      </c>
      <c r="AJ207" s="1">
        <f>IFERROR(__xludf.DUMMYFUNCTION("""COMPUTED_VALUE"""),21.0)</f>
        <v>21</v>
      </c>
      <c r="AK207" s="1">
        <f>IFERROR(__xludf.DUMMYFUNCTION("""COMPUTED_VALUE"""),1000.0)</f>
        <v>1000</v>
      </c>
      <c r="AL207" s="1">
        <f>IFERROR(__xludf.DUMMYFUNCTION("""COMPUTED_VALUE"""),21.0)</f>
        <v>21</v>
      </c>
      <c r="AM207" s="1">
        <f>IFERROR(__xludf.DUMMYFUNCTION("""COMPUTED_VALUE"""),1300.0)</f>
        <v>1300</v>
      </c>
      <c r="AN207" s="1">
        <f>IFERROR(__xludf.DUMMYFUNCTION("""COMPUTED_VALUE"""),191.0)</f>
        <v>191</v>
      </c>
      <c r="AO207" s="1">
        <f>IFERROR(__xludf.DUMMYFUNCTION("""COMPUTED_VALUE"""),1290.0)</f>
        <v>1290</v>
      </c>
      <c r="AP207" s="1">
        <f>IFERROR(__xludf.DUMMYFUNCTION("""COMPUTED_VALUE"""),7251.0)</f>
        <v>7251</v>
      </c>
      <c r="AQ207" s="1"/>
      <c r="AR207" s="1"/>
      <c r="AS207" s="1">
        <f>IFERROR(__xludf.DUMMYFUNCTION("""COMPUTED_VALUE"""),0.0)</f>
        <v>0</v>
      </c>
    </row>
    <row r="208">
      <c r="A208" s="1" t="str">
        <f>IFERROR(__xludf.DUMMYFUNCTION("""COMPUTED_VALUE"""),"MFE")</f>
        <v>MFE</v>
      </c>
      <c r="B208" s="1"/>
      <c r="C208" s="1"/>
      <c r="D208" s="1">
        <f>IFERROR(__xludf.DUMMYFUNCTION("""COMPUTED_VALUE"""),96000.0)</f>
        <v>96000</v>
      </c>
      <c r="E208" s="1">
        <f>IFERROR(__xludf.DUMMYFUNCTION("""COMPUTED_VALUE"""),1.0)</f>
        <v>1</v>
      </c>
      <c r="F208" s="1">
        <f>IFERROR(__xludf.DUMMYFUNCTION("""COMPUTED_VALUE"""),96000.0)</f>
        <v>96000</v>
      </c>
      <c r="G208" s="1">
        <f>IFERROR(__xludf.DUMMYFUNCTION("""COMPUTED_VALUE"""),38.0)</f>
        <v>38</v>
      </c>
      <c r="H208" s="1">
        <f>IFERROR(__xludf.DUMMYFUNCTION("""COMPUTED_VALUE"""),4.0)</f>
        <v>4</v>
      </c>
      <c r="I208" s="1">
        <f>IFERROR(__xludf.DUMMYFUNCTION("""COMPUTED_VALUE"""),80000.0)</f>
        <v>80000</v>
      </c>
      <c r="J208" s="1">
        <f>IFERROR(__xludf.DUMMYFUNCTION("""COMPUTED_VALUE"""),5.0)</f>
        <v>5</v>
      </c>
      <c r="K208" s="1">
        <f>IFERROR(__xludf.DUMMYFUNCTION("""COMPUTED_VALUE"""),100000.0)</f>
        <v>100000</v>
      </c>
      <c r="L208" s="1">
        <f>IFERROR(__xludf.DUMMYFUNCTION("""COMPUTED_VALUE"""),2.0)</f>
        <v>2</v>
      </c>
      <c r="M208" s="1">
        <f>IFERROR(__xludf.DUMMYFUNCTION("""COMPUTED_VALUE"""),98900.0)</f>
        <v>98900</v>
      </c>
      <c r="N208" s="1">
        <f>IFERROR(__xludf.DUMMYFUNCTION("""COMPUTED_VALUE"""),33.0)</f>
        <v>33</v>
      </c>
      <c r="O208" s="1">
        <f>IFERROR(__xludf.DUMMYFUNCTION("""COMPUTED_VALUE"""),2.0)</f>
        <v>2</v>
      </c>
      <c r="P208" s="1">
        <f>IFERROR(__xludf.DUMMYFUNCTION("""COMPUTED_VALUE"""),61200.0)</f>
        <v>61200</v>
      </c>
      <c r="Q208" s="1">
        <f>IFERROR(__xludf.DUMMYFUNCTION("""COMPUTED_VALUE"""),4.0)</f>
        <v>4</v>
      </c>
      <c r="R208" s="1">
        <f>IFERROR(__xludf.DUMMYFUNCTION("""COMPUTED_VALUE"""),43953.23046875)</f>
        <v>43953.23047</v>
      </c>
      <c r="S208" s="1"/>
      <c r="T208" s="1"/>
      <c r="U208" s="1">
        <f>IFERROR(__xludf.DUMMYFUNCTION("""COMPUTED_VALUE"""),0.0)</f>
        <v>0</v>
      </c>
      <c r="V208" s="1"/>
      <c r="W208" s="1"/>
      <c r="X208" s="1">
        <f>IFERROR(__xludf.DUMMYFUNCTION("""COMPUTED_VALUE"""),0.0)</f>
        <v>0</v>
      </c>
      <c r="Y208" s="1">
        <f>IFERROR(__xludf.DUMMYFUNCTION("""COMPUTED_VALUE"""),100000.0)</f>
        <v>100000</v>
      </c>
      <c r="Z208" s="1">
        <f>IFERROR(__xludf.DUMMYFUNCTION("""COMPUTED_VALUE"""),3.0)</f>
        <v>3</v>
      </c>
      <c r="AA208" s="1">
        <f>IFERROR(__xludf.DUMMYFUNCTION("""COMPUTED_VALUE"""),98000.0)</f>
        <v>98000</v>
      </c>
      <c r="AB208" s="1">
        <f>IFERROR(__xludf.DUMMYFUNCTION("""COMPUTED_VALUE"""),107.0)</f>
        <v>107</v>
      </c>
      <c r="AC208" s="1">
        <f>IFERROR(__xludf.DUMMYFUNCTION("""COMPUTED_VALUE"""),2.0)</f>
        <v>2</v>
      </c>
      <c r="AD208" s="1">
        <f>IFERROR(__xludf.DUMMYFUNCTION("""COMPUTED_VALUE"""),90600.0)</f>
        <v>90600</v>
      </c>
      <c r="AE208" s="1">
        <f>IFERROR(__xludf.DUMMYFUNCTION("""COMPUTED_VALUE"""),6.0)</f>
        <v>6</v>
      </c>
      <c r="AF208" s="1">
        <f>IFERROR(__xludf.DUMMYFUNCTION("""COMPUTED_VALUE"""),43953.23046875)</f>
        <v>43953.23047</v>
      </c>
      <c r="AG208" s="1"/>
      <c r="AH208" s="1"/>
      <c r="AI208" s="1">
        <f>IFERROR(__xludf.DUMMYFUNCTION("""COMPUTED_VALUE"""),0.0)</f>
        <v>0</v>
      </c>
      <c r="AJ208" s="1"/>
      <c r="AK208" s="1"/>
      <c r="AL208" s="1">
        <f>IFERROR(__xludf.DUMMYFUNCTION("""COMPUTED_VALUE"""),0.0)</f>
        <v>0</v>
      </c>
      <c r="AM208" s="1">
        <f>IFERROR(__xludf.DUMMYFUNCTION("""COMPUTED_VALUE"""),91260.7734375)</f>
        <v>91260.77344</v>
      </c>
      <c r="AN208" s="1">
        <f>IFERROR(__xludf.DUMMYFUNCTION("""COMPUTED_VALUE"""),2.0)</f>
        <v>2</v>
      </c>
      <c r="AO208" s="1">
        <f>IFERROR(__xludf.DUMMYFUNCTION("""COMPUTED_VALUE"""),96800.0)</f>
        <v>96800</v>
      </c>
      <c r="AP208" s="1">
        <f>IFERROR(__xludf.DUMMYFUNCTION("""COMPUTED_VALUE"""),65.0)</f>
        <v>65</v>
      </c>
      <c r="AQ208" s="1">
        <f>IFERROR(__xludf.DUMMYFUNCTION("""COMPUTED_VALUE"""),2.0)</f>
        <v>2</v>
      </c>
      <c r="AR208" s="1">
        <f>IFERROR(__xludf.DUMMYFUNCTION("""COMPUTED_VALUE"""),2.0)</f>
        <v>2</v>
      </c>
      <c r="AS208" s="1">
        <f>IFERROR(__xludf.DUMMYFUNCTION("""COMPUTED_VALUE"""),2.0)</f>
        <v>2</v>
      </c>
    </row>
    <row r="209">
      <c r="A209" s="1" t="str">
        <f>IFERROR(__xludf.DUMMYFUNCTION("""COMPUTED_VALUE"""),"MFK")</f>
        <v>MFK</v>
      </c>
      <c r="B209" s="1"/>
      <c r="C209" s="1"/>
      <c r="D209" s="1">
        <f>IFERROR(__xludf.DUMMYFUNCTION("""COMPUTED_VALUE"""),400.0)</f>
        <v>400</v>
      </c>
      <c r="E209" s="1">
        <f>IFERROR(__xludf.DUMMYFUNCTION("""COMPUTED_VALUE"""),5000.0)</f>
        <v>5000</v>
      </c>
      <c r="F209" s="1">
        <f>IFERROR(__xludf.DUMMYFUNCTION("""COMPUTED_VALUE"""),400.0)</f>
        <v>400</v>
      </c>
      <c r="G209" s="1">
        <f>IFERROR(__xludf.DUMMYFUNCTION("""COMPUTED_VALUE"""),25954.0)</f>
        <v>25954</v>
      </c>
      <c r="H209" s="1">
        <f>IFERROR(__xludf.DUMMYFUNCTION("""COMPUTED_VALUE"""),24.0)</f>
        <v>24</v>
      </c>
      <c r="I209" s="1">
        <f>IFERROR(__xludf.DUMMYFUNCTION("""COMPUTED_VALUE"""),296.0)</f>
        <v>296</v>
      </c>
      <c r="J209" s="1">
        <f>IFERROR(__xludf.DUMMYFUNCTION("""COMPUTED_VALUE"""),122150.0)</f>
        <v>122150</v>
      </c>
      <c r="K209" s="1">
        <f>IFERROR(__xludf.DUMMYFUNCTION("""COMPUTED_VALUE"""),297.940002441406)</f>
        <v>297.9400024</v>
      </c>
      <c r="L209" s="1">
        <f>IFERROR(__xludf.DUMMYFUNCTION("""COMPUTED_VALUE"""),5816.0)</f>
        <v>5816</v>
      </c>
      <c r="M209" s="1">
        <f>IFERROR(__xludf.DUMMYFUNCTION("""COMPUTED_VALUE"""),400.0)</f>
        <v>400</v>
      </c>
      <c r="N209" s="1">
        <f>IFERROR(__xludf.DUMMYFUNCTION("""COMPUTED_VALUE"""),5854.0)</f>
        <v>5854</v>
      </c>
      <c r="O209" s="1">
        <f>IFERROR(__xludf.DUMMYFUNCTION("""COMPUTED_VALUE"""),367.0)</f>
        <v>367</v>
      </c>
      <c r="P209" s="1">
        <f>IFERROR(__xludf.DUMMYFUNCTION("""COMPUTED_VALUE"""),282.0)</f>
        <v>282</v>
      </c>
      <c r="Q209" s="1">
        <f>IFERROR(__xludf.DUMMYFUNCTION("""COMPUTED_VALUE"""),105279.0)</f>
        <v>105279</v>
      </c>
      <c r="R209" s="1">
        <f>IFERROR(__xludf.DUMMYFUNCTION("""COMPUTED_VALUE"""),220.0)</f>
        <v>220</v>
      </c>
      <c r="S209" s="1">
        <f>IFERROR(__xludf.DUMMYFUNCTION("""COMPUTED_VALUE"""),500.0)</f>
        <v>500</v>
      </c>
      <c r="T209" s="1">
        <f>IFERROR(__xludf.DUMMYFUNCTION("""COMPUTED_VALUE"""),400.0)</f>
        <v>400</v>
      </c>
      <c r="U209" s="1">
        <f>IFERROR(__xludf.DUMMYFUNCTION("""COMPUTED_VALUE"""),1000.0)</f>
        <v>1000</v>
      </c>
      <c r="V209" s="1">
        <f>IFERROR(__xludf.DUMMYFUNCTION("""COMPUTED_VALUE"""),1.0)</f>
        <v>1</v>
      </c>
      <c r="W209" s="1">
        <f>IFERROR(__xludf.DUMMYFUNCTION("""COMPUTED_VALUE"""),22.0)</f>
        <v>22</v>
      </c>
      <c r="X209" s="1">
        <f>IFERROR(__xludf.DUMMYFUNCTION("""COMPUTED_VALUE"""),1.0)</f>
        <v>1</v>
      </c>
      <c r="Y209" s="1">
        <f>IFERROR(__xludf.DUMMYFUNCTION("""COMPUTED_VALUE"""),359.0)</f>
        <v>359</v>
      </c>
      <c r="Z209" s="1">
        <f>IFERROR(__xludf.DUMMYFUNCTION("""COMPUTED_VALUE"""),112.0)</f>
        <v>112</v>
      </c>
      <c r="AA209" s="1">
        <f>IFERROR(__xludf.DUMMYFUNCTION("""COMPUTED_VALUE"""),359.0)</f>
        <v>359</v>
      </c>
      <c r="AB209" s="1">
        <f>IFERROR(__xludf.DUMMYFUNCTION("""COMPUTED_VALUE"""),24394.0)</f>
        <v>24394</v>
      </c>
      <c r="AC209" s="1">
        <f>IFERROR(__xludf.DUMMYFUNCTION("""COMPUTED_VALUE"""),537.0)</f>
        <v>537</v>
      </c>
      <c r="AD209" s="1">
        <f>IFERROR(__xludf.DUMMYFUNCTION("""COMPUTED_VALUE"""),290.0)</f>
        <v>290</v>
      </c>
      <c r="AE209" s="1">
        <f>IFERROR(__xludf.DUMMYFUNCTION("""COMPUTED_VALUE"""),130730.0)</f>
        <v>130730</v>
      </c>
      <c r="AF209" s="1">
        <f>IFERROR(__xludf.DUMMYFUNCTION("""COMPUTED_VALUE"""),500.0)</f>
        <v>500</v>
      </c>
      <c r="AG209" s="1">
        <f>IFERROR(__xludf.DUMMYFUNCTION("""COMPUTED_VALUE"""),1000.0)</f>
        <v>1000</v>
      </c>
      <c r="AH209" s="1">
        <f>IFERROR(__xludf.DUMMYFUNCTION("""COMPUTED_VALUE"""),400.0)</f>
        <v>400</v>
      </c>
      <c r="AI209" s="1">
        <f>IFERROR(__xludf.DUMMYFUNCTION("""COMPUTED_VALUE"""),1746.0)</f>
        <v>1746</v>
      </c>
      <c r="AJ209" s="1"/>
      <c r="AK209" s="1"/>
      <c r="AL209" s="1">
        <f>IFERROR(__xludf.DUMMYFUNCTION("""COMPUTED_VALUE"""),0.0)</f>
        <v>0</v>
      </c>
      <c r="AM209" s="1">
        <f>IFERROR(__xludf.DUMMYFUNCTION("""COMPUTED_VALUE"""),400.0)</f>
        <v>400</v>
      </c>
      <c r="AN209" s="1">
        <f>IFERROR(__xludf.DUMMYFUNCTION("""COMPUTED_VALUE"""),5477.0)</f>
        <v>5477</v>
      </c>
      <c r="AO209" s="1">
        <f>IFERROR(__xludf.DUMMYFUNCTION("""COMPUTED_VALUE"""),400.0)</f>
        <v>400</v>
      </c>
      <c r="AP209" s="1">
        <f>IFERROR(__xludf.DUMMYFUNCTION("""COMPUTED_VALUE"""),5977.0)</f>
        <v>5977</v>
      </c>
      <c r="AQ209" s="1">
        <f>IFERROR(__xludf.DUMMYFUNCTION("""COMPUTED_VALUE"""),16.0)</f>
        <v>16</v>
      </c>
      <c r="AR209" s="1">
        <f>IFERROR(__xludf.DUMMYFUNCTION("""COMPUTED_VALUE"""),299.0)</f>
        <v>299</v>
      </c>
      <c r="AS209" s="1">
        <f>IFERROR(__xludf.DUMMYFUNCTION("""COMPUTED_VALUE"""),110164.0)</f>
        <v>110164</v>
      </c>
    </row>
    <row r="210">
      <c r="A210" s="1" t="str">
        <f>IFERROR(__xludf.DUMMYFUNCTION("""COMPUTED_VALUE"""),"MFL")</f>
        <v>MFL</v>
      </c>
      <c r="B210" s="1"/>
      <c r="C210" s="1"/>
      <c r="D210" s="1">
        <f>IFERROR(__xludf.DUMMYFUNCTION("""COMPUTED_VALUE"""),239500.0)</f>
        <v>239500</v>
      </c>
      <c r="E210" s="1">
        <f>IFERROR(__xludf.DUMMYFUNCTION("""COMPUTED_VALUE"""),1.0)</f>
        <v>1</v>
      </c>
      <c r="F210" s="1">
        <f>IFERROR(__xludf.DUMMYFUNCTION("""COMPUTED_VALUE"""),239000.0)</f>
        <v>239000</v>
      </c>
      <c r="G210" s="1">
        <f>IFERROR(__xludf.DUMMYFUNCTION("""COMPUTED_VALUE"""),2.0)</f>
        <v>2</v>
      </c>
      <c r="H210" s="1"/>
      <c r="I210" s="1"/>
      <c r="J210" s="1">
        <f>IFERROR(__xludf.DUMMYFUNCTION("""COMPUTED_VALUE"""),0.0)</f>
        <v>0</v>
      </c>
      <c r="K210" s="1">
        <f>IFERROR(__xludf.DUMMYFUNCTION("""COMPUTED_VALUE"""),159500.0)</f>
        <v>159500</v>
      </c>
      <c r="L210" s="1">
        <f>IFERROR(__xludf.DUMMYFUNCTION("""COMPUTED_VALUE"""),1.0)</f>
        <v>1</v>
      </c>
      <c r="M210" s="1">
        <f>IFERROR(__xludf.DUMMYFUNCTION("""COMPUTED_VALUE"""),195000.0)</f>
        <v>195000</v>
      </c>
      <c r="N210" s="1">
        <f>IFERROR(__xludf.DUMMYFUNCTION("""COMPUTED_VALUE"""),3.0)</f>
        <v>3</v>
      </c>
      <c r="O210" s="1"/>
      <c r="P210" s="1"/>
      <c r="Q210" s="1">
        <f>IFERROR(__xludf.DUMMYFUNCTION("""COMPUTED_VALUE"""),0.0)</f>
        <v>0</v>
      </c>
      <c r="R210" s="1">
        <f>IFERROR(__xludf.DUMMYFUNCTION("""COMPUTED_VALUE"""),61608.8515625)</f>
        <v>61608.85156</v>
      </c>
      <c r="S210" s="1"/>
      <c r="T210" s="1"/>
      <c r="U210" s="1">
        <f>IFERROR(__xludf.DUMMYFUNCTION("""COMPUTED_VALUE"""),0.0)</f>
        <v>0</v>
      </c>
      <c r="V210" s="1"/>
      <c r="W210" s="1"/>
      <c r="X210" s="1">
        <f>IFERROR(__xludf.DUMMYFUNCTION("""COMPUTED_VALUE"""),0.0)</f>
        <v>0</v>
      </c>
      <c r="Y210" s="1">
        <f>IFERROR(__xludf.DUMMYFUNCTION("""COMPUTED_VALUE"""),224000.0)</f>
        <v>224000</v>
      </c>
      <c r="Z210" s="1">
        <f>IFERROR(__xludf.DUMMYFUNCTION("""COMPUTED_VALUE"""),1.0)</f>
        <v>1</v>
      </c>
      <c r="AA210" s="1">
        <f>IFERROR(__xludf.DUMMYFUNCTION("""COMPUTED_VALUE"""),224000.0)</f>
        <v>224000</v>
      </c>
      <c r="AB210" s="1">
        <f>IFERROR(__xludf.DUMMYFUNCTION("""COMPUTED_VALUE"""),19.0)</f>
        <v>19</v>
      </c>
      <c r="AC210" s="1"/>
      <c r="AD210" s="1"/>
      <c r="AE210" s="1">
        <f>IFERROR(__xludf.DUMMYFUNCTION("""COMPUTED_VALUE"""),0.0)</f>
        <v>0</v>
      </c>
      <c r="AF210" s="1">
        <f>IFERROR(__xludf.DUMMYFUNCTION("""COMPUTED_VALUE"""),61608.8515625)</f>
        <v>61608.85156</v>
      </c>
      <c r="AG210" s="1"/>
      <c r="AH210" s="1"/>
      <c r="AI210" s="1">
        <f>IFERROR(__xludf.DUMMYFUNCTION("""COMPUTED_VALUE"""),0.0)</f>
        <v>0</v>
      </c>
      <c r="AJ210" s="1"/>
      <c r="AK210" s="1"/>
      <c r="AL210" s="1">
        <f>IFERROR(__xludf.DUMMYFUNCTION("""COMPUTED_VALUE"""),0.0)</f>
        <v>0</v>
      </c>
      <c r="AM210" s="1">
        <f>IFERROR(__xludf.DUMMYFUNCTION("""COMPUTED_VALUE"""),298000.0)</f>
        <v>298000</v>
      </c>
      <c r="AN210" s="1">
        <f>IFERROR(__xludf.DUMMYFUNCTION("""COMPUTED_VALUE"""),1.0)</f>
        <v>1</v>
      </c>
      <c r="AO210" s="1">
        <f>IFERROR(__xludf.DUMMYFUNCTION("""COMPUTED_VALUE"""),296000.0)</f>
        <v>296000</v>
      </c>
      <c r="AP210" s="1">
        <f>IFERROR(__xludf.DUMMYFUNCTION("""COMPUTED_VALUE"""),4.0)</f>
        <v>4</v>
      </c>
      <c r="AQ210" s="1"/>
      <c r="AR210" s="1"/>
      <c r="AS210" s="1">
        <f>IFERROR(__xludf.DUMMYFUNCTION("""COMPUTED_VALUE"""),0.0)</f>
        <v>0</v>
      </c>
    </row>
    <row r="211">
      <c r="A211" s="1" t="str">
        <f>IFERROR(__xludf.DUMMYFUNCTION("""COMPUTED_VALUE"""),"MG")</f>
        <v>MG</v>
      </c>
      <c r="B211" s="1"/>
      <c r="C211" s="1"/>
      <c r="D211" s="1">
        <f>IFERROR(__xludf.DUMMYFUNCTION("""COMPUTED_VALUE"""),118.0)</f>
        <v>118</v>
      </c>
      <c r="E211" s="1">
        <f>IFERROR(__xludf.DUMMYFUNCTION("""COMPUTED_VALUE"""),2800.0)</f>
        <v>2800</v>
      </c>
      <c r="F211" s="1">
        <f>IFERROR(__xludf.DUMMYFUNCTION("""COMPUTED_VALUE"""),119.0)</f>
        <v>119</v>
      </c>
      <c r="G211" s="1">
        <f>IFERROR(__xludf.DUMMYFUNCTION("""COMPUTED_VALUE"""),74668.0)</f>
        <v>74668</v>
      </c>
      <c r="H211" s="1">
        <f>IFERROR(__xludf.DUMMYFUNCTION("""COMPUTED_VALUE"""),36.0)</f>
        <v>36</v>
      </c>
      <c r="I211" s="1">
        <f>IFERROR(__xludf.DUMMYFUNCTION("""COMPUTED_VALUE"""),95.0)</f>
        <v>95</v>
      </c>
      <c r="J211" s="1">
        <f>IFERROR(__xludf.DUMMYFUNCTION("""COMPUTED_VALUE"""),61739.0)</f>
        <v>61739</v>
      </c>
      <c r="K211" s="1">
        <f>IFERROR(__xludf.DUMMYFUNCTION("""COMPUTED_VALUE"""),90.0)</f>
        <v>90</v>
      </c>
      <c r="L211" s="1">
        <f>IFERROR(__xludf.DUMMYFUNCTION("""COMPUTED_VALUE"""),6423.0)</f>
        <v>6423</v>
      </c>
      <c r="M211" s="1">
        <f>IFERROR(__xludf.DUMMYFUNCTION("""COMPUTED_VALUE"""),90.0)</f>
        <v>90</v>
      </c>
      <c r="N211" s="1">
        <f>IFERROR(__xludf.DUMMYFUNCTION("""COMPUTED_VALUE"""),53647.0)</f>
        <v>53647</v>
      </c>
      <c r="O211" s="1">
        <f>IFERROR(__xludf.DUMMYFUNCTION("""COMPUTED_VALUE"""),256.0)</f>
        <v>256</v>
      </c>
      <c r="P211" s="1">
        <f>IFERROR(__xludf.DUMMYFUNCTION("""COMPUTED_VALUE"""),85.0)</f>
        <v>85</v>
      </c>
      <c r="Q211" s="1">
        <f>IFERROR(__xludf.DUMMYFUNCTION("""COMPUTED_VALUE"""),115850.0)</f>
        <v>115850</v>
      </c>
      <c r="R211" s="1">
        <f>IFERROR(__xludf.DUMMYFUNCTION("""COMPUTED_VALUE"""),60.0)</f>
        <v>60</v>
      </c>
      <c r="S211" s="1">
        <f>IFERROR(__xludf.DUMMYFUNCTION("""COMPUTED_VALUE"""),500.0)</f>
        <v>500</v>
      </c>
      <c r="T211" s="1">
        <f>IFERROR(__xludf.DUMMYFUNCTION("""COMPUTED_VALUE"""),75.0)</f>
        <v>75</v>
      </c>
      <c r="U211" s="1">
        <f>IFERROR(__xludf.DUMMYFUNCTION("""COMPUTED_VALUE"""),10500.0)</f>
        <v>10500</v>
      </c>
      <c r="V211" s="1"/>
      <c r="W211" s="1"/>
      <c r="X211" s="1">
        <f>IFERROR(__xludf.DUMMYFUNCTION("""COMPUTED_VALUE"""),0.0)</f>
        <v>0</v>
      </c>
      <c r="Y211" s="1">
        <f>IFERROR(__xludf.DUMMYFUNCTION("""COMPUTED_VALUE"""),105.0)</f>
        <v>105</v>
      </c>
      <c r="Z211" s="1">
        <f>IFERROR(__xludf.DUMMYFUNCTION("""COMPUTED_VALUE"""),26.0)</f>
        <v>26</v>
      </c>
      <c r="AA211" s="1">
        <f>IFERROR(__xludf.DUMMYFUNCTION("""COMPUTED_VALUE"""),104.0)</f>
        <v>104</v>
      </c>
      <c r="AB211" s="1">
        <f>IFERROR(__xludf.DUMMYFUNCTION("""COMPUTED_VALUE"""),283978.0)</f>
        <v>283978</v>
      </c>
      <c r="AC211" s="1">
        <f>IFERROR(__xludf.DUMMYFUNCTION("""COMPUTED_VALUE"""),2484.0)</f>
        <v>2484</v>
      </c>
      <c r="AD211" s="1">
        <f>IFERROR(__xludf.DUMMYFUNCTION("""COMPUTED_VALUE"""),84.0999984741211)</f>
        <v>84.09999847</v>
      </c>
      <c r="AE211" s="1">
        <f>IFERROR(__xludf.DUMMYFUNCTION("""COMPUTED_VALUE"""),115134.0)</f>
        <v>115134</v>
      </c>
      <c r="AF211" s="1">
        <f>IFERROR(__xludf.DUMMYFUNCTION("""COMPUTED_VALUE"""),80.0)</f>
        <v>80</v>
      </c>
      <c r="AG211" s="1"/>
      <c r="AH211" s="1"/>
      <c r="AI211" s="1">
        <f>IFERROR(__xludf.DUMMYFUNCTION("""COMPUTED_VALUE"""),0.0)</f>
        <v>0</v>
      </c>
      <c r="AJ211" s="1"/>
      <c r="AK211" s="1"/>
      <c r="AL211" s="1">
        <f>IFERROR(__xludf.DUMMYFUNCTION("""COMPUTED_VALUE"""),0.0)</f>
        <v>0</v>
      </c>
      <c r="AM211" s="1">
        <f>IFERROR(__xludf.DUMMYFUNCTION("""COMPUTED_VALUE"""),191.02000427246)</f>
        <v>191.0200043</v>
      </c>
      <c r="AN211" s="1">
        <f>IFERROR(__xludf.DUMMYFUNCTION("""COMPUTED_VALUE"""),230.0)</f>
        <v>230</v>
      </c>
      <c r="AO211" s="1">
        <f>IFERROR(__xludf.DUMMYFUNCTION("""COMPUTED_VALUE"""),200.0)</f>
        <v>200</v>
      </c>
      <c r="AP211" s="1">
        <f>IFERROR(__xludf.DUMMYFUNCTION("""COMPUTED_VALUE"""),1409.0)</f>
        <v>1409</v>
      </c>
      <c r="AQ211" s="1">
        <f>IFERROR(__xludf.DUMMYFUNCTION("""COMPUTED_VALUE"""),7.0)</f>
        <v>7</v>
      </c>
      <c r="AR211" s="1">
        <f>IFERROR(__xludf.DUMMYFUNCTION("""COMPUTED_VALUE"""),150.0)</f>
        <v>150</v>
      </c>
      <c r="AS211" s="1">
        <f>IFERROR(__xludf.DUMMYFUNCTION("""COMPUTED_VALUE"""),5524.0)</f>
        <v>5524</v>
      </c>
    </row>
    <row r="212">
      <c r="A212" s="1" t="str">
        <f>IFERROR(__xludf.DUMMYFUNCTION("""COMPUTED_VALUE"""),"MGC")</f>
        <v>MGC</v>
      </c>
      <c r="B212" s="1"/>
      <c r="C212" s="1"/>
      <c r="D212" s="1">
        <f>IFERROR(__xludf.DUMMYFUNCTION("""COMPUTED_VALUE"""),16000.0)</f>
        <v>16000</v>
      </c>
      <c r="E212" s="1">
        <f>IFERROR(__xludf.DUMMYFUNCTION("""COMPUTED_VALUE"""),39.0)</f>
        <v>39</v>
      </c>
      <c r="F212" s="1">
        <f>IFERROR(__xludf.DUMMYFUNCTION("""COMPUTED_VALUE"""),16000.0)</f>
        <v>16000</v>
      </c>
      <c r="G212" s="1">
        <f>IFERROR(__xludf.DUMMYFUNCTION("""COMPUTED_VALUE"""),109.0)</f>
        <v>109</v>
      </c>
      <c r="H212" s="1"/>
      <c r="I212" s="1"/>
      <c r="J212" s="1">
        <f>IFERROR(__xludf.DUMMYFUNCTION("""COMPUTED_VALUE"""),0.0)</f>
        <v>0</v>
      </c>
      <c r="K212" s="1">
        <f>IFERROR(__xludf.DUMMYFUNCTION("""COMPUTED_VALUE"""),14000.0)</f>
        <v>14000</v>
      </c>
      <c r="L212" s="1">
        <f>IFERROR(__xludf.DUMMYFUNCTION("""COMPUTED_VALUE"""),25.0)</f>
        <v>25</v>
      </c>
      <c r="M212" s="1">
        <f>IFERROR(__xludf.DUMMYFUNCTION("""COMPUTED_VALUE"""),14000.0)</f>
        <v>14000</v>
      </c>
      <c r="N212" s="1">
        <f>IFERROR(__xludf.DUMMYFUNCTION("""COMPUTED_VALUE"""),33.0)</f>
        <v>33</v>
      </c>
      <c r="O212" s="1"/>
      <c r="P212" s="1"/>
      <c r="Q212" s="1">
        <f>IFERROR(__xludf.DUMMYFUNCTION("""COMPUTED_VALUE"""),0.0)</f>
        <v>0</v>
      </c>
      <c r="R212" s="1">
        <f>IFERROR(__xludf.DUMMYFUNCTION("""COMPUTED_VALUE"""),8497.3798828125)</f>
        <v>8497.379883</v>
      </c>
      <c r="S212" s="1"/>
      <c r="T212" s="1"/>
      <c r="U212" s="1">
        <f>IFERROR(__xludf.DUMMYFUNCTION("""COMPUTED_VALUE"""),0.0)</f>
        <v>0</v>
      </c>
      <c r="V212" s="1"/>
      <c r="W212" s="1"/>
      <c r="X212" s="1">
        <f>IFERROR(__xludf.DUMMYFUNCTION("""COMPUTED_VALUE"""),0.0)</f>
        <v>0</v>
      </c>
      <c r="Y212" s="1">
        <f>IFERROR(__xludf.DUMMYFUNCTION("""COMPUTED_VALUE"""),20000.0)</f>
        <v>20000</v>
      </c>
      <c r="Z212" s="1">
        <f>IFERROR(__xludf.DUMMYFUNCTION("""COMPUTED_VALUE"""),79.0)</f>
        <v>79</v>
      </c>
      <c r="AA212" s="1">
        <f>IFERROR(__xludf.DUMMYFUNCTION("""COMPUTED_VALUE"""),20000.0)</f>
        <v>20000</v>
      </c>
      <c r="AB212" s="1">
        <f>IFERROR(__xludf.DUMMYFUNCTION("""COMPUTED_VALUE"""),94.0)</f>
        <v>94</v>
      </c>
      <c r="AC212" s="1"/>
      <c r="AD212" s="1"/>
      <c r="AE212" s="1">
        <f>IFERROR(__xludf.DUMMYFUNCTION("""COMPUTED_VALUE"""),0.0)</f>
        <v>0</v>
      </c>
      <c r="AF212" s="1">
        <f>IFERROR(__xludf.DUMMYFUNCTION("""COMPUTED_VALUE"""),8497.3798828125)</f>
        <v>8497.379883</v>
      </c>
      <c r="AG212" s="1">
        <f>IFERROR(__xludf.DUMMYFUNCTION("""COMPUTED_VALUE"""),27.0)</f>
        <v>27</v>
      </c>
      <c r="AH212" s="1">
        <f>IFERROR(__xludf.DUMMYFUNCTION("""COMPUTED_VALUE"""),20000.0)</f>
        <v>20000</v>
      </c>
      <c r="AI212" s="1">
        <f>IFERROR(__xludf.DUMMYFUNCTION("""COMPUTED_VALUE"""),27.0)</f>
        <v>27</v>
      </c>
      <c r="AJ212" s="1"/>
      <c r="AK212" s="1"/>
      <c r="AL212" s="1">
        <f>IFERROR(__xludf.DUMMYFUNCTION("""COMPUTED_VALUE"""),0.0)</f>
        <v>0</v>
      </c>
      <c r="AM212" s="1">
        <f>IFERROR(__xludf.DUMMYFUNCTION("""COMPUTED_VALUE"""),15000.0)</f>
        <v>15000</v>
      </c>
      <c r="AN212" s="1"/>
      <c r="AO212" s="1"/>
      <c r="AP212" s="1">
        <f>IFERROR(__xludf.DUMMYFUNCTION("""COMPUTED_VALUE"""),0.0)</f>
        <v>0</v>
      </c>
      <c r="AQ212" s="1"/>
      <c r="AR212" s="1"/>
      <c r="AS212" s="1">
        <f>IFERROR(__xludf.DUMMYFUNCTION("""COMPUTED_VALUE"""),0.0)</f>
        <v>0</v>
      </c>
    </row>
    <row r="213">
      <c r="A213" s="1" t="str">
        <f>IFERROR(__xludf.DUMMYFUNCTION("""COMPUTED_VALUE"""),"MGS")</f>
        <v>MGS</v>
      </c>
      <c r="B213" s="1">
        <f>IFERROR(__xludf.DUMMYFUNCTION("""COMPUTED_VALUE"""),41.0)</f>
        <v>41</v>
      </c>
      <c r="C213" s="1"/>
      <c r="D213" s="1">
        <f>IFERROR(__xludf.DUMMYFUNCTION("""COMPUTED_VALUE"""),178.619995117187)</f>
        <v>178.6199951</v>
      </c>
      <c r="E213" s="1">
        <f>IFERROR(__xludf.DUMMYFUNCTION("""COMPUTED_VALUE"""),1664.0)</f>
        <v>1664</v>
      </c>
      <c r="F213" s="1">
        <f>IFERROR(__xludf.DUMMYFUNCTION("""COMPUTED_VALUE"""),179.0)</f>
        <v>179</v>
      </c>
      <c r="G213" s="1">
        <f>IFERROR(__xludf.DUMMYFUNCTION("""COMPUTED_VALUE"""),83255.0)</f>
        <v>83255</v>
      </c>
      <c r="H213" s="1">
        <f>IFERROR(__xludf.DUMMYFUNCTION("""COMPUTED_VALUE"""),2453.0)</f>
        <v>2453</v>
      </c>
      <c r="I213" s="1">
        <f>IFERROR(__xludf.DUMMYFUNCTION("""COMPUTED_VALUE"""),166.0)</f>
        <v>166</v>
      </c>
      <c r="J213" s="1">
        <f>IFERROR(__xludf.DUMMYFUNCTION("""COMPUTED_VALUE"""),11875.0)</f>
        <v>11875</v>
      </c>
      <c r="K213" s="1">
        <f>IFERROR(__xludf.DUMMYFUNCTION("""COMPUTED_VALUE"""),190.289993286132)</f>
        <v>190.2899933</v>
      </c>
      <c r="L213" s="1">
        <f>IFERROR(__xludf.DUMMYFUNCTION("""COMPUTED_VALUE"""),1596.0)</f>
        <v>1596</v>
      </c>
      <c r="M213" s="1">
        <f>IFERROR(__xludf.DUMMYFUNCTION("""COMPUTED_VALUE"""),349.0)</f>
        <v>349</v>
      </c>
      <c r="N213" s="1">
        <f>IFERROR(__xludf.DUMMYFUNCTION("""COMPUTED_VALUE"""),1796.0)</f>
        <v>1796</v>
      </c>
      <c r="O213" s="1">
        <f>IFERROR(__xludf.DUMMYFUNCTION("""COMPUTED_VALUE"""),500.0)</f>
        <v>500</v>
      </c>
      <c r="P213" s="1">
        <f>IFERROR(__xludf.DUMMYFUNCTION("""COMPUTED_VALUE"""),123.0)</f>
        <v>123</v>
      </c>
      <c r="Q213" s="1">
        <f>IFERROR(__xludf.DUMMYFUNCTION("""COMPUTED_VALUE"""),4656.0)</f>
        <v>4656</v>
      </c>
      <c r="R213" s="1">
        <f>IFERROR(__xludf.DUMMYFUNCTION("""COMPUTED_VALUE"""),130.0)</f>
        <v>130</v>
      </c>
      <c r="S213" s="1"/>
      <c r="T213" s="1"/>
      <c r="U213" s="1">
        <f>IFERROR(__xludf.DUMMYFUNCTION("""COMPUTED_VALUE"""),0.0)</f>
        <v>0</v>
      </c>
      <c r="V213" s="1"/>
      <c r="W213" s="1"/>
      <c r="X213" s="1">
        <f>IFERROR(__xludf.DUMMYFUNCTION("""COMPUTED_VALUE"""),0.0)</f>
        <v>0</v>
      </c>
      <c r="Y213" s="1">
        <f>IFERROR(__xludf.DUMMYFUNCTION("""COMPUTED_VALUE"""),155.0)</f>
        <v>155</v>
      </c>
      <c r="Z213" s="1">
        <f>IFERROR(__xludf.DUMMYFUNCTION("""COMPUTED_VALUE"""),1499.0)</f>
        <v>1499</v>
      </c>
      <c r="AA213" s="1">
        <f>IFERROR(__xludf.DUMMYFUNCTION("""COMPUTED_VALUE"""),240.0)</f>
        <v>240</v>
      </c>
      <c r="AB213" s="1">
        <f>IFERROR(__xludf.DUMMYFUNCTION("""COMPUTED_VALUE"""),20381.0)</f>
        <v>20381</v>
      </c>
      <c r="AC213" s="1">
        <f>IFERROR(__xludf.DUMMYFUNCTION("""COMPUTED_VALUE"""),500.0)</f>
        <v>500</v>
      </c>
      <c r="AD213" s="1">
        <f>IFERROR(__xludf.DUMMYFUNCTION("""COMPUTED_VALUE"""),157.0)</f>
        <v>157</v>
      </c>
      <c r="AE213" s="1">
        <f>IFERROR(__xludf.DUMMYFUNCTION("""COMPUTED_VALUE"""),11786.0)</f>
        <v>11786</v>
      </c>
      <c r="AF213" s="1">
        <f>IFERROR(__xludf.DUMMYFUNCTION("""COMPUTED_VALUE"""),100.0)</f>
        <v>100</v>
      </c>
      <c r="AG213" s="1">
        <f>IFERROR(__xludf.DUMMYFUNCTION("""COMPUTED_VALUE"""),237.0)</f>
        <v>237</v>
      </c>
      <c r="AH213" s="1">
        <f>IFERROR(__xludf.DUMMYFUNCTION("""COMPUTED_VALUE"""),100.0)</f>
        <v>100</v>
      </c>
      <c r="AI213" s="1">
        <f>IFERROR(__xludf.DUMMYFUNCTION("""COMPUTED_VALUE"""),1567.0)</f>
        <v>1567</v>
      </c>
      <c r="AJ213" s="1"/>
      <c r="AK213" s="1"/>
      <c r="AL213" s="1">
        <f>IFERROR(__xludf.DUMMYFUNCTION("""COMPUTED_VALUE"""),0.0)</f>
        <v>0</v>
      </c>
      <c r="AM213" s="1">
        <f>IFERROR(__xludf.DUMMYFUNCTION("""COMPUTED_VALUE"""),214.0)</f>
        <v>214</v>
      </c>
      <c r="AN213" s="1">
        <f>IFERROR(__xludf.DUMMYFUNCTION("""COMPUTED_VALUE"""),4.0)</f>
        <v>4</v>
      </c>
      <c r="AO213" s="1">
        <f>IFERROR(__xludf.DUMMYFUNCTION("""COMPUTED_VALUE"""),214.0)</f>
        <v>214</v>
      </c>
      <c r="AP213" s="1">
        <f>IFERROR(__xludf.DUMMYFUNCTION("""COMPUTED_VALUE"""),3892.0)</f>
        <v>3892</v>
      </c>
      <c r="AQ213" s="1">
        <f>IFERROR(__xludf.DUMMYFUNCTION("""COMPUTED_VALUE"""),77.0)</f>
        <v>77</v>
      </c>
      <c r="AR213" s="1">
        <f>IFERROR(__xludf.DUMMYFUNCTION("""COMPUTED_VALUE"""),156.0)</f>
        <v>156</v>
      </c>
      <c r="AS213" s="1">
        <f>IFERROR(__xludf.DUMMYFUNCTION("""COMPUTED_VALUE"""),2329.0)</f>
        <v>2329</v>
      </c>
    </row>
    <row r="214">
      <c r="A214" s="1" t="str">
        <f>IFERROR(__xludf.DUMMYFUNCTION("""COMPUTED_VALUE"""),"MHL")</f>
        <v>MHL</v>
      </c>
      <c r="B214" s="1"/>
      <c r="C214" s="1"/>
      <c r="D214" s="1">
        <f>IFERROR(__xludf.DUMMYFUNCTION("""COMPUTED_VALUE"""),5320.0)</f>
        <v>5320</v>
      </c>
      <c r="E214" s="1">
        <f>IFERROR(__xludf.DUMMYFUNCTION("""COMPUTED_VALUE"""),4.0)</f>
        <v>4</v>
      </c>
      <c r="F214" s="1">
        <f>IFERROR(__xludf.DUMMYFUNCTION("""COMPUTED_VALUE"""),5310.0)</f>
        <v>5310</v>
      </c>
      <c r="G214" s="1">
        <f>IFERROR(__xludf.DUMMYFUNCTION("""COMPUTED_VALUE"""),5327.0)</f>
        <v>5327</v>
      </c>
      <c r="H214" s="1">
        <f>IFERROR(__xludf.DUMMYFUNCTION("""COMPUTED_VALUE"""),250.0)</f>
        <v>250</v>
      </c>
      <c r="I214" s="1">
        <f>IFERROR(__xludf.DUMMYFUNCTION("""COMPUTED_VALUE"""),4100.0)</f>
        <v>4100</v>
      </c>
      <c r="J214" s="1">
        <f>IFERROR(__xludf.DUMMYFUNCTION("""COMPUTED_VALUE"""),2169.0)</f>
        <v>2169</v>
      </c>
      <c r="K214" s="1">
        <f>IFERROR(__xludf.DUMMYFUNCTION("""COMPUTED_VALUE"""),5970.0)</f>
        <v>5970</v>
      </c>
      <c r="L214" s="1">
        <f>IFERROR(__xludf.DUMMYFUNCTION("""COMPUTED_VALUE"""),2.0)</f>
        <v>2</v>
      </c>
      <c r="M214" s="1">
        <f>IFERROR(__xludf.DUMMYFUNCTION("""COMPUTED_VALUE"""),5960.0)</f>
        <v>5960</v>
      </c>
      <c r="N214" s="1">
        <f>IFERROR(__xludf.DUMMYFUNCTION("""COMPUTED_VALUE"""),1020.0)</f>
        <v>1020</v>
      </c>
      <c r="O214" s="1">
        <f>IFERROR(__xludf.DUMMYFUNCTION("""COMPUTED_VALUE"""),69.0)</f>
        <v>69</v>
      </c>
      <c r="P214" s="1">
        <f>IFERROR(__xludf.DUMMYFUNCTION("""COMPUTED_VALUE"""),4100.0)</f>
        <v>4100</v>
      </c>
      <c r="Q214" s="1">
        <f>IFERROR(__xludf.DUMMYFUNCTION("""COMPUTED_VALUE"""),344.0)</f>
        <v>344</v>
      </c>
      <c r="R214" s="1">
        <f>IFERROR(__xludf.DUMMYFUNCTION("""COMPUTED_VALUE"""),2700.0)</f>
        <v>2700</v>
      </c>
      <c r="S214" s="1">
        <f>IFERROR(__xludf.DUMMYFUNCTION("""COMPUTED_VALUE"""),24.0)</f>
        <v>24</v>
      </c>
      <c r="T214" s="1">
        <f>IFERROR(__xludf.DUMMYFUNCTION("""COMPUTED_VALUE"""),6200.0)</f>
        <v>6200</v>
      </c>
      <c r="U214" s="1">
        <f>IFERROR(__xludf.DUMMYFUNCTION("""COMPUTED_VALUE"""),24.0)</f>
        <v>24</v>
      </c>
      <c r="V214" s="1"/>
      <c r="W214" s="1"/>
      <c r="X214" s="1">
        <f>IFERROR(__xludf.DUMMYFUNCTION("""COMPUTED_VALUE"""),0.0)</f>
        <v>0</v>
      </c>
      <c r="Y214" s="1">
        <f>IFERROR(__xludf.DUMMYFUNCTION("""COMPUTED_VALUE"""),4699.169921875)</f>
        <v>4699.169922</v>
      </c>
      <c r="Z214" s="1">
        <f>IFERROR(__xludf.DUMMYFUNCTION("""COMPUTED_VALUE"""),2.0)</f>
        <v>2</v>
      </c>
      <c r="AA214" s="1">
        <f>IFERROR(__xludf.DUMMYFUNCTION("""COMPUTED_VALUE"""),4720.0)</f>
        <v>4720</v>
      </c>
      <c r="AB214" s="1">
        <f>IFERROR(__xludf.DUMMYFUNCTION("""COMPUTED_VALUE"""),4273.0)</f>
        <v>4273</v>
      </c>
      <c r="AC214" s="1">
        <f>IFERROR(__xludf.DUMMYFUNCTION("""COMPUTED_VALUE"""),9.0)</f>
        <v>9</v>
      </c>
      <c r="AD214" s="1">
        <f>IFERROR(__xludf.DUMMYFUNCTION("""COMPUTED_VALUE"""),4200.0)</f>
        <v>4200</v>
      </c>
      <c r="AE214" s="1">
        <f>IFERROR(__xludf.DUMMYFUNCTION("""COMPUTED_VALUE"""),1687.0)</f>
        <v>1687</v>
      </c>
      <c r="AF214" s="1">
        <f>IFERROR(__xludf.DUMMYFUNCTION("""COMPUTED_VALUE"""),5991.56982421875)</f>
        <v>5991.569824</v>
      </c>
      <c r="AG214" s="1">
        <f>IFERROR(__xludf.DUMMYFUNCTION("""COMPUTED_VALUE"""),40.0)</f>
        <v>40</v>
      </c>
      <c r="AH214" s="1">
        <f>IFERROR(__xludf.DUMMYFUNCTION("""COMPUTED_VALUE"""),6000.0)</f>
        <v>6000</v>
      </c>
      <c r="AI214" s="1">
        <f>IFERROR(__xludf.DUMMYFUNCTION("""COMPUTED_VALUE"""),40.0)</f>
        <v>40</v>
      </c>
      <c r="AJ214" s="1"/>
      <c r="AK214" s="1"/>
      <c r="AL214" s="1">
        <f>IFERROR(__xludf.DUMMYFUNCTION("""COMPUTED_VALUE"""),0.0)</f>
        <v>0</v>
      </c>
      <c r="AM214" s="1">
        <f>IFERROR(__xludf.DUMMYFUNCTION("""COMPUTED_VALUE"""),4510.0)</f>
        <v>4510</v>
      </c>
      <c r="AN214" s="1">
        <f>IFERROR(__xludf.DUMMYFUNCTION("""COMPUTED_VALUE"""),1.0)</f>
        <v>1</v>
      </c>
      <c r="AO214" s="1">
        <f>IFERROR(__xludf.DUMMYFUNCTION("""COMPUTED_VALUE"""),4510.0)</f>
        <v>4510</v>
      </c>
      <c r="AP214" s="1">
        <f>IFERROR(__xludf.DUMMYFUNCTION("""COMPUTED_VALUE"""),2939.0)</f>
        <v>2939</v>
      </c>
      <c r="AQ214" s="1">
        <f>IFERROR(__xludf.DUMMYFUNCTION("""COMPUTED_VALUE"""),196.0)</f>
        <v>196</v>
      </c>
      <c r="AR214" s="1">
        <f>IFERROR(__xludf.DUMMYFUNCTION("""COMPUTED_VALUE"""),3610.0)</f>
        <v>3610</v>
      </c>
      <c r="AS214" s="1">
        <f>IFERROR(__xludf.DUMMYFUNCTION("""COMPUTED_VALUE"""),322.0)</f>
        <v>322</v>
      </c>
    </row>
    <row r="215">
      <c r="A215" s="1" t="str">
        <f>IFERROR(__xludf.DUMMYFUNCTION("""COMPUTED_VALUE"""),"MHP")</f>
        <v>MHP</v>
      </c>
      <c r="B215" s="1"/>
      <c r="C215" s="1"/>
      <c r="D215" s="1">
        <f>IFERROR(__xludf.DUMMYFUNCTION("""COMPUTED_VALUE"""),4590.0)</f>
        <v>4590</v>
      </c>
      <c r="E215" s="1">
        <f>IFERROR(__xludf.DUMMYFUNCTION("""COMPUTED_VALUE"""),104.0)</f>
        <v>104</v>
      </c>
      <c r="F215" s="1">
        <f>IFERROR(__xludf.DUMMYFUNCTION("""COMPUTED_VALUE"""),6000.0)</f>
        <v>6000</v>
      </c>
      <c r="G215" s="1">
        <f>IFERROR(__xludf.DUMMYFUNCTION("""COMPUTED_VALUE"""),104.0)</f>
        <v>104</v>
      </c>
      <c r="H215" s="1">
        <f>IFERROR(__xludf.DUMMYFUNCTION("""COMPUTED_VALUE"""),24.0)</f>
        <v>24</v>
      </c>
      <c r="I215" s="1">
        <f>IFERROR(__xludf.DUMMYFUNCTION("""COMPUTED_VALUE"""),4590.0)</f>
        <v>4590</v>
      </c>
      <c r="J215" s="1">
        <f>IFERROR(__xludf.DUMMYFUNCTION("""COMPUTED_VALUE"""),561.0)</f>
        <v>561</v>
      </c>
      <c r="K215" s="1">
        <f>IFERROR(__xludf.DUMMYFUNCTION("""COMPUTED_VALUE"""),6500.0)</f>
        <v>6500</v>
      </c>
      <c r="L215" s="1"/>
      <c r="M215" s="1"/>
      <c r="N215" s="1">
        <f>IFERROR(__xludf.DUMMYFUNCTION("""COMPUTED_VALUE"""),0.0)</f>
        <v>0</v>
      </c>
      <c r="O215" s="1">
        <f>IFERROR(__xludf.DUMMYFUNCTION("""COMPUTED_VALUE"""),8.0)</f>
        <v>8</v>
      </c>
      <c r="P215" s="1">
        <f>IFERROR(__xludf.DUMMYFUNCTION("""COMPUTED_VALUE"""),6500.0)</f>
        <v>6500</v>
      </c>
      <c r="Q215" s="1">
        <f>IFERROR(__xludf.DUMMYFUNCTION("""COMPUTED_VALUE"""),8.0)</f>
        <v>8</v>
      </c>
      <c r="R215" s="1">
        <f>IFERROR(__xludf.DUMMYFUNCTION("""COMPUTED_VALUE"""),4800.0)</f>
        <v>4800</v>
      </c>
      <c r="S215" s="1">
        <f>IFERROR(__xludf.DUMMYFUNCTION("""COMPUTED_VALUE"""),1916.0)</f>
        <v>1916</v>
      </c>
      <c r="T215" s="1">
        <f>IFERROR(__xludf.DUMMYFUNCTION("""COMPUTED_VALUE"""),4800.0)</f>
        <v>4800</v>
      </c>
      <c r="U215" s="1">
        <f>IFERROR(__xludf.DUMMYFUNCTION("""COMPUTED_VALUE"""),1916.0)</f>
        <v>1916</v>
      </c>
      <c r="V215" s="1"/>
      <c r="W215" s="1"/>
      <c r="X215" s="1">
        <f>IFERROR(__xludf.DUMMYFUNCTION("""COMPUTED_VALUE"""),0.0)</f>
        <v>0</v>
      </c>
      <c r="Y215" s="1">
        <f>IFERROR(__xludf.DUMMYFUNCTION("""COMPUTED_VALUE"""),6000.0)</f>
        <v>6000</v>
      </c>
      <c r="Z215" s="1">
        <f>IFERROR(__xludf.DUMMYFUNCTION("""COMPUTED_VALUE"""),1.0)</f>
        <v>1</v>
      </c>
      <c r="AA215" s="1">
        <f>IFERROR(__xludf.DUMMYFUNCTION("""COMPUTED_VALUE"""),5000.0)</f>
        <v>5000</v>
      </c>
      <c r="AB215" s="1">
        <f>IFERROR(__xludf.DUMMYFUNCTION("""COMPUTED_VALUE"""),145.0)</f>
        <v>145</v>
      </c>
      <c r="AC215" s="1"/>
      <c r="AD215" s="1"/>
      <c r="AE215" s="1">
        <f>IFERROR(__xludf.DUMMYFUNCTION("""COMPUTED_VALUE"""),0.0)</f>
        <v>0</v>
      </c>
      <c r="AF215" s="1">
        <f>IFERROR(__xludf.DUMMYFUNCTION("""COMPUTED_VALUE"""),2091.98999023437)</f>
        <v>2091.98999</v>
      </c>
      <c r="AG215" s="1">
        <f>IFERROR(__xludf.DUMMYFUNCTION("""COMPUTED_VALUE"""),10.0)</f>
        <v>10</v>
      </c>
      <c r="AH215" s="1">
        <f>IFERROR(__xludf.DUMMYFUNCTION("""COMPUTED_VALUE"""),5000.0)</f>
        <v>5000</v>
      </c>
      <c r="AI215" s="1">
        <f>IFERROR(__xludf.DUMMYFUNCTION("""COMPUTED_VALUE"""),110.0)</f>
        <v>110</v>
      </c>
      <c r="AJ215" s="1"/>
      <c r="AK215" s="1"/>
      <c r="AL215" s="1">
        <f>IFERROR(__xludf.DUMMYFUNCTION("""COMPUTED_VALUE"""),0.0)</f>
        <v>0</v>
      </c>
      <c r="AM215" s="1">
        <f>IFERROR(__xludf.DUMMYFUNCTION("""COMPUTED_VALUE"""),4800.0)</f>
        <v>4800</v>
      </c>
      <c r="AN215" s="1">
        <f>IFERROR(__xludf.DUMMYFUNCTION("""COMPUTED_VALUE"""),66.0)</f>
        <v>66</v>
      </c>
      <c r="AO215" s="1">
        <f>IFERROR(__xludf.DUMMYFUNCTION("""COMPUTED_VALUE"""),4800.0)</f>
        <v>4800</v>
      </c>
      <c r="AP215" s="1">
        <f>IFERROR(__xludf.DUMMYFUNCTION("""COMPUTED_VALUE"""),66.0)</f>
        <v>66</v>
      </c>
      <c r="AQ215" s="1">
        <f>IFERROR(__xludf.DUMMYFUNCTION("""COMPUTED_VALUE"""),80.0)</f>
        <v>80</v>
      </c>
      <c r="AR215" s="1">
        <f>IFERROR(__xludf.DUMMYFUNCTION("""COMPUTED_VALUE"""),3000.0)</f>
        <v>3000</v>
      </c>
      <c r="AS215" s="1">
        <f>IFERROR(__xludf.DUMMYFUNCTION("""COMPUTED_VALUE"""),80.0)</f>
        <v>80</v>
      </c>
    </row>
    <row r="216">
      <c r="A216" s="1" t="str">
        <f>IFERROR(__xludf.DUMMYFUNCTION("""COMPUTED_VALUE"""),"MLI")</f>
        <v>MLI</v>
      </c>
      <c r="B216" s="1"/>
      <c r="C216" s="1"/>
      <c r="D216" s="1">
        <f>IFERROR(__xludf.DUMMYFUNCTION("""COMPUTED_VALUE"""),25000.0)</f>
        <v>25000</v>
      </c>
      <c r="E216" s="1">
        <f>IFERROR(__xludf.DUMMYFUNCTION("""COMPUTED_VALUE"""),9.0)</f>
        <v>9</v>
      </c>
      <c r="F216" s="1">
        <f>IFERROR(__xludf.DUMMYFUNCTION("""COMPUTED_VALUE"""),26000.0)</f>
        <v>26000</v>
      </c>
      <c r="G216" s="1">
        <f>IFERROR(__xludf.DUMMYFUNCTION("""COMPUTED_VALUE"""),155.0)</f>
        <v>155</v>
      </c>
      <c r="H216" s="1">
        <f>IFERROR(__xludf.DUMMYFUNCTION("""COMPUTED_VALUE"""),39.0)</f>
        <v>39</v>
      </c>
      <c r="I216" s="1">
        <f>IFERROR(__xludf.DUMMYFUNCTION("""COMPUTED_VALUE"""),25000.0)</f>
        <v>25000</v>
      </c>
      <c r="J216" s="1">
        <f>IFERROR(__xludf.DUMMYFUNCTION("""COMPUTED_VALUE"""),462.0)</f>
        <v>462</v>
      </c>
      <c r="K216" s="1">
        <f>IFERROR(__xludf.DUMMYFUNCTION("""COMPUTED_VALUE"""),22000.0)</f>
        <v>22000</v>
      </c>
      <c r="L216" s="1">
        <f>IFERROR(__xludf.DUMMYFUNCTION("""COMPUTED_VALUE"""),8.0)</f>
        <v>8</v>
      </c>
      <c r="M216" s="1">
        <f>IFERROR(__xludf.DUMMYFUNCTION("""COMPUTED_VALUE"""),30000.0)</f>
        <v>30000</v>
      </c>
      <c r="N216" s="1">
        <f>IFERROR(__xludf.DUMMYFUNCTION("""COMPUTED_VALUE"""),8.0)</f>
        <v>8</v>
      </c>
      <c r="O216" s="1">
        <f>IFERROR(__xludf.DUMMYFUNCTION("""COMPUTED_VALUE"""),10.0)</f>
        <v>10</v>
      </c>
      <c r="P216" s="1">
        <f>IFERROR(__xludf.DUMMYFUNCTION("""COMPUTED_VALUE"""),17300.0)</f>
        <v>17300</v>
      </c>
      <c r="Q216" s="1">
        <f>IFERROR(__xludf.DUMMYFUNCTION("""COMPUTED_VALUE"""),64.0)</f>
        <v>64</v>
      </c>
      <c r="R216" s="1">
        <f>IFERROR(__xludf.DUMMYFUNCTION("""COMPUTED_VALUE"""),10185.0)</f>
        <v>10185</v>
      </c>
      <c r="S216" s="1"/>
      <c r="T216" s="1"/>
      <c r="U216" s="1">
        <f>IFERROR(__xludf.DUMMYFUNCTION("""COMPUTED_VALUE"""),0.0)</f>
        <v>0</v>
      </c>
      <c r="V216" s="1"/>
      <c r="W216" s="1"/>
      <c r="X216" s="1">
        <f>IFERROR(__xludf.DUMMYFUNCTION("""COMPUTED_VALUE"""),0.0)</f>
        <v>0</v>
      </c>
      <c r="Y216" s="1">
        <f>IFERROR(__xludf.DUMMYFUNCTION("""COMPUTED_VALUE"""),24678.5703125)</f>
        <v>24678.57031</v>
      </c>
      <c r="Z216" s="1">
        <f>IFERROR(__xludf.DUMMYFUNCTION("""COMPUTED_VALUE"""),35.0)</f>
        <v>35</v>
      </c>
      <c r="AA216" s="1">
        <f>IFERROR(__xludf.DUMMYFUNCTION("""COMPUTED_VALUE"""),30000.0)</f>
        <v>30000</v>
      </c>
      <c r="AB216" s="1">
        <f>IFERROR(__xludf.DUMMYFUNCTION("""COMPUTED_VALUE"""),35.0)</f>
        <v>35</v>
      </c>
      <c r="AC216" s="1">
        <f>IFERROR(__xludf.DUMMYFUNCTION("""COMPUTED_VALUE"""),20.0)</f>
        <v>20</v>
      </c>
      <c r="AD216" s="1">
        <f>IFERROR(__xludf.DUMMYFUNCTION("""COMPUTED_VALUE"""),24000.0)</f>
        <v>24000</v>
      </c>
      <c r="AE216" s="1">
        <f>IFERROR(__xludf.DUMMYFUNCTION("""COMPUTED_VALUE"""),424.0)</f>
        <v>424</v>
      </c>
      <c r="AF216" s="1">
        <f>IFERROR(__xludf.DUMMYFUNCTION("""COMPUTED_VALUE"""),10185.0)</f>
        <v>10185</v>
      </c>
      <c r="AG216" s="1"/>
      <c r="AH216" s="1"/>
      <c r="AI216" s="1">
        <f>IFERROR(__xludf.DUMMYFUNCTION("""COMPUTED_VALUE"""),0.0)</f>
        <v>0</v>
      </c>
      <c r="AJ216" s="1"/>
      <c r="AK216" s="1"/>
      <c r="AL216" s="1">
        <f>IFERROR(__xludf.DUMMYFUNCTION("""COMPUTED_VALUE"""),0.0)</f>
        <v>0</v>
      </c>
      <c r="AM216" s="1">
        <f>IFERROR(__xludf.DUMMYFUNCTION("""COMPUTED_VALUE"""),30000.0)</f>
        <v>30000</v>
      </c>
      <c r="AN216" s="1">
        <f>IFERROR(__xludf.DUMMYFUNCTION("""COMPUTED_VALUE"""),1.0)</f>
        <v>1</v>
      </c>
      <c r="AO216" s="1">
        <f>IFERROR(__xludf.DUMMYFUNCTION("""COMPUTED_VALUE"""),30000.0)</f>
        <v>30000</v>
      </c>
      <c r="AP216" s="1">
        <f>IFERROR(__xludf.DUMMYFUNCTION("""COMPUTED_VALUE"""),9.0)</f>
        <v>9</v>
      </c>
      <c r="AQ216" s="1"/>
      <c r="AR216" s="1"/>
      <c r="AS216" s="1">
        <f>IFERROR(__xludf.DUMMYFUNCTION("""COMPUTED_VALUE"""),0.0)</f>
        <v>0</v>
      </c>
    </row>
    <row r="217">
      <c r="A217" s="1" t="str">
        <f>IFERROR(__xludf.DUMMYFUNCTION("""COMPUTED_VALUE"""),"MPC")</f>
        <v>MPC</v>
      </c>
      <c r="B217" s="1"/>
      <c r="C217" s="1"/>
      <c r="D217" s="1">
        <f>IFERROR(__xludf.DUMMYFUNCTION("""COMPUTED_VALUE"""),1716.77001953125)</f>
        <v>1716.77002</v>
      </c>
      <c r="E217" s="1">
        <f>IFERROR(__xludf.DUMMYFUNCTION("""COMPUTED_VALUE"""),593.0)</f>
        <v>593</v>
      </c>
      <c r="F217" s="1">
        <f>IFERROR(__xludf.DUMMYFUNCTION("""COMPUTED_VALUE"""),1720.0)</f>
        <v>1720</v>
      </c>
      <c r="G217" s="1">
        <f>IFERROR(__xludf.DUMMYFUNCTION("""COMPUTED_VALUE"""),4373.0)</f>
        <v>4373</v>
      </c>
      <c r="H217" s="1">
        <f>IFERROR(__xludf.DUMMYFUNCTION("""COMPUTED_VALUE"""),1000.0)</f>
        <v>1000</v>
      </c>
      <c r="I217" s="1">
        <f>IFERROR(__xludf.DUMMYFUNCTION("""COMPUTED_VALUE"""),1650.0)</f>
        <v>1650</v>
      </c>
      <c r="J217" s="1">
        <f>IFERROR(__xludf.DUMMYFUNCTION("""COMPUTED_VALUE"""),6402.0)</f>
        <v>6402</v>
      </c>
      <c r="K217" s="1">
        <f>IFERROR(__xludf.DUMMYFUNCTION("""COMPUTED_VALUE"""),2011.2900390625)</f>
        <v>2011.290039</v>
      </c>
      <c r="L217" s="1">
        <f>IFERROR(__xludf.DUMMYFUNCTION("""COMPUTED_VALUE"""),80.0)</f>
        <v>80</v>
      </c>
      <c r="M217" s="1">
        <f>IFERROR(__xludf.DUMMYFUNCTION("""COMPUTED_VALUE"""),1990.0)</f>
        <v>1990</v>
      </c>
      <c r="N217" s="1">
        <f>IFERROR(__xludf.DUMMYFUNCTION("""COMPUTED_VALUE"""),1548.0)</f>
        <v>1548</v>
      </c>
      <c r="O217" s="1">
        <f>IFERROR(__xludf.DUMMYFUNCTION("""COMPUTED_VALUE"""),1800.0)</f>
        <v>1800</v>
      </c>
      <c r="P217" s="1">
        <f>IFERROR(__xludf.DUMMYFUNCTION("""COMPUTED_VALUE"""),1800.0)</f>
        <v>1800</v>
      </c>
      <c r="Q217" s="1">
        <f>IFERROR(__xludf.DUMMYFUNCTION("""COMPUTED_VALUE"""),2751.0)</f>
        <v>2751</v>
      </c>
      <c r="R217" s="1">
        <f>IFERROR(__xludf.DUMMYFUNCTION("""COMPUTED_VALUE"""),655.690002441406)</f>
        <v>655.6900024</v>
      </c>
      <c r="S217" s="1"/>
      <c r="T217" s="1"/>
      <c r="U217" s="1">
        <f>IFERROR(__xludf.DUMMYFUNCTION("""COMPUTED_VALUE"""),0.0)</f>
        <v>0</v>
      </c>
      <c r="V217" s="1"/>
      <c r="W217" s="1"/>
      <c r="X217" s="1">
        <f>IFERROR(__xludf.DUMMYFUNCTION("""COMPUTED_VALUE"""),0.0)</f>
        <v>0</v>
      </c>
      <c r="Y217" s="1">
        <f>IFERROR(__xludf.DUMMYFUNCTION("""COMPUTED_VALUE"""),1606.31994628906)</f>
        <v>1606.319946</v>
      </c>
      <c r="Z217" s="1">
        <f>IFERROR(__xludf.DUMMYFUNCTION("""COMPUTED_VALUE"""),210.0)</f>
        <v>210</v>
      </c>
      <c r="AA217" s="1">
        <f>IFERROR(__xludf.DUMMYFUNCTION("""COMPUTED_VALUE"""),1690.0)</f>
        <v>1690</v>
      </c>
      <c r="AB217" s="1">
        <f>IFERROR(__xludf.DUMMYFUNCTION("""COMPUTED_VALUE"""),2739.0)</f>
        <v>2739</v>
      </c>
      <c r="AC217" s="1">
        <f>IFERROR(__xludf.DUMMYFUNCTION("""COMPUTED_VALUE"""),942.0)</f>
        <v>942</v>
      </c>
      <c r="AD217" s="1">
        <f>IFERROR(__xludf.DUMMYFUNCTION("""COMPUTED_VALUE"""),1600.0)</f>
        <v>1600</v>
      </c>
      <c r="AE217" s="1">
        <f>IFERROR(__xludf.DUMMYFUNCTION("""COMPUTED_VALUE"""),2162.0)</f>
        <v>2162</v>
      </c>
      <c r="AF217" s="1">
        <f>IFERROR(__xludf.DUMMYFUNCTION("""COMPUTED_VALUE"""),400.0)</f>
        <v>400</v>
      </c>
      <c r="AG217" s="1">
        <f>IFERROR(__xludf.DUMMYFUNCTION("""COMPUTED_VALUE"""),10.0)</f>
        <v>10</v>
      </c>
      <c r="AH217" s="1">
        <f>IFERROR(__xludf.DUMMYFUNCTION("""COMPUTED_VALUE"""),2600.0)</f>
        <v>2600</v>
      </c>
      <c r="AI217" s="1">
        <f>IFERROR(__xludf.DUMMYFUNCTION("""COMPUTED_VALUE"""),10.0)</f>
        <v>10</v>
      </c>
      <c r="AJ217" s="1"/>
      <c r="AK217" s="1"/>
      <c r="AL217" s="1">
        <f>IFERROR(__xludf.DUMMYFUNCTION("""COMPUTED_VALUE"""),0.0)</f>
        <v>0</v>
      </c>
      <c r="AM217" s="1">
        <f>IFERROR(__xludf.DUMMYFUNCTION("""COMPUTED_VALUE"""),1680.0)</f>
        <v>1680</v>
      </c>
      <c r="AN217" s="1">
        <f>IFERROR(__xludf.DUMMYFUNCTION("""COMPUTED_VALUE"""),96.0)</f>
        <v>96</v>
      </c>
      <c r="AO217" s="1">
        <f>IFERROR(__xludf.DUMMYFUNCTION("""COMPUTED_VALUE"""),1800.0)</f>
        <v>1800</v>
      </c>
      <c r="AP217" s="1">
        <f>IFERROR(__xludf.DUMMYFUNCTION("""COMPUTED_VALUE"""),596.0)</f>
        <v>596</v>
      </c>
      <c r="AQ217" s="1"/>
      <c r="AR217" s="1"/>
      <c r="AS217" s="1">
        <f>IFERROR(__xludf.DUMMYFUNCTION("""COMPUTED_VALUE"""),0.0)</f>
        <v>0</v>
      </c>
    </row>
    <row r="218">
      <c r="A218" s="1" t="str">
        <f>IFERROR(__xludf.DUMMYFUNCTION("""COMPUTED_VALUE"""),"MSL")</f>
        <v>MSL</v>
      </c>
      <c r="B218" s="1"/>
      <c r="C218" s="1"/>
      <c r="D218" s="1">
        <f>IFERROR(__xludf.DUMMYFUNCTION("""COMPUTED_VALUE"""),190000.0)</f>
        <v>190000</v>
      </c>
      <c r="E218" s="1">
        <f>IFERROR(__xludf.DUMMYFUNCTION("""COMPUTED_VALUE"""),2.0)</f>
        <v>2</v>
      </c>
      <c r="F218" s="1">
        <f>IFERROR(__xludf.DUMMYFUNCTION("""COMPUTED_VALUE"""),190000.0)</f>
        <v>190000</v>
      </c>
      <c r="G218" s="1">
        <f>IFERROR(__xludf.DUMMYFUNCTION("""COMPUTED_VALUE"""),10.0)</f>
        <v>10</v>
      </c>
      <c r="H218" s="1">
        <f>IFERROR(__xludf.DUMMYFUNCTION("""COMPUTED_VALUE"""),1.0)</f>
        <v>1</v>
      </c>
      <c r="I218" s="1">
        <f>IFERROR(__xludf.DUMMYFUNCTION("""COMPUTED_VALUE"""),160000.0)</f>
        <v>160000</v>
      </c>
      <c r="J218" s="1">
        <f>IFERROR(__xludf.DUMMYFUNCTION("""COMPUTED_VALUE"""),2.0)</f>
        <v>2</v>
      </c>
      <c r="K218" s="1">
        <f>IFERROR(__xludf.DUMMYFUNCTION("""COMPUTED_VALUE"""),189000.0)</f>
        <v>189000</v>
      </c>
      <c r="L218" s="1">
        <f>IFERROR(__xludf.DUMMYFUNCTION("""COMPUTED_VALUE"""),2.0)</f>
        <v>2</v>
      </c>
      <c r="M218" s="1">
        <f>IFERROR(__xludf.DUMMYFUNCTION("""COMPUTED_VALUE"""),190000.0)</f>
        <v>190000</v>
      </c>
      <c r="N218" s="1">
        <f>IFERROR(__xludf.DUMMYFUNCTION("""COMPUTED_VALUE"""),4.0)</f>
        <v>4</v>
      </c>
      <c r="O218" s="1"/>
      <c r="P218" s="1"/>
      <c r="Q218" s="1">
        <f>IFERROR(__xludf.DUMMYFUNCTION("""COMPUTED_VALUE"""),0.0)</f>
        <v>0</v>
      </c>
      <c r="R218" s="1">
        <f>IFERROR(__xludf.DUMMYFUNCTION("""COMPUTED_VALUE"""),82878.2578125)</f>
        <v>82878.25781</v>
      </c>
      <c r="S218" s="1"/>
      <c r="T218" s="1"/>
      <c r="U218" s="1">
        <f>IFERROR(__xludf.DUMMYFUNCTION("""COMPUTED_VALUE"""),0.0)</f>
        <v>0</v>
      </c>
      <c r="V218" s="1">
        <f>IFERROR(__xludf.DUMMYFUNCTION("""COMPUTED_VALUE"""),1.0)</f>
        <v>1</v>
      </c>
      <c r="W218" s="1">
        <f>IFERROR(__xludf.DUMMYFUNCTION("""COMPUTED_VALUE"""),90000.0)</f>
        <v>90000</v>
      </c>
      <c r="X218" s="1">
        <f>IFERROR(__xludf.DUMMYFUNCTION("""COMPUTED_VALUE"""),1.0)</f>
        <v>1</v>
      </c>
      <c r="Y218" s="1">
        <f>IFERROR(__xludf.DUMMYFUNCTION("""COMPUTED_VALUE"""),189000.0)</f>
        <v>189000</v>
      </c>
      <c r="Z218" s="1">
        <f>IFERROR(__xludf.DUMMYFUNCTION("""COMPUTED_VALUE"""),1.0)</f>
        <v>1</v>
      </c>
      <c r="AA218" s="1">
        <f>IFERROR(__xludf.DUMMYFUNCTION("""COMPUTED_VALUE"""),189000.0)</f>
        <v>189000</v>
      </c>
      <c r="AB218" s="1">
        <f>IFERROR(__xludf.DUMMYFUNCTION("""COMPUTED_VALUE"""),25.0)</f>
        <v>25</v>
      </c>
      <c r="AC218" s="1">
        <f>IFERROR(__xludf.DUMMYFUNCTION("""COMPUTED_VALUE"""),2.0)</f>
        <v>2</v>
      </c>
      <c r="AD218" s="1">
        <f>IFERROR(__xludf.DUMMYFUNCTION("""COMPUTED_VALUE"""),170000.0)</f>
        <v>170000</v>
      </c>
      <c r="AE218" s="1">
        <f>IFERROR(__xludf.DUMMYFUNCTION("""COMPUTED_VALUE"""),3.0)</f>
        <v>3</v>
      </c>
      <c r="AF218" s="1">
        <f>IFERROR(__xludf.DUMMYFUNCTION("""COMPUTED_VALUE"""),82878.2578125)</f>
        <v>82878.25781</v>
      </c>
      <c r="AG218" s="1"/>
      <c r="AH218" s="1"/>
      <c r="AI218" s="1">
        <f>IFERROR(__xludf.DUMMYFUNCTION("""COMPUTED_VALUE"""),0.0)</f>
        <v>0</v>
      </c>
      <c r="AJ218" s="1"/>
      <c r="AK218" s="1"/>
      <c r="AL218" s="1">
        <f>IFERROR(__xludf.DUMMYFUNCTION("""COMPUTED_VALUE"""),0.0)</f>
        <v>0</v>
      </c>
      <c r="AM218" s="1">
        <f>IFERROR(__xludf.DUMMYFUNCTION("""COMPUTED_VALUE"""),220000.0)</f>
        <v>220000</v>
      </c>
      <c r="AN218" s="1">
        <f>IFERROR(__xludf.DUMMYFUNCTION("""COMPUTED_VALUE"""),1.0)</f>
        <v>1</v>
      </c>
      <c r="AO218" s="1">
        <f>IFERROR(__xludf.DUMMYFUNCTION("""COMPUTED_VALUE"""),200000.0)</f>
        <v>200000</v>
      </c>
      <c r="AP218" s="1">
        <f>IFERROR(__xludf.DUMMYFUNCTION("""COMPUTED_VALUE"""),1.0)</f>
        <v>1</v>
      </c>
      <c r="AQ218" s="1"/>
      <c r="AR218" s="1"/>
      <c r="AS218" s="1">
        <f>IFERROR(__xludf.DUMMYFUNCTION("""COMPUTED_VALUE"""),0.0)</f>
        <v>0</v>
      </c>
    </row>
    <row r="219">
      <c r="A219" s="1" t="str">
        <f>IFERROR(__xludf.DUMMYFUNCTION("""COMPUTED_VALUE"""),"MTC")</f>
        <v>MTC</v>
      </c>
      <c r="B219" s="1"/>
      <c r="C219" s="1"/>
      <c r="D219" s="1">
        <f>IFERROR(__xludf.DUMMYFUNCTION("""COMPUTED_VALUE"""),360.0)</f>
        <v>360</v>
      </c>
      <c r="E219" s="1">
        <f>IFERROR(__xludf.DUMMYFUNCTION("""COMPUTED_VALUE"""),890.0)</f>
        <v>890</v>
      </c>
      <c r="F219" s="1">
        <f>IFERROR(__xludf.DUMMYFUNCTION("""COMPUTED_VALUE"""),400.0)</f>
        <v>400</v>
      </c>
      <c r="G219" s="1">
        <f>IFERROR(__xludf.DUMMYFUNCTION("""COMPUTED_VALUE"""),890.0)</f>
        <v>890</v>
      </c>
      <c r="H219" s="1">
        <f>IFERROR(__xludf.DUMMYFUNCTION("""COMPUTED_VALUE"""),958.0)</f>
        <v>958</v>
      </c>
      <c r="I219" s="1">
        <f>IFERROR(__xludf.DUMMYFUNCTION("""COMPUTED_VALUE"""),300.0)</f>
        <v>300</v>
      </c>
      <c r="J219" s="1">
        <f>IFERROR(__xludf.DUMMYFUNCTION("""COMPUTED_VALUE"""),958.0)</f>
        <v>958</v>
      </c>
      <c r="K219" s="1">
        <f>IFERROR(__xludf.DUMMYFUNCTION("""COMPUTED_VALUE"""),420.0)</f>
        <v>420</v>
      </c>
      <c r="L219" s="1">
        <f>IFERROR(__xludf.DUMMYFUNCTION("""COMPUTED_VALUE"""),440.0)</f>
        <v>440</v>
      </c>
      <c r="M219" s="1">
        <f>IFERROR(__xludf.DUMMYFUNCTION("""COMPUTED_VALUE"""),420.0)</f>
        <v>420</v>
      </c>
      <c r="N219" s="1">
        <f>IFERROR(__xludf.DUMMYFUNCTION("""COMPUTED_VALUE"""),1450.0)</f>
        <v>1450</v>
      </c>
      <c r="O219" s="1"/>
      <c r="P219" s="1"/>
      <c r="Q219" s="1">
        <f>IFERROR(__xludf.DUMMYFUNCTION("""COMPUTED_VALUE"""),0.0)</f>
        <v>0</v>
      </c>
      <c r="R219" s="1">
        <f>IFERROR(__xludf.DUMMYFUNCTION("""COMPUTED_VALUE"""),446.290008544921)</f>
        <v>446.2900085</v>
      </c>
      <c r="S219" s="1"/>
      <c r="T219" s="1"/>
      <c r="U219" s="1">
        <f>IFERROR(__xludf.DUMMYFUNCTION("""COMPUTED_VALUE"""),0.0)</f>
        <v>0</v>
      </c>
      <c r="V219" s="1"/>
      <c r="W219" s="1"/>
      <c r="X219" s="1">
        <f>IFERROR(__xludf.DUMMYFUNCTION("""COMPUTED_VALUE"""),0.0)</f>
        <v>0</v>
      </c>
      <c r="Y219" s="1">
        <f>IFERROR(__xludf.DUMMYFUNCTION("""COMPUTED_VALUE"""),416.5)</f>
        <v>416.5</v>
      </c>
      <c r="Z219" s="1">
        <f>IFERROR(__xludf.DUMMYFUNCTION("""COMPUTED_VALUE"""),960.0)</f>
        <v>960</v>
      </c>
      <c r="AA219" s="1">
        <f>IFERROR(__xludf.DUMMYFUNCTION("""COMPUTED_VALUE"""),420.0)</f>
        <v>420</v>
      </c>
      <c r="AB219" s="1">
        <f>IFERROR(__xludf.DUMMYFUNCTION("""COMPUTED_VALUE"""),5554.0)</f>
        <v>5554</v>
      </c>
      <c r="AC219" s="1">
        <f>IFERROR(__xludf.DUMMYFUNCTION("""COMPUTED_VALUE"""),40.0)</f>
        <v>40</v>
      </c>
      <c r="AD219" s="1">
        <f>IFERROR(__xludf.DUMMYFUNCTION("""COMPUTED_VALUE"""),45.0)</f>
        <v>45</v>
      </c>
      <c r="AE219" s="1">
        <f>IFERROR(__xludf.DUMMYFUNCTION("""COMPUTED_VALUE"""),40.0)</f>
        <v>40</v>
      </c>
      <c r="AF219" s="1">
        <f>IFERROR(__xludf.DUMMYFUNCTION("""COMPUTED_VALUE"""),446.290008544921)</f>
        <v>446.2900085</v>
      </c>
      <c r="AG219" s="1"/>
      <c r="AH219" s="1"/>
      <c r="AI219" s="1">
        <f>IFERROR(__xludf.DUMMYFUNCTION("""COMPUTED_VALUE"""),0.0)</f>
        <v>0</v>
      </c>
      <c r="AJ219" s="1"/>
      <c r="AK219" s="1"/>
      <c r="AL219" s="1">
        <f>IFERROR(__xludf.DUMMYFUNCTION("""COMPUTED_VALUE"""),0.0)</f>
        <v>0</v>
      </c>
      <c r="AM219" s="1">
        <f>IFERROR(__xludf.DUMMYFUNCTION("""COMPUTED_VALUE"""),242.0)</f>
        <v>242</v>
      </c>
      <c r="AN219" s="1">
        <f>IFERROR(__xludf.DUMMYFUNCTION("""COMPUTED_VALUE"""),320.0)</f>
        <v>320</v>
      </c>
      <c r="AO219" s="1">
        <f>IFERROR(__xludf.DUMMYFUNCTION("""COMPUTED_VALUE"""),450.0)</f>
        <v>450</v>
      </c>
      <c r="AP219" s="1">
        <f>IFERROR(__xludf.DUMMYFUNCTION("""COMPUTED_VALUE"""),376.0)</f>
        <v>376</v>
      </c>
      <c r="AQ219" s="1"/>
      <c r="AR219" s="1"/>
      <c r="AS219" s="1">
        <f>IFERROR(__xludf.DUMMYFUNCTION("""COMPUTED_VALUE"""),0.0)</f>
        <v>0</v>
      </c>
    </row>
    <row r="220">
      <c r="A220" s="1" t="str">
        <f>IFERROR(__xludf.DUMMYFUNCTION("""COMPUTED_VALUE"""),"MTP")</f>
        <v>MTP</v>
      </c>
      <c r="B220" s="1"/>
      <c r="C220" s="1"/>
      <c r="D220" s="1">
        <f>IFERROR(__xludf.DUMMYFUNCTION("""COMPUTED_VALUE"""),1800.0)</f>
        <v>1800</v>
      </c>
      <c r="E220" s="1">
        <f>IFERROR(__xludf.DUMMYFUNCTION("""COMPUTED_VALUE"""),1376.0)</f>
        <v>1376</v>
      </c>
      <c r="F220" s="1">
        <f>IFERROR(__xludf.DUMMYFUNCTION("""COMPUTED_VALUE"""),1800.0)</f>
        <v>1800</v>
      </c>
      <c r="G220" s="1">
        <f>IFERROR(__xludf.DUMMYFUNCTION("""COMPUTED_VALUE"""),27712.0)</f>
        <v>27712</v>
      </c>
      <c r="H220" s="1">
        <f>IFERROR(__xludf.DUMMYFUNCTION("""COMPUTED_VALUE"""),21.0)</f>
        <v>21</v>
      </c>
      <c r="I220" s="1">
        <f>IFERROR(__xludf.DUMMYFUNCTION("""COMPUTED_VALUE"""),1500.0)</f>
        <v>1500</v>
      </c>
      <c r="J220" s="1">
        <f>IFERROR(__xludf.DUMMYFUNCTION("""COMPUTED_VALUE"""),483.0)</f>
        <v>483</v>
      </c>
      <c r="K220" s="1">
        <f>IFERROR(__xludf.DUMMYFUNCTION("""COMPUTED_VALUE"""),1480.0)</f>
        <v>1480</v>
      </c>
      <c r="L220" s="1">
        <f>IFERROR(__xludf.DUMMYFUNCTION("""COMPUTED_VALUE"""),390.0)</f>
        <v>390</v>
      </c>
      <c r="M220" s="1">
        <f>IFERROR(__xludf.DUMMYFUNCTION("""COMPUTED_VALUE"""),1480.0)</f>
        <v>1480</v>
      </c>
      <c r="N220" s="1">
        <f>IFERROR(__xludf.DUMMYFUNCTION("""COMPUTED_VALUE"""),11991.0)</f>
        <v>11991</v>
      </c>
      <c r="O220" s="1">
        <f>IFERROR(__xludf.DUMMYFUNCTION("""COMPUTED_VALUE"""),3.0)</f>
        <v>3</v>
      </c>
      <c r="P220" s="1">
        <f>IFERROR(__xludf.DUMMYFUNCTION("""COMPUTED_VALUE"""),501.0)</f>
        <v>501</v>
      </c>
      <c r="Q220" s="1">
        <f>IFERROR(__xludf.DUMMYFUNCTION("""COMPUTED_VALUE"""),138.0)</f>
        <v>138</v>
      </c>
      <c r="R220" s="1">
        <f>IFERROR(__xludf.DUMMYFUNCTION("""COMPUTED_VALUE"""),3000.0)</f>
        <v>3000</v>
      </c>
      <c r="S220" s="1"/>
      <c r="T220" s="1"/>
      <c r="U220" s="1">
        <f>IFERROR(__xludf.DUMMYFUNCTION("""COMPUTED_VALUE"""),0.0)</f>
        <v>0</v>
      </c>
      <c r="V220" s="1"/>
      <c r="W220" s="1"/>
      <c r="X220" s="1">
        <f>IFERROR(__xludf.DUMMYFUNCTION("""COMPUTED_VALUE"""),0.0)</f>
        <v>0</v>
      </c>
      <c r="Y220" s="1">
        <f>IFERROR(__xludf.DUMMYFUNCTION("""COMPUTED_VALUE"""),1840.0)</f>
        <v>1840</v>
      </c>
      <c r="Z220" s="1">
        <f>IFERROR(__xludf.DUMMYFUNCTION("""COMPUTED_VALUE"""),877.0)</f>
        <v>877</v>
      </c>
      <c r="AA220" s="1">
        <f>IFERROR(__xludf.DUMMYFUNCTION("""COMPUTED_VALUE"""),1840.0)</f>
        <v>1840</v>
      </c>
      <c r="AB220" s="1">
        <f>IFERROR(__xludf.DUMMYFUNCTION("""COMPUTED_VALUE"""),31845.0)</f>
        <v>31845</v>
      </c>
      <c r="AC220" s="1">
        <f>IFERROR(__xludf.DUMMYFUNCTION("""COMPUTED_VALUE"""),1000.0)</f>
        <v>1000</v>
      </c>
      <c r="AD220" s="1">
        <f>IFERROR(__xludf.DUMMYFUNCTION("""COMPUTED_VALUE"""),1400.0)</f>
        <v>1400</v>
      </c>
      <c r="AE220" s="1">
        <f>IFERROR(__xludf.DUMMYFUNCTION("""COMPUTED_VALUE"""),2300.0)</f>
        <v>2300</v>
      </c>
      <c r="AF220" s="1">
        <f>IFERROR(__xludf.DUMMYFUNCTION("""COMPUTED_VALUE"""),1019.34002685546)</f>
        <v>1019.340027</v>
      </c>
      <c r="AG220" s="1"/>
      <c r="AH220" s="1"/>
      <c r="AI220" s="1">
        <f>IFERROR(__xludf.DUMMYFUNCTION("""COMPUTED_VALUE"""),0.0)</f>
        <v>0</v>
      </c>
      <c r="AJ220" s="1"/>
      <c r="AK220" s="1"/>
      <c r="AL220" s="1">
        <f>IFERROR(__xludf.DUMMYFUNCTION("""COMPUTED_VALUE"""),0.0)</f>
        <v>0</v>
      </c>
      <c r="AM220" s="1">
        <f>IFERROR(__xludf.DUMMYFUNCTION("""COMPUTED_VALUE"""),1790.0)</f>
        <v>1790</v>
      </c>
      <c r="AN220" s="1">
        <f>IFERROR(__xludf.DUMMYFUNCTION("""COMPUTED_VALUE"""),352.0)</f>
        <v>352</v>
      </c>
      <c r="AO220" s="1">
        <f>IFERROR(__xludf.DUMMYFUNCTION("""COMPUTED_VALUE"""),1790.0)</f>
        <v>1790</v>
      </c>
      <c r="AP220" s="1">
        <f>IFERROR(__xludf.DUMMYFUNCTION("""COMPUTED_VALUE"""),12697.0)</f>
        <v>12697</v>
      </c>
      <c r="AQ220" s="1"/>
      <c r="AR220" s="1"/>
      <c r="AS220" s="1">
        <f>IFERROR(__xludf.DUMMYFUNCTION("""COMPUTED_VALUE"""),0.0)</f>
        <v>0</v>
      </c>
    </row>
    <row r="221">
      <c r="A221" s="1" t="str">
        <f>IFERROR(__xludf.DUMMYFUNCTION("""COMPUTED_VALUE"""),"MUS")</f>
        <v>MUS</v>
      </c>
      <c r="B221" s="1"/>
      <c r="C221" s="1"/>
      <c r="D221" s="1">
        <f>IFERROR(__xludf.DUMMYFUNCTION("""COMPUTED_VALUE"""),289.739990234375)</f>
        <v>289.7399902</v>
      </c>
      <c r="E221" s="1">
        <f>IFERROR(__xludf.DUMMYFUNCTION("""COMPUTED_VALUE"""),3572.0)</f>
        <v>3572</v>
      </c>
      <c r="F221" s="1">
        <f>IFERROR(__xludf.DUMMYFUNCTION("""COMPUTED_VALUE"""),290.0)</f>
        <v>290</v>
      </c>
      <c r="G221" s="1">
        <f>IFERROR(__xludf.DUMMYFUNCTION("""COMPUTED_VALUE"""),50206.0)</f>
        <v>50206</v>
      </c>
      <c r="H221" s="1">
        <f>IFERROR(__xludf.DUMMYFUNCTION("""COMPUTED_VALUE"""),2000.0)</f>
        <v>2000</v>
      </c>
      <c r="I221" s="1">
        <f>IFERROR(__xludf.DUMMYFUNCTION("""COMPUTED_VALUE"""),265.0)</f>
        <v>265</v>
      </c>
      <c r="J221" s="1">
        <f>IFERROR(__xludf.DUMMYFUNCTION("""COMPUTED_VALUE"""),11961.0)</f>
        <v>11961</v>
      </c>
      <c r="K221" s="1">
        <f>IFERROR(__xludf.DUMMYFUNCTION("""COMPUTED_VALUE"""),300.0)</f>
        <v>300</v>
      </c>
      <c r="L221" s="1">
        <f>IFERROR(__xludf.DUMMYFUNCTION("""COMPUTED_VALUE"""),457.0)</f>
        <v>457</v>
      </c>
      <c r="M221" s="1">
        <f>IFERROR(__xludf.DUMMYFUNCTION("""COMPUTED_VALUE"""),300.0)</f>
        <v>300</v>
      </c>
      <c r="N221" s="1">
        <f>IFERROR(__xludf.DUMMYFUNCTION("""COMPUTED_VALUE"""),13259.0)</f>
        <v>13259</v>
      </c>
      <c r="O221" s="1">
        <f>IFERROR(__xludf.DUMMYFUNCTION("""COMPUTED_VALUE"""),825.0)</f>
        <v>825</v>
      </c>
      <c r="P221" s="1">
        <f>IFERROR(__xludf.DUMMYFUNCTION("""COMPUTED_VALUE"""),250.0)</f>
        <v>250</v>
      </c>
      <c r="Q221" s="1">
        <f>IFERROR(__xludf.DUMMYFUNCTION("""COMPUTED_VALUE"""),6909.0)</f>
        <v>6909</v>
      </c>
      <c r="R221" s="1">
        <f>IFERROR(__xludf.DUMMYFUNCTION("""COMPUTED_VALUE"""),170.350006103515)</f>
        <v>170.3500061</v>
      </c>
      <c r="S221" s="1"/>
      <c r="T221" s="1"/>
      <c r="U221" s="1">
        <f>IFERROR(__xludf.DUMMYFUNCTION("""COMPUTED_VALUE"""),0.0)</f>
        <v>0</v>
      </c>
      <c r="V221" s="1"/>
      <c r="W221" s="1"/>
      <c r="X221" s="1">
        <f>IFERROR(__xludf.DUMMYFUNCTION("""COMPUTED_VALUE"""),0.0)</f>
        <v>0</v>
      </c>
      <c r="Y221" s="1">
        <f>IFERROR(__xludf.DUMMYFUNCTION("""COMPUTED_VALUE"""),387.0)</f>
        <v>387</v>
      </c>
      <c r="Z221" s="1">
        <f>IFERROR(__xludf.DUMMYFUNCTION("""COMPUTED_VALUE"""),84.0)</f>
        <v>84</v>
      </c>
      <c r="AA221" s="1">
        <f>IFERROR(__xludf.DUMMYFUNCTION("""COMPUTED_VALUE"""),385.0)</f>
        <v>385</v>
      </c>
      <c r="AB221" s="1">
        <f>IFERROR(__xludf.DUMMYFUNCTION("""COMPUTED_VALUE"""),22925.0)</f>
        <v>22925</v>
      </c>
      <c r="AC221" s="1">
        <f>IFERROR(__xludf.DUMMYFUNCTION("""COMPUTED_VALUE"""),8997.0)</f>
        <v>8997</v>
      </c>
      <c r="AD221" s="1">
        <f>IFERROR(__xludf.DUMMYFUNCTION("""COMPUTED_VALUE"""),300.0)</f>
        <v>300</v>
      </c>
      <c r="AE221" s="1">
        <f>IFERROR(__xludf.DUMMYFUNCTION("""COMPUTED_VALUE"""),10696.0)</f>
        <v>10696</v>
      </c>
      <c r="AF221" s="1">
        <f>IFERROR(__xludf.DUMMYFUNCTION("""COMPUTED_VALUE"""),170.350006103515)</f>
        <v>170.3500061</v>
      </c>
      <c r="AG221" s="1"/>
      <c r="AH221" s="1"/>
      <c r="AI221" s="1">
        <f>IFERROR(__xludf.DUMMYFUNCTION("""COMPUTED_VALUE"""),0.0)</f>
        <v>0</v>
      </c>
      <c r="AJ221" s="1"/>
      <c r="AK221" s="1"/>
      <c r="AL221" s="1">
        <f>IFERROR(__xludf.DUMMYFUNCTION("""COMPUTED_VALUE"""),0.0)</f>
        <v>0</v>
      </c>
      <c r="AM221" s="1">
        <f>IFERROR(__xludf.DUMMYFUNCTION("""COMPUTED_VALUE"""),261.0)</f>
        <v>261</v>
      </c>
      <c r="AN221" s="1">
        <f>IFERROR(__xludf.DUMMYFUNCTION("""COMPUTED_VALUE"""),217.0)</f>
        <v>217</v>
      </c>
      <c r="AO221" s="1">
        <f>IFERROR(__xludf.DUMMYFUNCTION("""COMPUTED_VALUE"""),289.0)</f>
        <v>289</v>
      </c>
      <c r="AP221" s="1">
        <f>IFERROR(__xludf.DUMMYFUNCTION("""COMPUTED_VALUE"""),35532.0)</f>
        <v>35532</v>
      </c>
      <c r="AQ221" s="1">
        <f>IFERROR(__xludf.DUMMYFUNCTION("""COMPUTED_VALUE"""),1000.0)</f>
        <v>1000</v>
      </c>
      <c r="AR221" s="1">
        <f>IFERROR(__xludf.DUMMYFUNCTION("""COMPUTED_VALUE"""),260.0)</f>
        <v>260</v>
      </c>
      <c r="AS221" s="1">
        <f>IFERROR(__xludf.DUMMYFUNCTION("""COMPUTED_VALUE"""),12019.0)</f>
        <v>12019</v>
      </c>
    </row>
    <row r="222">
      <c r="A222" s="1" t="str">
        <f>IFERROR(__xludf.DUMMYFUNCTION("""COMPUTED_VALUE"""),"MWF")</f>
        <v>MWF</v>
      </c>
      <c r="B222" s="1"/>
      <c r="C222" s="1"/>
      <c r="D222" s="1">
        <f>IFERROR(__xludf.DUMMYFUNCTION("""COMPUTED_VALUE"""),349.0)</f>
        <v>349</v>
      </c>
      <c r="E222" s="1">
        <f>IFERROR(__xludf.DUMMYFUNCTION("""COMPUTED_VALUE"""),448.0)</f>
        <v>448</v>
      </c>
      <c r="F222" s="1">
        <f>IFERROR(__xludf.DUMMYFUNCTION("""COMPUTED_VALUE"""),349.0)</f>
        <v>349</v>
      </c>
      <c r="G222" s="1">
        <f>IFERROR(__xludf.DUMMYFUNCTION("""COMPUTED_VALUE"""),7000.0)</f>
        <v>7000</v>
      </c>
      <c r="H222" s="1">
        <f>IFERROR(__xludf.DUMMYFUNCTION("""COMPUTED_VALUE"""),123.0)</f>
        <v>123</v>
      </c>
      <c r="I222" s="1">
        <f>IFERROR(__xludf.DUMMYFUNCTION("""COMPUTED_VALUE"""),251.0)</f>
        <v>251</v>
      </c>
      <c r="J222" s="1">
        <f>IFERROR(__xludf.DUMMYFUNCTION("""COMPUTED_VALUE"""),101593.0)</f>
        <v>101593</v>
      </c>
      <c r="K222" s="1">
        <f>IFERROR(__xludf.DUMMYFUNCTION("""COMPUTED_VALUE"""),100.0)</f>
        <v>100</v>
      </c>
      <c r="L222" s="1">
        <f>IFERROR(__xludf.DUMMYFUNCTION("""COMPUTED_VALUE"""),246.0)</f>
        <v>246</v>
      </c>
      <c r="M222" s="1">
        <f>IFERROR(__xludf.DUMMYFUNCTION("""COMPUTED_VALUE"""),349.0)</f>
        <v>349</v>
      </c>
      <c r="N222" s="1">
        <f>IFERROR(__xludf.DUMMYFUNCTION("""COMPUTED_VALUE"""),1504.0)</f>
        <v>1504</v>
      </c>
      <c r="O222" s="1">
        <f>IFERROR(__xludf.DUMMYFUNCTION("""COMPUTED_VALUE"""),720.0)</f>
        <v>720</v>
      </c>
      <c r="P222" s="1">
        <f>IFERROR(__xludf.DUMMYFUNCTION("""COMPUTED_VALUE"""),100.0)</f>
        <v>100</v>
      </c>
      <c r="Q222" s="1">
        <f>IFERROR(__xludf.DUMMYFUNCTION("""COMPUTED_VALUE"""),100720.0)</f>
        <v>100720</v>
      </c>
      <c r="R222" s="1">
        <f>IFERROR(__xludf.DUMMYFUNCTION("""COMPUTED_VALUE"""),300.0)</f>
        <v>300</v>
      </c>
      <c r="S222" s="1"/>
      <c r="T222" s="1"/>
      <c r="U222" s="1">
        <f>IFERROR(__xludf.DUMMYFUNCTION("""COMPUTED_VALUE"""),0.0)</f>
        <v>0</v>
      </c>
      <c r="V222" s="1"/>
      <c r="W222" s="1"/>
      <c r="X222" s="1">
        <f>IFERROR(__xludf.DUMMYFUNCTION("""COMPUTED_VALUE"""),0.0)</f>
        <v>0</v>
      </c>
      <c r="Y222" s="1">
        <f>IFERROR(__xludf.DUMMYFUNCTION("""COMPUTED_VALUE"""),232.229995727539)</f>
        <v>232.2299957</v>
      </c>
      <c r="Z222" s="1">
        <f>IFERROR(__xludf.DUMMYFUNCTION("""COMPUTED_VALUE"""),1000.0)</f>
        <v>1000</v>
      </c>
      <c r="AA222" s="1">
        <f>IFERROR(__xludf.DUMMYFUNCTION("""COMPUTED_VALUE"""),310.0)</f>
        <v>310</v>
      </c>
      <c r="AB222" s="1">
        <f>IFERROR(__xludf.DUMMYFUNCTION("""COMPUTED_VALUE"""),9797.0)</f>
        <v>9797</v>
      </c>
      <c r="AC222" s="1">
        <f>IFERROR(__xludf.DUMMYFUNCTION("""COMPUTED_VALUE"""),1000.0)</f>
        <v>1000</v>
      </c>
      <c r="AD222" s="1">
        <f>IFERROR(__xludf.DUMMYFUNCTION("""COMPUTED_VALUE"""),240.0)</f>
        <v>240</v>
      </c>
      <c r="AE222" s="1">
        <f>IFERROR(__xludf.DUMMYFUNCTION("""COMPUTED_VALUE"""),103848.0)</f>
        <v>103848</v>
      </c>
      <c r="AF222" s="1">
        <f>IFERROR(__xludf.DUMMYFUNCTION("""COMPUTED_VALUE"""),186.979995727539)</f>
        <v>186.9799957</v>
      </c>
      <c r="AG222" s="1">
        <f>IFERROR(__xludf.DUMMYFUNCTION("""COMPUTED_VALUE"""),100.0)</f>
        <v>100</v>
      </c>
      <c r="AH222" s="1">
        <f>IFERROR(__xludf.DUMMYFUNCTION("""COMPUTED_VALUE"""),410.0)</f>
        <v>410</v>
      </c>
      <c r="AI222" s="1">
        <f>IFERROR(__xludf.DUMMYFUNCTION("""COMPUTED_VALUE"""),100.0)</f>
        <v>100</v>
      </c>
      <c r="AJ222" s="1"/>
      <c r="AK222" s="1"/>
      <c r="AL222" s="1">
        <f>IFERROR(__xludf.DUMMYFUNCTION("""COMPUTED_VALUE"""),0.0)</f>
        <v>0</v>
      </c>
      <c r="AM222" s="1">
        <f>IFERROR(__xludf.DUMMYFUNCTION("""COMPUTED_VALUE"""),500.0)</f>
        <v>500</v>
      </c>
      <c r="AN222" s="1">
        <f>IFERROR(__xludf.DUMMYFUNCTION("""COMPUTED_VALUE"""),319.0)</f>
        <v>319</v>
      </c>
      <c r="AO222" s="1">
        <f>IFERROR(__xludf.DUMMYFUNCTION("""COMPUTED_VALUE"""),499.0)</f>
        <v>499</v>
      </c>
      <c r="AP222" s="1">
        <f>IFERROR(__xludf.DUMMYFUNCTION("""COMPUTED_VALUE"""),4269.0)</f>
        <v>4269</v>
      </c>
      <c r="AQ222" s="1">
        <f>IFERROR(__xludf.DUMMYFUNCTION("""COMPUTED_VALUE"""),100.0)</f>
        <v>100</v>
      </c>
      <c r="AR222" s="1">
        <f>IFERROR(__xludf.DUMMYFUNCTION("""COMPUTED_VALUE"""),30.0)</f>
        <v>30</v>
      </c>
      <c r="AS222" s="1">
        <f>IFERROR(__xludf.DUMMYFUNCTION("""COMPUTED_VALUE"""),100100.0)</f>
        <v>100100</v>
      </c>
    </row>
    <row r="223">
      <c r="A223" s="1" t="str">
        <f>IFERROR(__xludf.DUMMYFUNCTION("""COMPUTED_VALUE"""),"N")</f>
        <v>N</v>
      </c>
      <c r="B223" s="1">
        <f>IFERROR(__xludf.DUMMYFUNCTION("""COMPUTED_VALUE"""),33.0)</f>
        <v>33</v>
      </c>
      <c r="C223" s="1"/>
      <c r="D223" s="1">
        <f>IFERROR(__xludf.DUMMYFUNCTION("""COMPUTED_VALUE"""),125.0)</f>
        <v>125</v>
      </c>
      <c r="E223" s="1">
        <f>IFERROR(__xludf.DUMMYFUNCTION("""COMPUTED_VALUE"""),87196.0)</f>
        <v>87196</v>
      </c>
      <c r="F223" s="1">
        <f>IFERROR(__xludf.DUMMYFUNCTION("""COMPUTED_VALUE"""),125.0)</f>
        <v>125</v>
      </c>
      <c r="G223" s="1">
        <f>IFERROR(__xludf.DUMMYFUNCTION("""COMPUTED_VALUE"""),217998.0)</f>
        <v>217998</v>
      </c>
      <c r="H223" s="1">
        <f>IFERROR(__xludf.DUMMYFUNCTION("""COMPUTED_VALUE"""),31554.0)</f>
        <v>31554</v>
      </c>
      <c r="I223" s="1">
        <f>IFERROR(__xludf.DUMMYFUNCTION("""COMPUTED_VALUE"""),124.0)</f>
        <v>124</v>
      </c>
      <c r="J223" s="1">
        <f>IFERROR(__xludf.DUMMYFUNCTION("""COMPUTED_VALUE"""),442881.0)</f>
        <v>442881</v>
      </c>
      <c r="K223" s="1">
        <f>IFERROR(__xludf.DUMMYFUNCTION("""COMPUTED_VALUE"""),138.0)</f>
        <v>138</v>
      </c>
      <c r="L223" s="1">
        <f>IFERROR(__xludf.DUMMYFUNCTION("""COMPUTED_VALUE"""),274.0)</f>
        <v>274</v>
      </c>
      <c r="M223" s="1">
        <f>IFERROR(__xludf.DUMMYFUNCTION("""COMPUTED_VALUE"""),137.0)</f>
        <v>137</v>
      </c>
      <c r="N223" s="1">
        <f>IFERROR(__xludf.DUMMYFUNCTION("""COMPUTED_VALUE"""),39470.0)</f>
        <v>39470</v>
      </c>
      <c r="O223" s="1">
        <f>IFERROR(__xludf.DUMMYFUNCTION("""COMPUTED_VALUE"""),2426.0)</f>
        <v>2426</v>
      </c>
      <c r="P223" s="1">
        <f>IFERROR(__xludf.DUMMYFUNCTION("""COMPUTED_VALUE"""),112.0)</f>
        <v>112</v>
      </c>
      <c r="Q223" s="1">
        <f>IFERROR(__xludf.DUMMYFUNCTION("""COMPUTED_VALUE"""),34635.0)</f>
        <v>34635</v>
      </c>
      <c r="R223" s="1">
        <f>IFERROR(__xludf.DUMMYFUNCTION("""COMPUTED_VALUE"""),130.0)</f>
        <v>130</v>
      </c>
      <c r="S223" s="1">
        <f>IFERROR(__xludf.DUMMYFUNCTION("""COMPUTED_VALUE"""),213.0)</f>
        <v>213</v>
      </c>
      <c r="T223" s="1">
        <f>IFERROR(__xludf.DUMMYFUNCTION("""COMPUTED_VALUE"""),130.0)</f>
        <v>130</v>
      </c>
      <c r="U223" s="1">
        <f>IFERROR(__xludf.DUMMYFUNCTION("""COMPUTED_VALUE"""),213.0)</f>
        <v>213</v>
      </c>
      <c r="V223" s="1">
        <f>IFERROR(__xludf.DUMMYFUNCTION("""COMPUTED_VALUE"""),1000.0)</f>
        <v>1000</v>
      </c>
      <c r="W223" s="1">
        <f>IFERROR(__xludf.DUMMYFUNCTION("""COMPUTED_VALUE"""),100.0)</f>
        <v>100</v>
      </c>
      <c r="X223" s="1">
        <f>IFERROR(__xludf.DUMMYFUNCTION("""COMPUTED_VALUE"""),1500.0)</f>
        <v>1500</v>
      </c>
      <c r="Y223" s="1">
        <f>IFERROR(__xludf.DUMMYFUNCTION("""COMPUTED_VALUE"""),140.0)</f>
        <v>140</v>
      </c>
      <c r="Z223" s="1">
        <f>IFERROR(__xludf.DUMMYFUNCTION("""COMPUTED_VALUE"""),4170.0)</f>
        <v>4170</v>
      </c>
      <c r="AA223" s="1">
        <f>IFERROR(__xludf.DUMMYFUNCTION("""COMPUTED_VALUE"""),140.0)</f>
        <v>140</v>
      </c>
      <c r="AB223" s="1">
        <f>IFERROR(__xludf.DUMMYFUNCTION("""COMPUTED_VALUE"""),81132.0)</f>
        <v>81132</v>
      </c>
      <c r="AC223" s="1">
        <f>IFERROR(__xludf.DUMMYFUNCTION("""COMPUTED_VALUE"""),4000.0)</f>
        <v>4000</v>
      </c>
      <c r="AD223" s="1">
        <f>IFERROR(__xludf.DUMMYFUNCTION("""COMPUTED_VALUE"""),107.0)</f>
        <v>107</v>
      </c>
      <c r="AE223" s="1">
        <f>IFERROR(__xludf.DUMMYFUNCTION("""COMPUTED_VALUE"""),88478.0)</f>
        <v>88478</v>
      </c>
      <c r="AF223" s="1">
        <f>IFERROR(__xludf.DUMMYFUNCTION("""COMPUTED_VALUE"""),97.0)</f>
        <v>97</v>
      </c>
      <c r="AG223" s="1">
        <f>IFERROR(__xludf.DUMMYFUNCTION("""COMPUTED_VALUE"""),2250.0)</f>
        <v>2250</v>
      </c>
      <c r="AH223" s="1">
        <f>IFERROR(__xludf.DUMMYFUNCTION("""COMPUTED_VALUE"""),135.0)</f>
        <v>135</v>
      </c>
      <c r="AI223" s="1">
        <f>IFERROR(__xludf.DUMMYFUNCTION("""COMPUTED_VALUE"""),2250.0)</f>
        <v>2250</v>
      </c>
      <c r="AJ223" s="1">
        <f>IFERROR(__xludf.DUMMYFUNCTION("""COMPUTED_VALUE"""),900.0)</f>
        <v>900</v>
      </c>
      <c r="AK223" s="1">
        <f>IFERROR(__xludf.DUMMYFUNCTION("""COMPUTED_VALUE"""),90.0)</f>
        <v>90</v>
      </c>
      <c r="AL223" s="1">
        <f>IFERROR(__xludf.DUMMYFUNCTION("""COMPUTED_VALUE"""),900.0)</f>
        <v>900</v>
      </c>
      <c r="AM223" s="1">
        <f>IFERROR(__xludf.DUMMYFUNCTION("""COMPUTED_VALUE"""),160.0)</f>
        <v>160</v>
      </c>
      <c r="AN223" s="1">
        <f>IFERROR(__xludf.DUMMYFUNCTION("""COMPUTED_VALUE"""),389.0)</f>
        <v>389</v>
      </c>
      <c r="AO223" s="1">
        <f>IFERROR(__xludf.DUMMYFUNCTION("""COMPUTED_VALUE"""),145.0)</f>
        <v>145</v>
      </c>
      <c r="AP223" s="1">
        <f>IFERROR(__xludf.DUMMYFUNCTION("""COMPUTED_VALUE"""),27594.0)</f>
        <v>27594</v>
      </c>
      <c r="AQ223" s="1">
        <f>IFERROR(__xludf.DUMMYFUNCTION("""COMPUTED_VALUE"""),870.0)</f>
        <v>870</v>
      </c>
      <c r="AR223" s="1">
        <f>IFERROR(__xludf.DUMMYFUNCTION("""COMPUTED_VALUE"""),109.0)</f>
        <v>109</v>
      </c>
      <c r="AS223" s="1">
        <f>IFERROR(__xludf.DUMMYFUNCTION("""COMPUTED_VALUE"""),121434.0)</f>
        <v>121434</v>
      </c>
    </row>
    <row r="224">
      <c r="A224" s="1" t="str">
        <f>IFERROR(__xludf.DUMMYFUNCTION("""COMPUTED_VALUE"""),"NA")</f>
        <v>NA</v>
      </c>
      <c r="B224" s="1">
        <f>IFERROR(__xludf.DUMMYFUNCTION("""COMPUTED_VALUE"""),25.0)</f>
        <v>25</v>
      </c>
      <c r="C224" s="1"/>
      <c r="D224" s="1">
        <f>IFERROR(__xludf.DUMMYFUNCTION("""COMPUTED_VALUE"""),25.0)</f>
        <v>25</v>
      </c>
      <c r="E224" s="1">
        <f>IFERROR(__xludf.DUMMYFUNCTION("""COMPUTED_VALUE"""),5503.0)</f>
        <v>5503</v>
      </c>
      <c r="F224" s="1">
        <f>IFERROR(__xludf.DUMMYFUNCTION("""COMPUTED_VALUE"""),25.1000003814697)</f>
        <v>25.10000038</v>
      </c>
      <c r="G224" s="1">
        <f>IFERROR(__xludf.DUMMYFUNCTION("""COMPUTED_VALUE"""),270505.0)</f>
        <v>270505</v>
      </c>
      <c r="H224" s="1">
        <f>IFERROR(__xludf.DUMMYFUNCTION("""COMPUTED_VALUE"""),100.0)</f>
        <v>100</v>
      </c>
      <c r="I224" s="1">
        <f>IFERROR(__xludf.DUMMYFUNCTION("""COMPUTED_VALUE"""),25.0)</f>
        <v>25</v>
      </c>
      <c r="J224" s="1">
        <f>IFERROR(__xludf.DUMMYFUNCTION("""COMPUTED_VALUE"""),100.0)</f>
        <v>100</v>
      </c>
      <c r="K224" s="1">
        <f>IFERROR(__xludf.DUMMYFUNCTION("""COMPUTED_VALUE"""),25.0)</f>
        <v>25</v>
      </c>
      <c r="L224" s="1">
        <f>IFERROR(__xludf.DUMMYFUNCTION("""COMPUTED_VALUE"""),434.0)</f>
        <v>434</v>
      </c>
      <c r="M224" s="1">
        <f>IFERROR(__xludf.DUMMYFUNCTION("""COMPUTED_VALUE"""),25.5)</f>
        <v>25.5</v>
      </c>
      <c r="N224" s="1">
        <f>IFERROR(__xludf.DUMMYFUNCTION("""COMPUTED_VALUE"""),4494.0)</f>
        <v>4494</v>
      </c>
      <c r="O224" s="1">
        <f>IFERROR(__xludf.DUMMYFUNCTION("""COMPUTED_VALUE"""),100.0)</f>
        <v>100</v>
      </c>
      <c r="P224" s="1">
        <f>IFERROR(__xludf.DUMMYFUNCTION("""COMPUTED_VALUE"""),25.0)</f>
        <v>25</v>
      </c>
      <c r="Q224" s="1">
        <f>IFERROR(__xludf.DUMMYFUNCTION("""COMPUTED_VALUE"""),100.0)</f>
        <v>100</v>
      </c>
      <c r="R224" s="1">
        <f>IFERROR(__xludf.DUMMYFUNCTION("""COMPUTED_VALUE"""),25.1000003814697)</f>
        <v>25.10000038</v>
      </c>
      <c r="S224" s="1">
        <f>IFERROR(__xludf.DUMMYFUNCTION("""COMPUTED_VALUE"""),500.0)</f>
        <v>500</v>
      </c>
      <c r="T224" s="1">
        <f>IFERROR(__xludf.DUMMYFUNCTION("""COMPUTED_VALUE"""),25.1000003814697)</f>
        <v>25.10000038</v>
      </c>
      <c r="U224" s="1">
        <f>IFERROR(__xludf.DUMMYFUNCTION("""COMPUTED_VALUE"""),1000.0)</f>
        <v>1000</v>
      </c>
      <c r="V224" s="1">
        <f>IFERROR(__xludf.DUMMYFUNCTION("""COMPUTED_VALUE"""),412.0)</f>
        <v>412</v>
      </c>
      <c r="W224" s="1">
        <f>IFERROR(__xludf.DUMMYFUNCTION("""COMPUTED_VALUE"""),1.10000002384185)</f>
        <v>1.100000024</v>
      </c>
      <c r="X224" s="1">
        <f>IFERROR(__xludf.DUMMYFUNCTION("""COMPUTED_VALUE"""),5546.0)</f>
        <v>5546</v>
      </c>
      <c r="Y224" s="1">
        <f>IFERROR(__xludf.DUMMYFUNCTION("""COMPUTED_VALUE"""),25.0)</f>
        <v>25</v>
      </c>
      <c r="Z224" s="1">
        <f>IFERROR(__xludf.DUMMYFUNCTION("""COMPUTED_VALUE"""),2355.0)</f>
        <v>2355</v>
      </c>
      <c r="AA224" s="1">
        <f>IFERROR(__xludf.DUMMYFUNCTION("""COMPUTED_VALUE"""),25.1000003814697)</f>
        <v>25.10000038</v>
      </c>
      <c r="AB224" s="1">
        <f>IFERROR(__xludf.DUMMYFUNCTION("""COMPUTED_VALUE"""),125059.0)</f>
        <v>125059</v>
      </c>
      <c r="AC224" s="1">
        <f>IFERROR(__xludf.DUMMYFUNCTION("""COMPUTED_VALUE"""),100.0)</f>
        <v>100</v>
      </c>
      <c r="AD224" s="1">
        <f>IFERROR(__xludf.DUMMYFUNCTION("""COMPUTED_VALUE"""),25.0)</f>
        <v>25</v>
      </c>
      <c r="AE224" s="1">
        <f>IFERROR(__xludf.DUMMYFUNCTION("""COMPUTED_VALUE"""),100.0)</f>
        <v>100</v>
      </c>
      <c r="AF224" s="1">
        <f>IFERROR(__xludf.DUMMYFUNCTION("""COMPUTED_VALUE"""),18.0)</f>
        <v>18</v>
      </c>
      <c r="AG224" s="1">
        <f>IFERROR(__xludf.DUMMYFUNCTION("""COMPUTED_VALUE"""),124.0)</f>
        <v>124</v>
      </c>
      <c r="AH224" s="1">
        <f>IFERROR(__xludf.DUMMYFUNCTION("""COMPUTED_VALUE"""),17.0)</f>
        <v>17</v>
      </c>
      <c r="AI224" s="1">
        <f>IFERROR(__xludf.DUMMYFUNCTION("""COMPUTED_VALUE"""),2423.0)</f>
        <v>2423</v>
      </c>
      <c r="AJ224" s="1">
        <f>IFERROR(__xludf.DUMMYFUNCTION("""COMPUTED_VALUE"""),4871.0)</f>
        <v>4871</v>
      </c>
      <c r="AK224" s="1">
        <f>IFERROR(__xludf.DUMMYFUNCTION("""COMPUTED_VALUE"""),1.0)</f>
        <v>1</v>
      </c>
      <c r="AL224" s="1">
        <f>IFERROR(__xludf.DUMMYFUNCTION("""COMPUTED_VALUE"""),4871.0)</f>
        <v>4871</v>
      </c>
      <c r="AM224" s="1">
        <f>IFERROR(__xludf.DUMMYFUNCTION("""COMPUTED_VALUE"""),25.0)</f>
        <v>25</v>
      </c>
      <c r="AN224" s="1">
        <f>IFERROR(__xludf.DUMMYFUNCTION("""COMPUTED_VALUE"""),38672.0)</f>
        <v>38672</v>
      </c>
      <c r="AO224" s="1">
        <f>IFERROR(__xludf.DUMMYFUNCTION("""COMPUTED_VALUE"""),25.1000003814697)</f>
        <v>25.10000038</v>
      </c>
      <c r="AP224" s="1">
        <f>IFERROR(__xludf.DUMMYFUNCTION("""COMPUTED_VALUE"""),106130.0)</f>
        <v>106130</v>
      </c>
      <c r="AQ224" s="1">
        <f>IFERROR(__xludf.DUMMYFUNCTION("""COMPUTED_VALUE"""),100.0)</f>
        <v>100</v>
      </c>
      <c r="AR224" s="1">
        <f>IFERROR(__xludf.DUMMYFUNCTION("""COMPUTED_VALUE"""),25.0)</f>
        <v>25</v>
      </c>
      <c r="AS224" s="1">
        <f>IFERROR(__xludf.DUMMYFUNCTION("""COMPUTED_VALUE"""),100.0)</f>
        <v>100</v>
      </c>
    </row>
    <row r="225">
      <c r="A225" s="1" t="str">
        <f>IFERROR(__xludf.DUMMYFUNCTION("""COMPUTED_VALUE"""),"NAB")</f>
        <v>NAB</v>
      </c>
      <c r="B225" s="1"/>
      <c r="C225" s="1"/>
      <c r="D225" s="1">
        <f>IFERROR(__xludf.DUMMYFUNCTION("""COMPUTED_VALUE"""),150.0)</f>
        <v>150</v>
      </c>
      <c r="E225" s="1"/>
      <c r="F225" s="1"/>
      <c r="G225" s="1">
        <f>IFERROR(__xludf.DUMMYFUNCTION("""COMPUTED_VALUE"""),0.0)</f>
        <v>0</v>
      </c>
      <c r="H225" s="1">
        <f>IFERROR(__xludf.DUMMYFUNCTION("""COMPUTED_VALUE"""),1000.0)</f>
        <v>1000</v>
      </c>
      <c r="I225" s="1">
        <f>IFERROR(__xludf.DUMMYFUNCTION("""COMPUTED_VALUE"""),80.0)</f>
        <v>80</v>
      </c>
      <c r="J225" s="1">
        <f>IFERROR(__xludf.DUMMYFUNCTION("""COMPUTED_VALUE"""),1000.0)</f>
        <v>1000</v>
      </c>
      <c r="K225" s="1">
        <f>IFERROR(__xludf.DUMMYFUNCTION("""COMPUTED_VALUE"""),100.0)</f>
        <v>100</v>
      </c>
      <c r="L225" s="1">
        <f>IFERROR(__xludf.DUMMYFUNCTION("""COMPUTED_VALUE"""),311.0)</f>
        <v>311</v>
      </c>
      <c r="M225" s="1">
        <f>IFERROR(__xludf.DUMMYFUNCTION("""COMPUTED_VALUE"""),130.0)</f>
        <v>130</v>
      </c>
      <c r="N225" s="1">
        <f>IFERROR(__xludf.DUMMYFUNCTION("""COMPUTED_VALUE"""),3360.0)</f>
        <v>3360</v>
      </c>
      <c r="O225" s="1">
        <f>IFERROR(__xludf.DUMMYFUNCTION("""COMPUTED_VALUE"""),87.0)</f>
        <v>87</v>
      </c>
      <c r="P225" s="1">
        <f>IFERROR(__xludf.DUMMYFUNCTION("""COMPUTED_VALUE"""),100.0)</f>
        <v>100</v>
      </c>
      <c r="Q225" s="1">
        <f>IFERROR(__xludf.DUMMYFUNCTION("""COMPUTED_VALUE"""),1717.0)</f>
        <v>1717</v>
      </c>
      <c r="R225" s="1">
        <f>IFERROR(__xludf.DUMMYFUNCTION("""COMPUTED_VALUE"""),150.0)</f>
        <v>150</v>
      </c>
      <c r="S225" s="1">
        <f>IFERROR(__xludf.DUMMYFUNCTION("""COMPUTED_VALUE"""),62.0)</f>
        <v>62</v>
      </c>
      <c r="T225" s="1">
        <f>IFERROR(__xludf.DUMMYFUNCTION("""COMPUTED_VALUE"""),150.0)</f>
        <v>150</v>
      </c>
      <c r="U225" s="1">
        <f>IFERROR(__xludf.DUMMYFUNCTION("""COMPUTED_VALUE"""),62.0)</f>
        <v>62</v>
      </c>
      <c r="V225" s="1"/>
      <c r="W225" s="1"/>
      <c r="X225" s="1">
        <f>IFERROR(__xludf.DUMMYFUNCTION("""COMPUTED_VALUE"""),0.0)</f>
        <v>0</v>
      </c>
      <c r="Y225" s="1">
        <f>IFERROR(__xludf.DUMMYFUNCTION("""COMPUTED_VALUE"""),98.0)</f>
        <v>98</v>
      </c>
      <c r="Z225" s="1">
        <f>IFERROR(__xludf.DUMMYFUNCTION("""COMPUTED_VALUE"""),320.0)</f>
        <v>320</v>
      </c>
      <c r="AA225" s="1">
        <f>IFERROR(__xludf.DUMMYFUNCTION("""COMPUTED_VALUE"""),118.0)</f>
        <v>118</v>
      </c>
      <c r="AB225" s="1">
        <f>IFERROR(__xludf.DUMMYFUNCTION("""COMPUTED_VALUE"""),11924.0)</f>
        <v>11924</v>
      </c>
      <c r="AC225" s="1">
        <f>IFERROR(__xludf.DUMMYFUNCTION("""COMPUTED_VALUE"""),2619.0)</f>
        <v>2619</v>
      </c>
      <c r="AD225" s="1">
        <f>IFERROR(__xludf.DUMMYFUNCTION("""COMPUTED_VALUE"""),98.0)</f>
        <v>98</v>
      </c>
      <c r="AE225" s="1">
        <f>IFERROR(__xludf.DUMMYFUNCTION("""COMPUTED_VALUE"""),14951.0)</f>
        <v>14951</v>
      </c>
      <c r="AF225" s="1">
        <f>IFERROR(__xludf.DUMMYFUNCTION("""COMPUTED_VALUE"""),140.0)</f>
        <v>140</v>
      </c>
      <c r="AG225" s="1">
        <f>IFERROR(__xludf.DUMMYFUNCTION("""COMPUTED_VALUE"""),970.0)</f>
        <v>970</v>
      </c>
      <c r="AH225" s="1">
        <f>IFERROR(__xludf.DUMMYFUNCTION("""COMPUTED_VALUE"""),140.0)</f>
        <v>140</v>
      </c>
      <c r="AI225" s="1">
        <f>IFERROR(__xludf.DUMMYFUNCTION("""COMPUTED_VALUE"""),1030.0)</f>
        <v>1030</v>
      </c>
      <c r="AJ225" s="1">
        <f>IFERROR(__xludf.DUMMYFUNCTION("""COMPUTED_VALUE"""),180.0)</f>
        <v>180</v>
      </c>
      <c r="AK225" s="1">
        <f>IFERROR(__xludf.DUMMYFUNCTION("""COMPUTED_VALUE"""),70.0)</f>
        <v>70</v>
      </c>
      <c r="AL225" s="1">
        <f>IFERROR(__xludf.DUMMYFUNCTION("""COMPUTED_VALUE"""),180.0)</f>
        <v>180</v>
      </c>
      <c r="AM225" s="1">
        <f>IFERROR(__xludf.DUMMYFUNCTION("""COMPUTED_VALUE"""),75.0)</f>
        <v>75</v>
      </c>
      <c r="AN225" s="1">
        <f>IFERROR(__xludf.DUMMYFUNCTION("""COMPUTED_VALUE"""),9600.0)</f>
        <v>9600</v>
      </c>
      <c r="AO225" s="1">
        <f>IFERROR(__xludf.DUMMYFUNCTION("""COMPUTED_VALUE"""),120.0)</f>
        <v>120</v>
      </c>
      <c r="AP225" s="1">
        <f>IFERROR(__xludf.DUMMYFUNCTION("""COMPUTED_VALUE"""),17100.0)</f>
        <v>17100</v>
      </c>
      <c r="AQ225" s="1">
        <f>IFERROR(__xludf.DUMMYFUNCTION("""COMPUTED_VALUE"""),500.0)</f>
        <v>500</v>
      </c>
      <c r="AR225" s="1">
        <f>IFERROR(__xludf.DUMMYFUNCTION("""COMPUTED_VALUE"""),75.0)</f>
        <v>75</v>
      </c>
      <c r="AS225" s="1">
        <f>IFERROR(__xludf.DUMMYFUNCTION("""COMPUTED_VALUE"""),500.0)</f>
        <v>500</v>
      </c>
    </row>
    <row r="226">
      <c r="A226" s="1" t="str">
        <f>IFERROR(__xludf.DUMMYFUNCTION("""COMPUTED_VALUE"""),"NCS")</f>
        <v>NCS</v>
      </c>
      <c r="B226" s="1"/>
      <c r="C226" s="1"/>
      <c r="D226" s="1">
        <f>IFERROR(__xludf.DUMMYFUNCTION("""COMPUTED_VALUE"""),45.0)</f>
        <v>45</v>
      </c>
      <c r="E226" s="1">
        <f>IFERROR(__xludf.DUMMYFUNCTION("""COMPUTED_VALUE"""),30000.0)</f>
        <v>30000</v>
      </c>
      <c r="F226" s="1">
        <f>IFERROR(__xludf.DUMMYFUNCTION("""COMPUTED_VALUE"""),45.4000015258789)</f>
        <v>45.40000153</v>
      </c>
      <c r="G226" s="1">
        <f>IFERROR(__xludf.DUMMYFUNCTION("""COMPUTED_VALUE"""),118728.0)</f>
        <v>118728</v>
      </c>
      <c r="H226" s="1">
        <f>IFERROR(__xludf.DUMMYFUNCTION("""COMPUTED_VALUE"""),13187.0)</f>
        <v>13187</v>
      </c>
      <c r="I226" s="1">
        <f>IFERROR(__xludf.DUMMYFUNCTION("""COMPUTED_VALUE"""),45.0)</f>
        <v>45</v>
      </c>
      <c r="J226" s="1">
        <f>IFERROR(__xludf.DUMMYFUNCTION("""COMPUTED_VALUE"""),126606.0)</f>
        <v>126606</v>
      </c>
      <c r="K226" s="1">
        <f>IFERROR(__xludf.DUMMYFUNCTION("""COMPUTED_VALUE"""),44.0)</f>
        <v>44</v>
      </c>
      <c r="L226" s="1">
        <f>IFERROR(__xludf.DUMMYFUNCTION("""COMPUTED_VALUE"""),6900.0)</f>
        <v>6900</v>
      </c>
      <c r="M226" s="1">
        <f>IFERROR(__xludf.DUMMYFUNCTION("""COMPUTED_VALUE"""),49.9000015258789)</f>
        <v>49.90000153</v>
      </c>
      <c r="N226" s="1">
        <f>IFERROR(__xludf.DUMMYFUNCTION("""COMPUTED_VALUE"""),26900.0)</f>
        <v>26900</v>
      </c>
      <c r="O226" s="1">
        <f>IFERROR(__xludf.DUMMYFUNCTION("""COMPUTED_VALUE"""),2026.0)</f>
        <v>2026</v>
      </c>
      <c r="P226" s="1">
        <f>IFERROR(__xludf.DUMMYFUNCTION("""COMPUTED_VALUE"""),44.0)</f>
        <v>44</v>
      </c>
      <c r="Q226" s="1">
        <f>IFERROR(__xludf.DUMMYFUNCTION("""COMPUTED_VALUE"""),36738.0)</f>
        <v>36738</v>
      </c>
      <c r="R226" s="1">
        <f>IFERROR(__xludf.DUMMYFUNCTION("""COMPUTED_VALUE"""),90.0)</f>
        <v>90</v>
      </c>
      <c r="S226" s="1">
        <f>IFERROR(__xludf.DUMMYFUNCTION("""COMPUTED_VALUE"""),992.0)</f>
        <v>992</v>
      </c>
      <c r="T226" s="1">
        <f>IFERROR(__xludf.DUMMYFUNCTION("""COMPUTED_VALUE"""),90.0)</f>
        <v>90</v>
      </c>
      <c r="U226" s="1">
        <f>IFERROR(__xludf.DUMMYFUNCTION("""COMPUTED_VALUE"""),1992.0)</f>
        <v>1992</v>
      </c>
      <c r="V226" s="1"/>
      <c r="W226" s="1"/>
      <c r="X226" s="1">
        <f>IFERROR(__xludf.DUMMYFUNCTION("""COMPUTED_VALUE"""),0.0)</f>
        <v>0</v>
      </c>
      <c r="Y226" s="1">
        <f>IFERROR(__xludf.DUMMYFUNCTION("""COMPUTED_VALUE"""),42.9099998474121)</f>
        <v>42.90999985</v>
      </c>
      <c r="Z226" s="1">
        <f>IFERROR(__xludf.DUMMYFUNCTION("""COMPUTED_VALUE"""),11331.0)</f>
        <v>11331</v>
      </c>
      <c r="AA226" s="1">
        <f>IFERROR(__xludf.DUMMYFUNCTION("""COMPUTED_VALUE"""),43.9000015258789)</f>
        <v>43.90000153</v>
      </c>
      <c r="AB226" s="1">
        <f>IFERROR(__xludf.DUMMYFUNCTION("""COMPUTED_VALUE"""),581063.0)</f>
        <v>581063</v>
      </c>
      <c r="AC226" s="1">
        <f>IFERROR(__xludf.DUMMYFUNCTION("""COMPUTED_VALUE"""),15000.0)</f>
        <v>15000</v>
      </c>
      <c r="AD226" s="1">
        <f>IFERROR(__xludf.DUMMYFUNCTION("""COMPUTED_VALUE"""),37.0)</f>
        <v>37</v>
      </c>
      <c r="AE226" s="1">
        <f>IFERROR(__xludf.DUMMYFUNCTION("""COMPUTED_VALUE"""),204799.0)</f>
        <v>204799</v>
      </c>
      <c r="AF226" s="1">
        <f>IFERROR(__xludf.DUMMYFUNCTION("""COMPUTED_VALUE"""),50.0)</f>
        <v>50</v>
      </c>
      <c r="AG226" s="1">
        <f>IFERROR(__xludf.DUMMYFUNCTION("""COMPUTED_VALUE"""),3450.0)</f>
        <v>3450</v>
      </c>
      <c r="AH226" s="1">
        <f>IFERROR(__xludf.DUMMYFUNCTION("""COMPUTED_VALUE"""),50.0)</f>
        <v>50</v>
      </c>
      <c r="AI226" s="1">
        <f>IFERROR(__xludf.DUMMYFUNCTION("""COMPUTED_VALUE"""),3455.0)</f>
        <v>3455</v>
      </c>
      <c r="AJ226" s="1"/>
      <c r="AK226" s="1"/>
      <c r="AL226" s="1">
        <f>IFERROR(__xludf.DUMMYFUNCTION("""COMPUTED_VALUE"""),0.0)</f>
        <v>0</v>
      </c>
      <c r="AM226" s="1">
        <f>IFERROR(__xludf.DUMMYFUNCTION("""COMPUTED_VALUE"""),41.0)</f>
        <v>41</v>
      </c>
      <c r="AN226" s="1">
        <f>IFERROR(__xludf.DUMMYFUNCTION("""COMPUTED_VALUE"""),12341.0)</f>
        <v>12341</v>
      </c>
      <c r="AO226" s="1">
        <f>IFERROR(__xludf.DUMMYFUNCTION("""COMPUTED_VALUE"""),42.0)</f>
        <v>42</v>
      </c>
      <c r="AP226" s="1">
        <f>IFERROR(__xludf.DUMMYFUNCTION("""COMPUTED_VALUE"""),163738.0)</f>
        <v>163738</v>
      </c>
      <c r="AQ226" s="1">
        <f>IFERROR(__xludf.DUMMYFUNCTION("""COMPUTED_VALUE"""),10000.0)</f>
        <v>10000</v>
      </c>
      <c r="AR226" s="1">
        <f>IFERROR(__xludf.DUMMYFUNCTION("""COMPUTED_VALUE"""),37.5)</f>
        <v>37.5</v>
      </c>
      <c r="AS226" s="1">
        <f>IFERROR(__xludf.DUMMYFUNCTION("""COMPUTED_VALUE"""),50103.0)</f>
        <v>50103</v>
      </c>
    </row>
    <row r="227">
      <c r="A227" s="1" t="str">
        <f>IFERROR(__xludf.DUMMYFUNCTION("""COMPUTED_VALUE"""),"NE")</f>
        <v>NE</v>
      </c>
      <c r="B227" s="1">
        <f>IFERROR(__xludf.DUMMYFUNCTION("""COMPUTED_VALUE"""),150.0)</f>
        <v>150</v>
      </c>
      <c r="C227" s="1"/>
      <c r="D227" s="1">
        <f>IFERROR(__xludf.DUMMYFUNCTION("""COMPUTED_VALUE"""),300.0)</f>
        <v>300</v>
      </c>
      <c r="E227" s="1">
        <f>IFERROR(__xludf.DUMMYFUNCTION("""COMPUTED_VALUE"""),76263.0)</f>
        <v>76263</v>
      </c>
      <c r="F227" s="1">
        <f>IFERROR(__xludf.DUMMYFUNCTION("""COMPUTED_VALUE"""),300.0)</f>
        <v>300</v>
      </c>
      <c r="G227" s="1">
        <f>IFERROR(__xludf.DUMMYFUNCTION("""COMPUTED_VALUE"""),83322.0)</f>
        <v>83322</v>
      </c>
      <c r="H227" s="1">
        <f>IFERROR(__xludf.DUMMYFUNCTION("""COMPUTED_VALUE"""),1000.0)</f>
        <v>1000</v>
      </c>
      <c r="I227" s="1">
        <f>IFERROR(__xludf.DUMMYFUNCTION("""COMPUTED_VALUE"""),234.0)</f>
        <v>234</v>
      </c>
      <c r="J227" s="1">
        <f>IFERROR(__xludf.DUMMYFUNCTION("""COMPUTED_VALUE"""),3997.0)</f>
        <v>3997</v>
      </c>
      <c r="K227" s="1">
        <f>IFERROR(__xludf.DUMMYFUNCTION("""COMPUTED_VALUE"""),488.0)</f>
        <v>488</v>
      </c>
      <c r="L227" s="1">
        <f>IFERROR(__xludf.DUMMYFUNCTION("""COMPUTED_VALUE"""),365.0)</f>
        <v>365</v>
      </c>
      <c r="M227" s="1">
        <f>IFERROR(__xludf.DUMMYFUNCTION("""COMPUTED_VALUE"""),488.0)</f>
        <v>488</v>
      </c>
      <c r="N227" s="1">
        <f>IFERROR(__xludf.DUMMYFUNCTION("""COMPUTED_VALUE"""),4132.0)</f>
        <v>4132</v>
      </c>
      <c r="O227" s="1">
        <f>IFERROR(__xludf.DUMMYFUNCTION("""COMPUTED_VALUE"""),40.0)</f>
        <v>40</v>
      </c>
      <c r="P227" s="1">
        <f>IFERROR(__xludf.DUMMYFUNCTION("""COMPUTED_VALUE"""),260.0)</f>
        <v>260</v>
      </c>
      <c r="Q227" s="1">
        <f>IFERROR(__xludf.DUMMYFUNCTION("""COMPUTED_VALUE"""),1090.0)</f>
        <v>1090</v>
      </c>
      <c r="R227" s="1">
        <f>IFERROR(__xludf.DUMMYFUNCTION("""COMPUTED_VALUE"""),300.0)</f>
        <v>300</v>
      </c>
      <c r="S227" s="1"/>
      <c r="T227" s="1"/>
      <c r="U227" s="1">
        <f>IFERROR(__xludf.DUMMYFUNCTION("""COMPUTED_VALUE"""),0.0)</f>
        <v>0</v>
      </c>
      <c r="V227" s="1"/>
      <c r="W227" s="1"/>
      <c r="X227" s="1">
        <f>IFERROR(__xludf.DUMMYFUNCTION("""COMPUTED_VALUE"""),0.0)</f>
        <v>0</v>
      </c>
      <c r="Y227" s="1">
        <f>IFERROR(__xludf.DUMMYFUNCTION("""COMPUTED_VALUE"""),300.0)</f>
        <v>300</v>
      </c>
      <c r="Z227" s="1">
        <f>IFERROR(__xludf.DUMMYFUNCTION("""COMPUTED_VALUE"""),4298.0)</f>
        <v>4298</v>
      </c>
      <c r="AA227" s="1">
        <f>IFERROR(__xludf.DUMMYFUNCTION("""COMPUTED_VALUE"""),300.0)</f>
        <v>300</v>
      </c>
      <c r="AB227" s="1">
        <f>IFERROR(__xludf.DUMMYFUNCTION("""COMPUTED_VALUE"""),9006.0)</f>
        <v>9006</v>
      </c>
      <c r="AC227" s="1">
        <f>IFERROR(__xludf.DUMMYFUNCTION("""COMPUTED_VALUE"""),49.0)</f>
        <v>49</v>
      </c>
      <c r="AD227" s="1">
        <f>IFERROR(__xludf.DUMMYFUNCTION("""COMPUTED_VALUE"""),246.0)</f>
        <v>246</v>
      </c>
      <c r="AE227" s="1">
        <f>IFERROR(__xludf.DUMMYFUNCTION("""COMPUTED_VALUE"""),6457.0)</f>
        <v>6457</v>
      </c>
      <c r="AF227" s="1">
        <f>IFERROR(__xludf.DUMMYFUNCTION("""COMPUTED_VALUE"""),300.0)</f>
        <v>300</v>
      </c>
      <c r="AG227" s="1">
        <f>IFERROR(__xludf.DUMMYFUNCTION("""COMPUTED_VALUE"""),148.0)</f>
        <v>148</v>
      </c>
      <c r="AH227" s="1">
        <f>IFERROR(__xludf.DUMMYFUNCTION("""COMPUTED_VALUE"""),300.0)</f>
        <v>300</v>
      </c>
      <c r="AI227" s="1">
        <f>IFERROR(__xludf.DUMMYFUNCTION("""COMPUTED_VALUE"""),148.0)</f>
        <v>148</v>
      </c>
      <c r="AJ227" s="1"/>
      <c r="AK227" s="1"/>
      <c r="AL227" s="1">
        <f>IFERROR(__xludf.DUMMYFUNCTION("""COMPUTED_VALUE"""),0.0)</f>
        <v>0</v>
      </c>
      <c r="AM227" s="1">
        <f>IFERROR(__xludf.DUMMYFUNCTION("""COMPUTED_VALUE"""),220.690002441406)</f>
        <v>220.6900024</v>
      </c>
      <c r="AN227" s="1">
        <f>IFERROR(__xludf.DUMMYFUNCTION("""COMPUTED_VALUE"""),17057.0)</f>
        <v>17057</v>
      </c>
      <c r="AO227" s="1">
        <f>IFERROR(__xludf.DUMMYFUNCTION("""COMPUTED_VALUE"""),222.0)</f>
        <v>222</v>
      </c>
      <c r="AP227" s="1">
        <f>IFERROR(__xludf.DUMMYFUNCTION("""COMPUTED_VALUE"""),55965.0)</f>
        <v>55965</v>
      </c>
      <c r="AQ227" s="1">
        <f>IFERROR(__xludf.DUMMYFUNCTION("""COMPUTED_VALUE"""),10000.0)</f>
        <v>10000</v>
      </c>
      <c r="AR227" s="1">
        <f>IFERROR(__xludf.DUMMYFUNCTION("""COMPUTED_VALUE"""),202.0)</f>
        <v>202</v>
      </c>
      <c r="AS227" s="1">
        <f>IFERROR(__xludf.DUMMYFUNCTION("""COMPUTED_VALUE"""),13215.0)</f>
        <v>13215</v>
      </c>
    </row>
    <row r="228">
      <c r="A228" s="1" t="str">
        <f>IFERROR(__xludf.DUMMYFUNCTION("""COMPUTED_VALUE"""),"NF")</f>
        <v>NF</v>
      </c>
      <c r="B228" s="1"/>
      <c r="C228" s="1"/>
      <c r="D228" s="1">
        <f>IFERROR(__xludf.DUMMYFUNCTION("""COMPUTED_VALUE"""),7500.0)</f>
        <v>7500</v>
      </c>
      <c r="E228" s="1">
        <f>IFERROR(__xludf.DUMMYFUNCTION("""COMPUTED_VALUE"""),18.0)</f>
        <v>18</v>
      </c>
      <c r="F228" s="1">
        <f>IFERROR(__xludf.DUMMYFUNCTION("""COMPUTED_VALUE"""),7500.0)</f>
        <v>7500</v>
      </c>
      <c r="G228" s="1">
        <f>IFERROR(__xludf.DUMMYFUNCTION("""COMPUTED_VALUE"""),22.0)</f>
        <v>22</v>
      </c>
      <c r="H228" s="1">
        <f>IFERROR(__xludf.DUMMYFUNCTION("""COMPUTED_VALUE"""),5.0)</f>
        <v>5</v>
      </c>
      <c r="I228" s="1">
        <f>IFERROR(__xludf.DUMMYFUNCTION("""COMPUTED_VALUE"""),6800.0)</f>
        <v>6800</v>
      </c>
      <c r="J228" s="1">
        <f>IFERROR(__xludf.DUMMYFUNCTION("""COMPUTED_VALUE"""),5.0)</f>
        <v>5</v>
      </c>
      <c r="K228" s="1">
        <f>IFERROR(__xludf.DUMMYFUNCTION("""COMPUTED_VALUE"""),7000.0)</f>
        <v>7000</v>
      </c>
      <c r="L228" s="1"/>
      <c r="M228" s="1"/>
      <c r="N228" s="1">
        <f>IFERROR(__xludf.DUMMYFUNCTION("""COMPUTED_VALUE"""),0.0)</f>
        <v>0</v>
      </c>
      <c r="O228" s="1"/>
      <c r="P228" s="1"/>
      <c r="Q228" s="1">
        <f>IFERROR(__xludf.DUMMYFUNCTION("""COMPUTED_VALUE"""),0.0)</f>
        <v>0</v>
      </c>
      <c r="R228" s="1">
        <f>IFERROR(__xludf.DUMMYFUNCTION("""COMPUTED_VALUE"""),5092.5)</f>
        <v>5092.5</v>
      </c>
      <c r="S228" s="1"/>
      <c r="T228" s="1"/>
      <c r="U228" s="1">
        <f>IFERROR(__xludf.DUMMYFUNCTION("""COMPUTED_VALUE"""),0.0)</f>
        <v>0</v>
      </c>
      <c r="V228" s="1"/>
      <c r="W228" s="1"/>
      <c r="X228" s="1">
        <f>IFERROR(__xludf.DUMMYFUNCTION("""COMPUTED_VALUE"""),0.0)</f>
        <v>0</v>
      </c>
      <c r="Y228" s="1">
        <f>IFERROR(__xludf.DUMMYFUNCTION("""COMPUTED_VALUE"""),10400.0)</f>
        <v>10400</v>
      </c>
      <c r="Z228" s="1">
        <f>IFERROR(__xludf.DUMMYFUNCTION("""COMPUTED_VALUE"""),11.0)</f>
        <v>11</v>
      </c>
      <c r="AA228" s="1">
        <f>IFERROR(__xludf.DUMMYFUNCTION("""COMPUTED_VALUE"""),13000.0)</f>
        <v>13000</v>
      </c>
      <c r="AB228" s="1">
        <f>IFERROR(__xludf.DUMMYFUNCTION("""COMPUTED_VALUE"""),124.0)</f>
        <v>124</v>
      </c>
      <c r="AC228" s="1"/>
      <c r="AD228" s="1"/>
      <c r="AE228" s="1">
        <f>IFERROR(__xludf.DUMMYFUNCTION("""COMPUTED_VALUE"""),0.0)</f>
        <v>0</v>
      </c>
      <c r="AF228" s="1">
        <f>IFERROR(__xludf.DUMMYFUNCTION("""COMPUTED_VALUE"""),5092.5)</f>
        <v>5092.5</v>
      </c>
      <c r="AG228" s="1"/>
      <c r="AH228" s="1"/>
      <c r="AI228" s="1">
        <f>IFERROR(__xludf.DUMMYFUNCTION("""COMPUTED_VALUE"""),0.0)</f>
        <v>0</v>
      </c>
      <c r="AJ228" s="1"/>
      <c r="AK228" s="1"/>
      <c r="AL228" s="1">
        <f>IFERROR(__xludf.DUMMYFUNCTION("""COMPUTED_VALUE"""),0.0)</f>
        <v>0</v>
      </c>
      <c r="AM228" s="1">
        <f>IFERROR(__xludf.DUMMYFUNCTION("""COMPUTED_VALUE"""),8000.0)</f>
        <v>8000</v>
      </c>
      <c r="AN228" s="1">
        <f>IFERROR(__xludf.DUMMYFUNCTION("""COMPUTED_VALUE"""),10.0)</f>
        <v>10</v>
      </c>
      <c r="AO228" s="1">
        <f>IFERROR(__xludf.DUMMYFUNCTION("""COMPUTED_VALUE"""),7500.0)</f>
        <v>7500</v>
      </c>
      <c r="AP228" s="1">
        <f>IFERROR(__xludf.DUMMYFUNCTION("""COMPUTED_VALUE"""),10.0)</f>
        <v>10</v>
      </c>
      <c r="AQ228" s="1"/>
      <c r="AR228" s="1"/>
      <c r="AS228" s="1">
        <f>IFERROR(__xludf.DUMMYFUNCTION("""COMPUTED_VALUE"""),0.0)</f>
        <v>0</v>
      </c>
    </row>
    <row r="229">
      <c r="A229" s="1" t="str">
        <f>IFERROR(__xludf.DUMMYFUNCTION("""COMPUTED_VALUE"""),"NFI")</f>
        <v>NFI</v>
      </c>
      <c r="B229" s="1"/>
      <c r="C229" s="1"/>
      <c r="D229" s="1">
        <f>IFERROR(__xludf.DUMMYFUNCTION("""COMPUTED_VALUE"""),15.1999998092651)</f>
        <v>15.19999981</v>
      </c>
      <c r="E229" s="1">
        <f>IFERROR(__xludf.DUMMYFUNCTION("""COMPUTED_VALUE"""),37882.0)</f>
        <v>37882</v>
      </c>
      <c r="F229" s="1">
        <f>IFERROR(__xludf.DUMMYFUNCTION("""COMPUTED_VALUE"""),15.1999998092651)</f>
        <v>15.19999981</v>
      </c>
      <c r="G229" s="1">
        <f>IFERROR(__xludf.DUMMYFUNCTION("""COMPUTED_VALUE"""),486509.0)</f>
        <v>486509</v>
      </c>
      <c r="H229" s="1">
        <f>IFERROR(__xludf.DUMMYFUNCTION("""COMPUTED_VALUE"""),10000.0)</f>
        <v>10000</v>
      </c>
      <c r="I229" s="1">
        <f>IFERROR(__xludf.DUMMYFUNCTION("""COMPUTED_VALUE"""),14.6000003814697)</f>
        <v>14.60000038</v>
      </c>
      <c r="J229" s="1">
        <f>IFERROR(__xludf.DUMMYFUNCTION("""COMPUTED_VALUE"""),415217.0)</f>
        <v>415217</v>
      </c>
      <c r="K229" s="1">
        <f>IFERROR(__xludf.DUMMYFUNCTION("""COMPUTED_VALUE"""),15.0299997329711)</f>
        <v>15.02999973</v>
      </c>
      <c r="L229" s="1">
        <f>IFERROR(__xludf.DUMMYFUNCTION("""COMPUTED_VALUE"""),300.0)</f>
        <v>300</v>
      </c>
      <c r="M229" s="1">
        <f>IFERROR(__xludf.DUMMYFUNCTION("""COMPUTED_VALUE"""),15.8000001907348)</f>
        <v>15.80000019</v>
      </c>
      <c r="N229" s="1">
        <f>IFERROR(__xludf.DUMMYFUNCTION("""COMPUTED_VALUE"""),367948.0)</f>
        <v>367948</v>
      </c>
      <c r="O229" s="1">
        <f>IFERROR(__xludf.DUMMYFUNCTION("""COMPUTED_VALUE"""),40734.0)</f>
        <v>40734</v>
      </c>
      <c r="P229" s="1">
        <f>IFERROR(__xludf.DUMMYFUNCTION("""COMPUTED_VALUE"""),15.0)</f>
        <v>15</v>
      </c>
      <c r="Q229" s="1">
        <f>IFERROR(__xludf.DUMMYFUNCTION("""COMPUTED_VALUE"""),740734.0)</f>
        <v>740734</v>
      </c>
      <c r="R229" s="1">
        <f>IFERROR(__xludf.DUMMYFUNCTION("""COMPUTED_VALUE"""),15.0)</f>
        <v>15</v>
      </c>
      <c r="S229" s="1">
        <f>IFERROR(__xludf.DUMMYFUNCTION("""COMPUTED_VALUE"""),1000.0)</f>
        <v>1000</v>
      </c>
      <c r="T229" s="1">
        <f>IFERROR(__xludf.DUMMYFUNCTION("""COMPUTED_VALUE"""),20.0)</f>
        <v>20</v>
      </c>
      <c r="U229" s="1">
        <f>IFERROR(__xludf.DUMMYFUNCTION("""COMPUTED_VALUE"""),1000.0)</f>
        <v>1000</v>
      </c>
      <c r="V229" s="1"/>
      <c r="W229" s="1"/>
      <c r="X229" s="1">
        <f>IFERROR(__xludf.DUMMYFUNCTION("""COMPUTED_VALUE"""),0.0)</f>
        <v>0</v>
      </c>
      <c r="Y229" s="1">
        <f>IFERROR(__xludf.DUMMYFUNCTION("""COMPUTED_VALUE"""),15.0)</f>
        <v>15</v>
      </c>
      <c r="Z229" s="1">
        <f>IFERROR(__xludf.DUMMYFUNCTION("""COMPUTED_VALUE"""),6400.0)</f>
        <v>6400</v>
      </c>
      <c r="AA229" s="1">
        <f>IFERROR(__xludf.DUMMYFUNCTION("""COMPUTED_VALUE"""),15.6999998092651)</f>
        <v>15.69999981</v>
      </c>
      <c r="AB229" s="1">
        <f>IFERROR(__xludf.DUMMYFUNCTION("""COMPUTED_VALUE"""),542139.0)</f>
        <v>542139</v>
      </c>
      <c r="AC229" s="1">
        <f>IFERROR(__xludf.DUMMYFUNCTION("""COMPUTED_VALUE"""),5999.0)</f>
        <v>5999</v>
      </c>
      <c r="AD229" s="1">
        <f>IFERROR(__xludf.DUMMYFUNCTION("""COMPUTED_VALUE"""),15.0)</f>
        <v>15</v>
      </c>
      <c r="AE229" s="1">
        <f>IFERROR(__xludf.DUMMYFUNCTION("""COMPUTED_VALUE"""),262769.0)</f>
        <v>262769</v>
      </c>
      <c r="AF229" s="1">
        <f>IFERROR(__xludf.DUMMYFUNCTION("""COMPUTED_VALUE"""),18.0)</f>
        <v>18</v>
      </c>
      <c r="AG229" s="1">
        <f>IFERROR(__xludf.DUMMYFUNCTION("""COMPUTED_VALUE"""),9000.0)</f>
        <v>9000</v>
      </c>
      <c r="AH229" s="1">
        <f>IFERROR(__xludf.DUMMYFUNCTION("""COMPUTED_VALUE"""),18.0)</f>
        <v>18</v>
      </c>
      <c r="AI229" s="1">
        <f>IFERROR(__xludf.DUMMYFUNCTION("""COMPUTED_VALUE"""),19000.0)</f>
        <v>19000</v>
      </c>
      <c r="AJ229" s="1">
        <f>IFERROR(__xludf.DUMMYFUNCTION("""COMPUTED_VALUE"""),1200.0)</f>
        <v>1200</v>
      </c>
      <c r="AK229" s="1">
        <f>IFERROR(__xludf.DUMMYFUNCTION("""COMPUTED_VALUE"""),10.0)</f>
        <v>10</v>
      </c>
      <c r="AL229" s="1">
        <f>IFERROR(__xludf.DUMMYFUNCTION("""COMPUTED_VALUE"""),1200.0)</f>
        <v>1200</v>
      </c>
      <c r="AM229" s="1">
        <f>IFERROR(__xludf.DUMMYFUNCTION("""COMPUTED_VALUE"""),14.0)</f>
        <v>14</v>
      </c>
      <c r="AN229" s="1">
        <f>IFERROR(__xludf.DUMMYFUNCTION("""COMPUTED_VALUE"""),1200.0)</f>
        <v>1200</v>
      </c>
      <c r="AO229" s="1">
        <f>IFERROR(__xludf.DUMMYFUNCTION("""COMPUTED_VALUE"""),14.0)</f>
        <v>14</v>
      </c>
      <c r="AP229" s="1">
        <f>IFERROR(__xludf.DUMMYFUNCTION("""COMPUTED_VALUE"""),359888.0)</f>
        <v>359888</v>
      </c>
      <c r="AQ229" s="1">
        <f>IFERROR(__xludf.DUMMYFUNCTION("""COMPUTED_VALUE"""),100000.0)</f>
        <v>100000</v>
      </c>
      <c r="AR229" s="1">
        <f>IFERROR(__xludf.DUMMYFUNCTION("""COMPUTED_VALUE"""),10.0)</f>
        <v>10</v>
      </c>
      <c r="AS229" s="1">
        <f>IFERROR(__xludf.DUMMYFUNCTION("""COMPUTED_VALUE"""),200000.0)</f>
        <v>200000</v>
      </c>
    </row>
    <row r="230">
      <c r="A230" s="1" t="str">
        <f>IFERROR(__xludf.DUMMYFUNCTION("""COMPUTED_VALUE"""),"NG")</f>
        <v>NG</v>
      </c>
      <c r="B230" s="1"/>
      <c r="C230" s="1"/>
      <c r="D230" s="1">
        <f>IFERROR(__xludf.DUMMYFUNCTION("""COMPUTED_VALUE"""),1000.0)</f>
        <v>1000</v>
      </c>
      <c r="E230" s="1">
        <f>IFERROR(__xludf.DUMMYFUNCTION("""COMPUTED_VALUE"""),100.0)</f>
        <v>100</v>
      </c>
      <c r="F230" s="1">
        <f>IFERROR(__xludf.DUMMYFUNCTION("""COMPUTED_VALUE"""),1100.0)</f>
        <v>1100</v>
      </c>
      <c r="G230" s="1">
        <f>IFERROR(__xludf.DUMMYFUNCTION("""COMPUTED_VALUE"""),960.0)</f>
        <v>960</v>
      </c>
      <c r="H230" s="1"/>
      <c r="I230" s="1"/>
      <c r="J230" s="1">
        <f>IFERROR(__xludf.DUMMYFUNCTION("""COMPUTED_VALUE"""),0.0)</f>
        <v>0</v>
      </c>
      <c r="K230" s="1">
        <f>IFERROR(__xludf.DUMMYFUNCTION("""COMPUTED_VALUE"""),1080.0)</f>
        <v>1080</v>
      </c>
      <c r="L230" s="1">
        <f>IFERROR(__xludf.DUMMYFUNCTION("""COMPUTED_VALUE"""),218.0)</f>
        <v>218</v>
      </c>
      <c r="M230" s="1">
        <f>IFERROR(__xludf.DUMMYFUNCTION("""COMPUTED_VALUE"""),1080.0)</f>
        <v>1080</v>
      </c>
      <c r="N230" s="1">
        <f>IFERROR(__xludf.DUMMYFUNCTION("""COMPUTED_VALUE"""),2788.0)</f>
        <v>2788</v>
      </c>
      <c r="O230" s="1">
        <f>IFERROR(__xludf.DUMMYFUNCTION("""COMPUTED_VALUE"""),90.0)</f>
        <v>90</v>
      </c>
      <c r="P230" s="1">
        <f>IFERROR(__xludf.DUMMYFUNCTION("""COMPUTED_VALUE"""),200.0)</f>
        <v>200</v>
      </c>
      <c r="Q230" s="1">
        <f>IFERROR(__xludf.DUMMYFUNCTION("""COMPUTED_VALUE"""),90.0)</f>
        <v>90</v>
      </c>
      <c r="R230" s="1">
        <f>IFERROR(__xludf.DUMMYFUNCTION("""COMPUTED_VALUE"""),950.0)</f>
        <v>950</v>
      </c>
      <c r="S230" s="1">
        <f>IFERROR(__xludf.DUMMYFUNCTION("""COMPUTED_VALUE"""),100.0)</f>
        <v>100</v>
      </c>
      <c r="T230" s="1">
        <f>IFERROR(__xludf.DUMMYFUNCTION("""COMPUTED_VALUE"""),1300.0)</f>
        <v>1300</v>
      </c>
      <c r="U230" s="1">
        <f>IFERROR(__xludf.DUMMYFUNCTION("""COMPUTED_VALUE"""),100.0)</f>
        <v>100</v>
      </c>
      <c r="V230" s="1"/>
      <c r="W230" s="1"/>
      <c r="X230" s="1">
        <f>IFERROR(__xludf.DUMMYFUNCTION("""COMPUTED_VALUE"""),0.0)</f>
        <v>0</v>
      </c>
      <c r="Y230" s="1">
        <f>IFERROR(__xludf.DUMMYFUNCTION("""COMPUTED_VALUE"""),990.0)</f>
        <v>990</v>
      </c>
      <c r="Z230" s="1">
        <f>IFERROR(__xludf.DUMMYFUNCTION("""COMPUTED_VALUE"""),30.0)</f>
        <v>30</v>
      </c>
      <c r="AA230" s="1">
        <f>IFERROR(__xludf.DUMMYFUNCTION("""COMPUTED_VALUE"""),970.0)</f>
        <v>970</v>
      </c>
      <c r="AB230" s="1">
        <f>IFERROR(__xludf.DUMMYFUNCTION("""COMPUTED_VALUE"""),8687.0)</f>
        <v>8687</v>
      </c>
      <c r="AC230" s="1">
        <f>IFERROR(__xludf.DUMMYFUNCTION("""COMPUTED_VALUE"""),840.0)</f>
        <v>840</v>
      </c>
      <c r="AD230" s="1">
        <f>IFERROR(__xludf.DUMMYFUNCTION("""COMPUTED_VALUE"""),850.0)</f>
        <v>850</v>
      </c>
      <c r="AE230" s="1">
        <f>IFERROR(__xludf.DUMMYFUNCTION("""COMPUTED_VALUE"""),865.0)</f>
        <v>865</v>
      </c>
      <c r="AF230" s="1">
        <f>IFERROR(__xludf.DUMMYFUNCTION("""COMPUTED_VALUE"""),780.809997558593)</f>
        <v>780.8099976</v>
      </c>
      <c r="AG230" s="1">
        <f>IFERROR(__xludf.DUMMYFUNCTION("""COMPUTED_VALUE"""),50.0)</f>
        <v>50</v>
      </c>
      <c r="AH230" s="1">
        <f>IFERROR(__xludf.DUMMYFUNCTION("""COMPUTED_VALUE"""),930.0)</f>
        <v>930</v>
      </c>
      <c r="AI230" s="1">
        <f>IFERROR(__xludf.DUMMYFUNCTION("""COMPUTED_VALUE"""),60.0)</f>
        <v>60</v>
      </c>
      <c r="AJ230" s="1"/>
      <c r="AK230" s="1"/>
      <c r="AL230" s="1">
        <f>IFERROR(__xludf.DUMMYFUNCTION("""COMPUTED_VALUE"""),0.0)</f>
        <v>0</v>
      </c>
      <c r="AM230" s="1">
        <f>IFERROR(__xludf.DUMMYFUNCTION("""COMPUTED_VALUE"""),850.0)</f>
        <v>850</v>
      </c>
      <c r="AN230" s="1">
        <f>IFERROR(__xludf.DUMMYFUNCTION("""COMPUTED_VALUE"""),1137.0)</f>
        <v>1137</v>
      </c>
      <c r="AO230" s="1">
        <f>IFERROR(__xludf.DUMMYFUNCTION("""COMPUTED_VALUE"""),850.0)</f>
        <v>850</v>
      </c>
      <c r="AP230" s="1">
        <f>IFERROR(__xludf.DUMMYFUNCTION("""COMPUTED_VALUE"""),3631.0)</f>
        <v>3631</v>
      </c>
      <c r="AQ230" s="1"/>
      <c r="AR230" s="1"/>
      <c r="AS230" s="1">
        <f>IFERROR(__xludf.DUMMYFUNCTION("""COMPUTED_VALUE"""),0.0)</f>
        <v>0</v>
      </c>
    </row>
    <row r="231">
      <c r="A231" s="1" t="str">
        <f>IFERROR(__xludf.DUMMYFUNCTION("""COMPUTED_VALUE"""),"NL")</f>
        <v>NL</v>
      </c>
      <c r="B231" s="1"/>
      <c r="C231" s="1"/>
      <c r="D231" s="1">
        <f>IFERROR(__xludf.DUMMYFUNCTION("""COMPUTED_VALUE"""),6800.0)</f>
        <v>6800</v>
      </c>
      <c r="E231" s="1">
        <f>IFERROR(__xludf.DUMMYFUNCTION("""COMPUTED_VALUE"""),16.0)</f>
        <v>16</v>
      </c>
      <c r="F231" s="1">
        <f>IFERROR(__xludf.DUMMYFUNCTION("""COMPUTED_VALUE"""),6790.0)</f>
        <v>6790</v>
      </c>
      <c r="G231" s="1">
        <f>IFERROR(__xludf.DUMMYFUNCTION("""COMPUTED_VALUE"""),2963.0)</f>
        <v>2963</v>
      </c>
      <c r="H231" s="1">
        <f>IFERROR(__xludf.DUMMYFUNCTION("""COMPUTED_VALUE"""),30.0)</f>
        <v>30</v>
      </c>
      <c r="I231" s="1">
        <f>IFERROR(__xludf.DUMMYFUNCTION("""COMPUTED_VALUE"""),6110.0)</f>
        <v>6110</v>
      </c>
      <c r="J231" s="1">
        <f>IFERROR(__xludf.DUMMYFUNCTION("""COMPUTED_VALUE"""),2047.0)</f>
        <v>2047</v>
      </c>
      <c r="K231" s="1">
        <f>IFERROR(__xludf.DUMMYFUNCTION("""COMPUTED_VALUE"""),5850.0)</f>
        <v>5850</v>
      </c>
      <c r="L231" s="1">
        <f>IFERROR(__xludf.DUMMYFUNCTION("""COMPUTED_VALUE"""),100.0)</f>
        <v>100</v>
      </c>
      <c r="M231" s="1">
        <f>IFERROR(__xludf.DUMMYFUNCTION("""COMPUTED_VALUE"""),5830.0)</f>
        <v>5830</v>
      </c>
      <c r="N231" s="1">
        <f>IFERROR(__xludf.DUMMYFUNCTION("""COMPUTED_VALUE"""),2033.0)</f>
        <v>2033</v>
      </c>
      <c r="O231" s="1">
        <f>IFERROR(__xludf.DUMMYFUNCTION("""COMPUTED_VALUE"""),42.0)</f>
        <v>42</v>
      </c>
      <c r="P231" s="1">
        <f>IFERROR(__xludf.DUMMYFUNCTION("""COMPUTED_VALUE"""),5140.0)</f>
        <v>5140</v>
      </c>
      <c r="Q231" s="1">
        <f>IFERROR(__xludf.DUMMYFUNCTION("""COMPUTED_VALUE"""),564.0)</f>
        <v>564</v>
      </c>
      <c r="R231" s="1">
        <f>IFERROR(__xludf.DUMMYFUNCTION("""COMPUTED_VALUE"""),5000.0)</f>
        <v>5000</v>
      </c>
      <c r="S231" s="1"/>
      <c r="T231" s="1"/>
      <c r="U231" s="1">
        <f>IFERROR(__xludf.DUMMYFUNCTION("""COMPUTED_VALUE"""),0.0)</f>
        <v>0</v>
      </c>
      <c r="V231" s="1"/>
      <c r="W231" s="1"/>
      <c r="X231" s="1">
        <f>IFERROR(__xludf.DUMMYFUNCTION("""COMPUTED_VALUE"""),0.0)</f>
        <v>0</v>
      </c>
      <c r="Y231" s="1">
        <f>IFERROR(__xludf.DUMMYFUNCTION("""COMPUTED_VALUE"""),6120.0)</f>
        <v>6120</v>
      </c>
      <c r="Z231" s="1">
        <f>IFERROR(__xludf.DUMMYFUNCTION("""COMPUTED_VALUE"""),22.0)</f>
        <v>22</v>
      </c>
      <c r="AA231" s="1">
        <f>IFERROR(__xludf.DUMMYFUNCTION("""COMPUTED_VALUE"""),6480.0)</f>
        <v>6480</v>
      </c>
      <c r="AB231" s="1">
        <f>IFERROR(__xludf.DUMMYFUNCTION("""COMPUTED_VALUE"""),4393.0)</f>
        <v>4393</v>
      </c>
      <c r="AC231" s="1">
        <f>IFERROR(__xludf.DUMMYFUNCTION("""COMPUTED_VALUE"""),3.0)</f>
        <v>3</v>
      </c>
      <c r="AD231" s="1">
        <f>IFERROR(__xludf.DUMMYFUNCTION("""COMPUTED_VALUE"""),6100.0)</f>
        <v>6100</v>
      </c>
      <c r="AE231" s="1">
        <f>IFERROR(__xludf.DUMMYFUNCTION("""COMPUTED_VALUE"""),2347.0)</f>
        <v>2347</v>
      </c>
      <c r="AF231" s="1">
        <f>IFERROR(__xludf.DUMMYFUNCTION("""COMPUTED_VALUE"""),5000.0)</f>
        <v>5000</v>
      </c>
      <c r="AG231" s="1">
        <f>IFERROR(__xludf.DUMMYFUNCTION("""COMPUTED_VALUE"""),10.0)</f>
        <v>10</v>
      </c>
      <c r="AH231" s="1">
        <f>IFERROR(__xludf.DUMMYFUNCTION("""COMPUTED_VALUE"""),5960.0)</f>
        <v>5960</v>
      </c>
      <c r="AI231" s="1">
        <f>IFERROR(__xludf.DUMMYFUNCTION("""COMPUTED_VALUE"""),10.0)</f>
        <v>10</v>
      </c>
      <c r="AJ231" s="1"/>
      <c r="AK231" s="1"/>
      <c r="AL231" s="1">
        <f>IFERROR(__xludf.DUMMYFUNCTION("""COMPUTED_VALUE"""),0.0)</f>
        <v>0</v>
      </c>
      <c r="AM231" s="1">
        <f>IFERROR(__xludf.DUMMYFUNCTION("""COMPUTED_VALUE"""),6620.0)</f>
        <v>6620</v>
      </c>
      <c r="AN231" s="1">
        <f>IFERROR(__xludf.DUMMYFUNCTION("""COMPUTED_VALUE"""),3.0)</f>
        <v>3</v>
      </c>
      <c r="AO231" s="1">
        <f>IFERROR(__xludf.DUMMYFUNCTION("""COMPUTED_VALUE"""),6550.0)</f>
        <v>6550</v>
      </c>
      <c r="AP231" s="1">
        <f>IFERROR(__xludf.DUMMYFUNCTION("""COMPUTED_VALUE"""),1637.0)</f>
        <v>1637</v>
      </c>
      <c r="AQ231" s="1">
        <f>IFERROR(__xludf.DUMMYFUNCTION("""COMPUTED_VALUE"""),241.0)</f>
        <v>241</v>
      </c>
      <c r="AR231" s="1">
        <f>IFERROR(__xludf.DUMMYFUNCTION("""COMPUTED_VALUE"""),5500.0)</f>
        <v>5500</v>
      </c>
      <c r="AS231" s="1">
        <f>IFERROR(__xludf.DUMMYFUNCTION("""COMPUTED_VALUE"""),942.0)</f>
        <v>942</v>
      </c>
    </row>
    <row r="232">
      <c r="A232" s="1" t="str">
        <f>IFERROR(__xludf.DUMMYFUNCTION("""COMPUTED_VALUE"""),"NN")</f>
        <v>NN</v>
      </c>
      <c r="B232" s="1"/>
      <c r="C232" s="1"/>
      <c r="D232" s="1">
        <f>IFERROR(__xludf.DUMMYFUNCTION("""COMPUTED_VALUE"""),70900.0)</f>
        <v>70900</v>
      </c>
      <c r="E232" s="1"/>
      <c r="F232" s="1"/>
      <c r="G232" s="1">
        <f>IFERROR(__xludf.DUMMYFUNCTION("""COMPUTED_VALUE"""),0.0)</f>
        <v>0</v>
      </c>
      <c r="H232" s="1">
        <f>IFERROR(__xludf.DUMMYFUNCTION("""COMPUTED_VALUE"""),10.0)</f>
        <v>10</v>
      </c>
      <c r="I232" s="1">
        <f>IFERROR(__xludf.DUMMYFUNCTION("""COMPUTED_VALUE"""),61000.0)</f>
        <v>61000</v>
      </c>
      <c r="J232" s="1">
        <f>IFERROR(__xludf.DUMMYFUNCTION("""COMPUTED_VALUE"""),453.0)</f>
        <v>453</v>
      </c>
      <c r="K232" s="1">
        <f>IFERROR(__xludf.DUMMYFUNCTION("""COMPUTED_VALUE"""),58000.0)</f>
        <v>58000</v>
      </c>
      <c r="L232" s="1">
        <f>IFERROR(__xludf.DUMMYFUNCTION("""COMPUTED_VALUE"""),5.0)</f>
        <v>5</v>
      </c>
      <c r="M232" s="1">
        <f>IFERROR(__xludf.DUMMYFUNCTION("""COMPUTED_VALUE"""),62000.0)</f>
        <v>62000</v>
      </c>
      <c r="N232" s="1">
        <f>IFERROR(__xludf.DUMMYFUNCTION("""COMPUTED_VALUE"""),13.0)</f>
        <v>13</v>
      </c>
      <c r="O232" s="1">
        <f>IFERROR(__xludf.DUMMYFUNCTION("""COMPUTED_VALUE"""),100.0)</f>
        <v>100</v>
      </c>
      <c r="P232" s="1">
        <f>IFERROR(__xludf.DUMMYFUNCTION("""COMPUTED_VALUE"""),59000.0)</f>
        <v>59000</v>
      </c>
      <c r="Q232" s="1">
        <f>IFERROR(__xludf.DUMMYFUNCTION("""COMPUTED_VALUE"""),324.0)</f>
        <v>324</v>
      </c>
      <c r="R232" s="1">
        <f>IFERROR(__xludf.DUMMYFUNCTION("""COMPUTED_VALUE"""),30000.0)</f>
        <v>30000</v>
      </c>
      <c r="S232" s="1"/>
      <c r="T232" s="1"/>
      <c r="U232" s="1">
        <f>IFERROR(__xludf.DUMMYFUNCTION("""COMPUTED_VALUE"""),0.0)</f>
        <v>0</v>
      </c>
      <c r="V232" s="1"/>
      <c r="W232" s="1"/>
      <c r="X232" s="1">
        <f>IFERROR(__xludf.DUMMYFUNCTION("""COMPUTED_VALUE"""),0.0)</f>
        <v>0</v>
      </c>
      <c r="Y232" s="1">
        <f>IFERROR(__xludf.DUMMYFUNCTION("""COMPUTED_VALUE"""),70000.0)</f>
        <v>70000</v>
      </c>
      <c r="Z232" s="1">
        <f>IFERROR(__xludf.DUMMYFUNCTION("""COMPUTED_VALUE"""),1.0)</f>
        <v>1</v>
      </c>
      <c r="AA232" s="1">
        <f>IFERROR(__xludf.DUMMYFUNCTION("""COMPUTED_VALUE"""),70000.0)</f>
        <v>70000</v>
      </c>
      <c r="AB232" s="1">
        <f>IFERROR(__xludf.DUMMYFUNCTION("""COMPUTED_VALUE"""),1.0)</f>
        <v>1</v>
      </c>
      <c r="AC232" s="1">
        <f>IFERROR(__xludf.DUMMYFUNCTION("""COMPUTED_VALUE"""),100.0)</f>
        <v>100</v>
      </c>
      <c r="AD232" s="1">
        <f>IFERROR(__xludf.DUMMYFUNCTION("""COMPUTED_VALUE"""),60000.0)</f>
        <v>60000</v>
      </c>
      <c r="AE232" s="1">
        <f>IFERROR(__xludf.DUMMYFUNCTION("""COMPUTED_VALUE"""),458.0)</f>
        <v>458</v>
      </c>
      <c r="AF232" s="1">
        <f>IFERROR(__xludf.DUMMYFUNCTION("""COMPUTED_VALUE"""),29292.80078125)</f>
        <v>29292.80078</v>
      </c>
      <c r="AG232" s="1"/>
      <c r="AH232" s="1"/>
      <c r="AI232" s="1">
        <f>IFERROR(__xludf.DUMMYFUNCTION("""COMPUTED_VALUE"""),0.0)</f>
        <v>0</v>
      </c>
      <c r="AJ232" s="1"/>
      <c r="AK232" s="1"/>
      <c r="AL232" s="1">
        <f>IFERROR(__xludf.DUMMYFUNCTION("""COMPUTED_VALUE"""),0.0)</f>
        <v>0</v>
      </c>
      <c r="AM232" s="1">
        <f>IFERROR(__xludf.DUMMYFUNCTION("""COMPUTED_VALUE"""),50000.0)</f>
        <v>50000</v>
      </c>
      <c r="AN232" s="1"/>
      <c r="AO232" s="1"/>
      <c r="AP232" s="1">
        <f>IFERROR(__xludf.DUMMYFUNCTION("""COMPUTED_VALUE"""),0.0)</f>
        <v>0</v>
      </c>
      <c r="AQ232" s="1">
        <f>IFERROR(__xludf.DUMMYFUNCTION("""COMPUTED_VALUE"""),100.0)</f>
        <v>100</v>
      </c>
      <c r="AR232" s="1">
        <f>IFERROR(__xludf.DUMMYFUNCTION("""COMPUTED_VALUE"""),58000.0)</f>
        <v>58000</v>
      </c>
      <c r="AS232" s="1">
        <f>IFERROR(__xludf.DUMMYFUNCTION("""COMPUTED_VALUE"""),200.0)</f>
        <v>200</v>
      </c>
    </row>
    <row r="233">
      <c r="A233" s="1" t="str">
        <f>IFERROR(__xludf.DUMMYFUNCTION("""COMPUTED_VALUE"""),"NOZ")</f>
        <v>NOZ</v>
      </c>
      <c r="B233" s="1"/>
      <c r="C233" s="1"/>
      <c r="D233" s="1">
        <f>IFERROR(__xludf.DUMMYFUNCTION("""COMPUTED_VALUE"""),16000.0)</f>
        <v>16000</v>
      </c>
      <c r="E233" s="1"/>
      <c r="F233" s="1"/>
      <c r="G233" s="1">
        <f>IFERROR(__xludf.DUMMYFUNCTION("""COMPUTED_VALUE"""),0.0)</f>
        <v>0</v>
      </c>
      <c r="H233" s="1">
        <f>IFERROR(__xludf.DUMMYFUNCTION("""COMPUTED_VALUE"""),50.0)</f>
        <v>50</v>
      </c>
      <c r="I233" s="1">
        <f>IFERROR(__xludf.DUMMYFUNCTION("""COMPUTED_VALUE"""),11000.0)</f>
        <v>11000</v>
      </c>
      <c r="J233" s="1">
        <f>IFERROR(__xludf.DUMMYFUNCTION("""COMPUTED_VALUE"""),100.0)</f>
        <v>100</v>
      </c>
      <c r="K233" s="1">
        <f>IFERROR(__xludf.DUMMYFUNCTION("""COMPUTED_VALUE"""),60000.0)</f>
        <v>60000</v>
      </c>
      <c r="L233" s="1"/>
      <c r="M233" s="1"/>
      <c r="N233" s="1">
        <f>IFERROR(__xludf.DUMMYFUNCTION("""COMPUTED_VALUE"""),0.0)</f>
        <v>0</v>
      </c>
      <c r="O233" s="1">
        <f>IFERROR(__xludf.DUMMYFUNCTION("""COMPUTED_VALUE"""),5.0)</f>
        <v>5</v>
      </c>
      <c r="P233" s="1">
        <f>IFERROR(__xludf.DUMMYFUNCTION("""COMPUTED_VALUE"""),60000.0)</f>
        <v>60000</v>
      </c>
      <c r="Q233" s="1">
        <f>IFERROR(__xludf.DUMMYFUNCTION("""COMPUTED_VALUE"""),35.0)</f>
        <v>35</v>
      </c>
      <c r="R233" s="1">
        <f>IFERROR(__xludf.DUMMYFUNCTION("""COMPUTED_VALUE"""),43539.53125)</f>
        <v>43539.53125</v>
      </c>
      <c r="S233" s="1"/>
      <c r="T233" s="1"/>
      <c r="U233" s="1">
        <f>IFERROR(__xludf.DUMMYFUNCTION("""COMPUTED_VALUE"""),0.0)</f>
        <v>0</v>
      </c>
      <c r="V233" s="1"/>
      <c r="W233" s="1"/>
      <c r="X233" s="1">
        <f>IFERROR(__xludf.DUMMYFUNCTION("""COMPUTED_VALUE"""),0.0)</f>
        <v>0</v>
      </c>
      <c r="Y233" s="1">
        <f>IFERROR(__xludf.DUMMYFUNCTION("""COMPUTED_VALUE"""),40000.0)</f>
        <v>40000</v>
      </c>
      <c r="Z233" s="1"/>
      <c r="AA233" s="1"/>
      <c r="AB233" s="1">
        <f>IFERROR(__xludf.DUMMYFUNCTION("""COMPUTED_VALUE"""),0.0)</f>
        <v>0</v>
      </c>
      <c r="AC233" s="1">
        <f>IFERROR(__xludf.DUMMYFUNCTION("""COMPUTED_VALUE"""),20.0)</f>
        <v>20</v>
      </c>
      <c r="AD233" s="1">
        <f>IFERROR(__xludf.DUMMYFUNCTION("""COMPUTED_VALUE"""),12000.0)</f>
        <v>12000</v>
      </c>
      <c r="AE233" s="1">
        <f>IFERROR(__xludf.DUMMYFUNCTION("""COMPUTED_VALUE"""),60.0)</f>
        <v>60</v>
      </c>
      <c r="AF233" s="1">
        <f>IFERROR(__xludf.DUMMYFUNCTION("""COMPUTED_VALUE"""),43539.53125)</f>
        <v>43539.53125</v>
      </c>
      <c r="AG233" s="1"/>
      <c r="AH233" s="1"/>
      <c r="AI233" s="1">
        <f>IFERROR(__xludf.DUMMYFUNCTION("""COMPUTED_VALUE"""),0.0)</f>
        <v>0</v>
      </c>
      <c r="AJ233" s="1"/>
      <c r="AK233" s="1"/>
      <c r="AL233" s="1">
        <f>IFERROR(__xludf.DUMMYFUNCTION("""COMPUTED_VALUE"""),0.0)</f>
        <v>0</v>
      </c>
      <c r="AM233" s="1">
        <f>IFERROR(__xludf.DUMMYFUNCTION("""COMPUTED_VALUE"""),43539.53125)</f>
        <v>43539.53125</v>
      </c>
      <c r="AN233" s="1"/>
      <c r="AO233" s="1"/>
      <c r="AP233" s="1">
        <f>IFERROR(__xludf.DUMMYFUNCTION("""COMPUTED_VALUE"""),0.0)</f>
        <v>0</v>
      </c>
      <c r="AQ233" s="1"/>
      <c r="AR233" s="1"/>
      <c r="AS233" s="1">
        <f>IFERROR(__xludf.DUMMYFUNCTION("""COMPUTED_VALUE"""),0.0)</f>
        <v>0</v>
      </c>
    </row>
    <row r="234">
      <c r="A234" s="1" t="str">
        <f>IFERROR(__xludf.DUMMYFUNCTION("""COMPUTED_VALUE"""),"NR")</f>
        <v>NR</v>
      </c>
      <c r="B234" s="1"/>
      <c r="C234" s="1"/>
      <c r="D234" s="1">
        <f>IFERROR(__xludf.DUMMYFUNCTION("""COMPUTED_VALUE"""),378.179992675781)</f>
        <v>378.1799927</v>
      </c>
      <c r="E234" s="1">
        <f>IFERROR(__xludf.DUMMYFUNCTION("""COMPUTED_VALUE"""),13328.0)</f>
        <v>13328</v>
      </c>
      <c r="F234" s="1">
        <f>IFERROR(__xludf.DUMMYFUNCTION("""COMPUTED_VALUE"""),434.0)</f>
        <v>434</v>
      </c>
      <c r="G234" s="1">
        <f>IFERROR(__xludf.DUMMYFUNCTION("""COMPUTED_VALUE"""),13328.0)</f>
        <v>13328</v>
      </c>
      <c r="H234" s="1">
        <f>IFERROR(__xludf.DUMMYFUNCTION("""COMPUTED_VALUE"""),131.0)</f>
        <v>131</v>
      </c>
      <c r="I234" s="1">
        <f>IFERROR(__xludf.DUMMYFUNCTION("""COMPUTED_VALUE"""),365.0)</f>
        <v>365</v>
      </c>
      <c r="J234" s="1">
        <f>IFERROR(__xludf.DUMMYFUNCTION("""COMPUTED_VALUE"""),10131.0)</f>
        <v>10131</v>
      </c>
      <c r="K234" s="1">
        <f>IFERROR(__xludf.DUMMYFUNCTION("""COMPUTED_VALUE"""),361.0)</f>
        <v>361</v>
      </c>
      <c r="L234" s="1">
        <f>IFERROR(__xludf.DUMMYFUNCTION("""COMPUTED_VALUE"""),9187.0)</f>
        <v>9187</v>
      </c>
      <c r="M234" s="1">
        <f>IFERROR(__xludf.DUMMYFUNCTION("""COMPUTED_VALUE"""),650.0)</f>
        <v>650</v>
      </c>
      <c r="N234" s="1">
        <f>IFERROR(__xludf.DUMMYFUNCTION("""COMPUTED_VALUE"""),9187.0)</f>
        <v>9187</v>
      </c>
      <c r="O234" s="1">
        <f>IFERROR(__xludf.DUMMYFUNCTION("""COMPUTED_VALUE"""),800.0)</f>
        <v>800</v>
      </c>
      <c r="P234" s="1">
        <f>IFERROR(__xludf.DUMMYFUNCTION("""COMPUTED_VALUE"""),361.0)</f>
        <v>361</v>
      </c>
      <c r="Q234" s="1">
        <f>IFERROR(__xludf.DUMMYFUNCTION("""COMPUTED_VALUE"""),18900.0)</f>
        <v>18900</v>
      </c>
      <c r="R234" s="1">
        <f>IFERROR(__xludf.DUMMYFUNCTION("""COMPUTED_VALUE"""),350.0)</f>
        <v>350</v>
      </c>
      <c r="S234" s="1">
        <f>IFERROR(__xludf.DUMMYFUNCTION("""COMPUTED_VALUE"""),500.0)</f>
        <v>500</v>
      </c>
      <c r="T234" s="1">
        <f>IFERROR(__xludf.DUMMYFUNCTION("""COMPUTED_VALUE"""),600.0)</f>
        <v>600</v>
      </c>
      <c r="U234" s="1">
        <f>IFERROR(__xludf.DUMMYFUNCTION("""COMPUTED_VALUE"""),500.0)</f>
        <v>500</v>
      </c>
      <c r="V234" s="1"/>
      <c r="W234" s="1"/>
      <c r="X234" s="1">
        <f>IFERROR(__xludf.DUMMYFUNCTION("""COMPUTED_VALUE"""),0.0)</f>
        <v>0</v>
      </c>
      <c r="Y234" s="1">
        <f>IFERROR(__xludf.DUMMYFUNCTION("""COMPUTED_VALUE"""),398.25)</f>
        <v>398.25</v>
      </c>
      <c r="Z234" s="1">
        <f>IFERROR(__xludf.DUMMYFUNCTION("""COMPUTED_VALUE"""),1722.0)</f>
        <v>1722</v>
      </c>
      <c r="AA234" s="1">
        <f>IFERROR(__xludf.DUMMYFUNCTION("""COMPUTED_VALUE"""),399.0)</f>
        <v>399</v>
      </c>
      <c r="AB234" s="1">
        <f>IFERROR(__xludf.DUMMYFUNCTION("""COMPUTED_VALUE"""),217744.0)</f>
        <v>217744</v>
      </c>
      <c r="AC234" s="1">
        <f>IFERROR(__xludf.DUMMYFUNCTION("""COMPUTED_VALUE"""),3500.0)</f>
        <v>3500</v>
      </c>
      <c r="AD234" s="1">
        <f>IFERROR(__xludf.DUMMYFUNCTION("""COMPUTED_VALUE"""),375.0)</f>
        <v>375</v>
      </c>
      <c r="AE234" s="1">
        <f>IFERROR(__xludf.DUMMYFUNCTION("""COMPUTED_VALUE"""),38524.0)</f>
        <v>38524</v>
      </c>
      <c r="AF234" s="1">
        <f>IFERROR(__xludf.DUMMYFUNCTION("""COMPUTED_VALUE"""),197.210006713867)</f>
        <v>197.2100067</v>
      </c>
      <c r="AG234" s="1">
        <f>IFERROR(__xludf.DUMMYFUNCTION("""COMPUTED_VALUE"""),400.0)</f>
        <v>400</v>
      </c>
      <c r="AH234" s="1">
        <f>IFERROR(__xludf.DUMMYFUNCTION("""COMPUTED_VALUE"""),400.0)</f>
        <v>400</v>
      </c>
      <c r="AI234" s="1">
        <f>IFERROR(__xludf.DUMMYFUNCTION("""COMPUTED_VALUE"""),400.0)</f>
        <v>400</v>
      </c>
      <c r="AJ234" s="1"/>
      <c r="AK234" s="1"/>
      <c r="AL234" s="1">
        <f>IFERROR(__xludf.DUMMYFUNCTION("""COMPUTED_VALUE"""),0.0)</f>
        <v>0</v>
      </c>
      <c r="AM234" s="1">
        <f>IFERROR(__xludf.DUMMYFUNCTION("""COMPUTED_VALUE"""),345.0)</f>
        <v>345</v>
      </c>
      <c r="AN234" s="1">
        <f>IFERROR(__xludf.DUMMYFUNCTION("""COMPUTED_VALUE"""),1000.0)</f>
        <v>1000</v>
      </c>
      <c r="AO234" s="1">
        <f>IFERROR(__xludf.DUMMYFUNCTION("""COMPUTED_VALUE"""),417.0)</f>
        <v>417</v>
      </c>
      <c r="AP234" s="1">
        <f>IFERROR(__xludf.DUMMYFUNCTION("""COMPUTED_VALUE"""),28145.0)</f>
        <v>28145</v>
      </c>
      <c r="AQ234" s="1">
        <f>IFERROR(__xludf.DUMMYFUNCTION("""COMPUTED_VALUE"""),250.0)</f>
        <v>250</v>
      </c>
      <c r="AR234" s="1">
        <f>IFERROR(__xludf.DUMMYFUNCTION("""COMPUTED_VALUE"""),345.0)</f>
        <v>345</v>
      </c>
      <c r="AS234" s="1">
        <f>IFERROR(__xludf.DUMMYFUNCTION("""COMPUTED_VALUE"""),31845.0)</f>
        <v>31845</v>
      </c>
    </row>
    <row r="235">
      <c r="A235" s="1" t="str">
        <f>IFERROR(__xludf.DUMMYFUNCTION("""COMPUTED_VALUE"""),"NS")</f>
        <v>NS</v>
      </c>
      <c r="B235" s="1"/>
      <c r="C235" s="1"/>
      <c r="D235" s="1">
        <f>IFERROR(__xludf.DUMMYFUNCTION("""COMPUTED_VALUE"""),320.0)</f>
        <v>320</v>
      </c>
      <c r="E235" s="1">
        <f>IFERROR(__xludf.DUMMYFUNCTION("""COMPUTED_VALUE"""),117.0)</f>
        <v>117</v>
      </c>
      <c r="F235" s="1">
        <f>IFERROR(__xludf.DUMMYFUNCTION("""COMPUTED_VALUE"""),359.0)</f>
        <v>359</v>
      </c>
      <c r="G235" s="1">
        <f>IFERROR(__xludf.DUMMYFUNCTION("""COMPUTED_VALUE"""),39483.0)</f>
        <v>39483</v>
      </c>
      <c r="H235" s="1">
        <f>IFERROR(__xludf.DUMMYFUNCTION("""COMPUTED_VALUE"""),100.0)</f>
        <v>100</v>
      </c>
      <c r="I235" s="1">
        <f>IFERROR(__xludf.DUMMYFUNCTION("""COMPUTED_VALUE"""),321.0)</f>
        <v>321</v>
      </c>
      <c r="J235" s="1">
        <f>IFERROR(__xludf.DUMMYFUNCTION("""COMPUTED_VALUE"""),17941.0)</f>
        <v>17941</v>
      </c>
      <c r="K235" s="1">
        <f>IFERROR(__xludf.DUMMYFUNCTION("""COMPUTED_VALUE"""),360.0)</f>
        <v>360</v>
      </c>
      <c r="L235" s="1">
        <f>IFERROR(__xludf.DUMMYFUNCTION("""COMPUTED_VALUE"""),1200.0)</f>
        <v>1200</v>
      </c>
      <c r="M235" s="1">
        <f>IFERROR(__xludf.DUMMYFUNCTION("""COMPUTED_VALUE"""),350.0)</f>
        <v>350</v>
      </c>
      <c r="N235" s="1">
        <f>IFERROR(__xludf.DUMMYFUNCTION("""COMPUTED_VALUE"""),20439.0)</f>
        <v>20439</v>
      </c>
      <c r="O235" s="1">
        <f>IFERROR(__xludf.DUMMYFUNCTION("""COMPUTED_VALUE"""),543.0)</f>
        <v>543</v>
      </c>
      <c r="P235" s="1">
        <f>IFERROR(__xludf.DUMMYFUNCTION("""COMPUTED_VALUE"""),250.0)</f>
        <v>250</v>
      </c>
      <c r="Q235" s="1">
        <f>IFERROR(__xludf.DUMMYFUNCTION("""COMPUTED_VALUE"""),7729.0)</f>
        <v>7729</v>
      </c>
      <c r="R235" s="1">
        <f>IFERROR(__xludf.DUMMYFUNCTION("""COMPUTED_VALUE"""),250.0)</f>
        <v>250</v>
      </c>
      <c r="S235" s="1">
        <f>IFERROR(__xludf.DUMMYFUNCTION("""COMPUTED_VALUE"""),1000.0)</f>
        <v>1000</v>
      </c>
      <c r="T235" s="1">
        <f>IFERROR(__xludf.DUMMYFUNCTION("""COMPUTED_VALUE"""),500.0)</f>
        <v>500</v>
      </c>
      <c r="U235" s="1">
        <f>IFERROR(__xludf.DUMMYFUNCTION("""COMPUTED_VALUE"""),1000.0)</f>
        <v>1000</v>
      </c>
      <c r="V235" s="1"/>
      <c r="W235" s="1"/>
      <c r="X235" s="1">
        <f>IFERROR(__xludf.DUMMYFUNCTION("""COMPUTED_VALUE"""),0.0)</f>
        <v>0</v>
      </c>
      <c r="Y235" s="1">
        <f>IFERROR(__xludf.DUMMYFUNCTION("""COMPUTED_VALUE"""),361.0)</f>
        <v>361</v>
      </c>
      <c r="Z235" s="1">
        <f>IFERROR(__xludf.DUMMYFUNCTION("""COMPUTED_VALUE"""),7270.0)</f>
        <v>7270</v>
      </c>
      <c r="AA235" s="1">
        <f>IFERROR(__xludf.DUMMYFUNCTION("""COMPUTED_VALUE"""),361.0)</f>
        <v>361</v>
      </c>
      <c r="AB235" s="1">
        <f>IFERROR(__xludf.DUMMYFUNCTION("""COMPUTED_VALUE"""),32219.0)</f>
        <v>32219</v>
      </c>
      <c r="AC235" s="1">
        <f>IFERROR(__xludf.DUMMYFUNCTION("""COMPUTED_VALUE"""),591.0)</f>
        <v>591</v>
      </c>
      <c r="AD235" s="1">
        <f>IFERROR(__xludf.DUMMYFUNCTION("""COMPUTED_VALUE"""),350.0)</f>
        <v>350</v>
      </c>
      <c r="AE235" s="1">
        <f>IFERROR(__xludf.DUMMYFUNCTION("""COMPUTED_VALUE"""),25304.0)</f>
        <v>25304</v>
      </c>
      <c r="AF235" s="1">
        <f>IFERROR(__xludf.DUMMYFUNCTION("""COMPUTED_VALUE"""),340.0)</f>
        <v>340</v>
      </c>
      <c r="AG235" s="1">
        <f>IFERROR(__xludf.DUMMYFUNCTION("""COMPUTED_VALUE"""),78.0)</f>
        <v>78</v>
      </c>
      <c r="AH235" s="1">
        <f>IFERROR(__xludf.DUMMYFUNCTION("""COMPUTED_VALUE"""),340.0)</f>
        <v>340</v>
      </c>
      <c r="AI235" s="1">
        <f>IFERROR(__xludf.DUMMYFUNCTION("""COMPUTED_VALUE"""),2970.0)</f>
        <v>2970</v>
      </c>
      <c r="AJ235" s="1"/>
      <c r="AK235" s="1"/>
      <c r="AL235" s="1">
        <f>IFERROR(__xludf.DUMMYFUNCTION("""COMPUTED_VALUE"""),0.0)</f>
        <v>0</v>
      </c>
      <c r="AM235" s="1">
        <f>IFERROR(__xludf.DUMMYFUNCTION("""COMPUTED_VALUE"""),418.0)</f>
        <v>418</v>
      </c>
      <c r="AN235" s="1">
        <f>IFERROR(__xludf.DUMMYFUNCTION("""COMPUTED_VALUE"""),2000.0)</f>
        <v>2000</v>
      </c>
      <c r="AO235" s="1">
        <f>IFERROR(__xludf.DUMMYFUNCTION("""COMPUTED_VALUE"""),419.0)</f>
        <v>419</v>
      </c>
      <c r="AP235" s="1">
        <f>IFERROR(__xludf.DUMMYFUNCTION("""COMPUTED_VALUE"""),47233.0)</f>
        <v>47233</v>
      </c>
      <c r="AQ235" s="1">
        <f>IFERROR(__xludf.DUMMYFUNCTION("""COMPUTED_VALUE"""),1292.0)</f>
        <v>1292</v>
      </c>
      <c r="AR235" s="1">
        <f>IFERROR(__xludf.DUMMYFUNCTION("""COMPUTED_VALUE"""),310.0)</f>
        <v>310</v>
      </c>
      <c r="AS235" s="1">
        <f>IFERROR(__xludf.DUMMYFUNCTION("""COMPUTED_VALUE"""),2581.0)</f>
        <v>2581</v>
      </c>
    </row>
    <row r="236">
      <c r="A236" s="1" t="str">
        <f>IFERROR(__xludf.DUMMYFUNCTION("""COMPUTED_VALUE"""),"NST")</f>
        <v>NST</v>
      </c>
      <c r="B236" s="1"/>
      <c r="C236" s="1"/>
      <c r="D236" s="1">
        <f>IFERROR(__xludf.DUMMYFUNCTION("""COMPUTED_VALUE"""),1780.0)</f>
        <v>1780</v>
      </c>
      <c r="E236" s="1">
        <f>IFERROR(__xludf.DUMMYFUNCTION("""COMPUTED_VALUE"""),18.0)</f>
        <v>18</v>
      </c>
      <c r="F236" s="1">
        <f>IFERROR(__xludf.DUMMYFUNCTION("""COMPUTED_VALUE"""),1780.0)</f>
        <v>1780</v>
      </c>
      <c r="G236" s="1">
        <f>IFERROR(__xludf.DUMMYFUNCTION("""COMPUTED_VALUE"""),1989.0)</f>
        <v>1989</v>
      </c>
      <c r="H236" s="1">
        <f>IFERROR(__xludf.DUMMYFUNCTION("""COMPUTED_VALUE"""),162.0)</f>
        <v>162</v>
      </c>
      <c r="I236" s="1">
        <f>IFERROR(__xludf.DUMMYFUNCTION("""COMPUTED_VALUE"""),1220.0)</f>
        <v>1220</v>
      </c>
      <c r="J236" s="1">
        <f>IFERROR(__xludf.DUMMYFUNCTION("""COMPUTED_VALUE"""),162.0)</f>
        <v>162</v>
      </c>
      <c r="K236" s="1">
        <f>IFERROR(__xludf.DUMMYFUNCTION("""COMPUTED_VALUE"""),1220.52001953125)</f>
        <v>1220.52002</v>
      </c>
      <c r="L236" s="1">
        <f>IFERROR(__xludf.DUMMYFUNCTION("""COMPUTED_VALUE"""),620.0)</f>
        <v>620</v>
      </c>
      <c r="M236" s="1">
        <f>IFERROR(__xludf.DUMMYFUNCTION("""COMPUTED_VALUE"""),1590.0)</f>
        <v>1590</v>
      </c>
      <c r="N236" s="1">
        <f>IFERROR(__xludf.DUMMYFUNCTION("""COMPUTED_VALUE"""),1258.0)</f>
        <v>1258</v>
      </c>
      <c r="O236" s="1">
        <f>IFERROR(__xludf.DUMMYFUNCTION("""COMPUTED_VALUE"""),223.0)</f>
        <v>223</v>
      </c>
      <c r="P236" s="1">
        <f>IFERROR(__xludf.DUMMYFUNCTION("""COMPUTED_VALUE"""),1210.0)</f>
        <v>1210</v>
      </c>
      <c r="Q236" s="1">
        <f>IFERROR(__xludf.DUMMYFUNCTION("""COMPUTED_VALUE"""),223.0)</f>
        <v>223</v>
      </c>
      <c r="R236" s="1">
        <f>IFERROR(__xludf.DUMMYFUNCTION("""COMPUTED_VALUE"""),1200.0)</f>
        <v>1200</v>
      </c>
      <c r="S236" s="1">
        <f>IFERROR(__xludf.DUMMYFUNCTION("""COMPUTED_VALUE"""),50.0)</f>
        <v>50</v>
      </c>
      <c r="T236" s="1">
        <f>IFERROR(__xludf.DUMMYFUNCTION("""COMPUTED_VALUE"""),2000.0)</f>
        <v>2000</v>
      </c>
      <c r="U236" s="1">
        <f>IFERROR(__xludf.DUMMYFUNCTION("""COMPUTED_VALUE"""),66.0)</f>
        <v>66</v>
      </c>
      <c r="V236" s="1"/>
      <c r="W236" s="1"/>
      <c r="X236" s="1">
        <f>IFERROR(__xludf.DUMMYFUNCTION("""COMPUTED_VALUE"""),0.0)</f>
        <v>0</v>
      </c>
      <c r="Y236" s="1">
        <f>IFERROR(__xludf.DUMMYFUNCTION("""COMPUTED_VALUE"""),1700.0)</f>
        <v>1700</v>
      </c>
      <c r="Z236" s="1">
        <f>IFERROR(__xludf.DUMMYFUNCTION("""COMPUTED_VALUE"""),213.0)</f>
        <v>213</v>
      </c>
      <c r="AA236" s="1">
        <f>IFERROR(__xludf.DUMMYFUNCTION("""COMPUTED_VALUE"""),1700.0)</f>
        <v>1700</v>
      </c>
      <c r="AB236" s="1">
        <f>IFERROR(__xludf.DUMMYFUNCTION("""COMPUTED_VALUE"""),2362.0)</f>
        <v>2362</v>
      </c>
      <c r="AC236" s="1">
        <f>IFERROR(__xludf.DUMMYFUNCTION("""COMPUTED_VALUE"""),391.0)</f>
        <v>391</v>
      </c>
      <c r="AD236" s="1">
        <f>IFERROR(__xludf.DUMMYFUNCTION("""COMPUTED_VALUE"""),1200.0)</f>
        <v>1200</v>
      </c>
      <c r="AE236" s="1">
        <f>IFERROR(__xludf.DUMMYFUNCTION("""COMPUTED_VALUE"""),791.0)</f>
        <v>791</v>
      </c>
      <c r="AF236" s="1">
        <f>IFERROR(__xludf.DUMMYFUNCTION("""COMPUTED_VALUE"""),1339.13000488281)</f>
        <v>1339.130005</v>
      </c>
      <c r="AG236" s="1">
        <f>IFERROR(__xludf.DUMMYFUNCTION("""COMPUTED_VALUE"""),10.0)</f>
        <v>10</v>
      </c>
      <c r="AH236" s="1">
        <f>IFERROR(__xludf.DUMMYFUNCTION("""COMPUTED_VALUE"""),1570.0)</f>
        <v>1570</v>
      </c>
      <c r="AI236" s="1">
        <f>IFERROR(__xludf.DUMMYFUNCTION("""COMPUTED_VALUE"""),212.0)</f>
        <v>212</v>
      </c>
      <c r="AJ236" s="1"/>
      <c r="AK236" s="1"/>
      <c r="AL236" s="1">
        <f>IFERROR(__xludf.DUMMYFUNCTION("""COMPUTED_VALUE"""),0.0)</f>
        <v>0</v>
      </c>
      <c r="AM236" s="1">
        <f>IFERROR(__xludf.DUMMYFUNCTION("""COMPUTED_VALUE"""),1000.0)</f>
        <v>1000</v>
      </c>
      <c r="AN236" s="1">
        <f>IFERROR(__xludf.DUMMYFUNCTION("""COMPUTED_VALUE"""),45.0)</f>
        <v>45</v>
      </c>
      <c r="AO236" s="1">
        <f>IFERROR(__xludf.DUMMYFUNCTION("""COMPUTED_VALUE"""),1590.0)</f>
        <v>1590</v>
      </c>
      <c r="AP236" s="1">
        <f>IFERROR(__xludf.DUMMYFUNCTION("""COMPUTED_VALUE"""),851.0)</f>
        <v>851</v>
      </c>
      <c r="AQ236" s="1">
        <f>IFERROR(__xludf.DUMMYFUNCTION("""COMPUTED_VALUE"""),140.0)</f>
        <v>140</v>
      </c>
      <c r="AR236" s="1">
        <f>IFERROR(__xludf.DUMMYFUNCTION("""COMPUTED_VALUE"""),1000.0)</f>
        <v>1000</v>
      </c>
      <c r="AS236" s="1">
        <f>IFERROR(__xludf.DUMMYFUNCTION("""COMPUTED_VALUE"""),10140.0)</f>
        <v>10140</v>
      </c>
    </row>
    <row r="237">
      <c r="A237" s="1" t="str">
        <f>IFERROR(__xludf.DUMMYFUNCTION("""COMPUTED_VALUE"""),"NUT")</f>
        <v>NUT</v>
      </c>
      <c r="B237" s="1">
        <f>IFERROR(__xludf.DUMMYFUNCTION("""COMPUTED_VALUE"""),88.0)</f>
        <v>88</v>
      </c>
      <c r="C237" s="1"/>
      <c r="D237" s="1">
        <f>IFERROR(__xludf.DUMMYFUNCTION("""COMPUTED_VALUE"""),350.0)</f>
        <v>350</v>
      </c>
      <c r="E237" s="1">
        <f>IFERROR(__xludf.DUMMYFUNCTION("""COMPUTED_VALUE"""),4415.0)</f>
        <v>4415</v>
      </c>
      <c r="F237" s="1">
        <f>IFERROR(__xludf.DUMMYFUNCTION("""COMPUTED_VALUE"""),350.0)</f>
        <v>350</v>
      </c>
      <c r="G237" s="1">
        <f>IFERROR(__xludf.DUMMYFUNCTION("""COMPUTED_VALUE"""),12178.0)</f>
        <v>12178</v>
      </c>
      <c r="H237" s="1">
        <f>IFERROR(__xludf.DUMMYFUNCTION("""COMPUTED_VALUE"""),2647.0)</f>
        <v>2647</v>
      </c>
      <c r="I237" s="1">
        <f>IFERROR(__xludf.DUMMYFUNCTION("""COMPUTED_VALUE"""),301.0)</f>
        <v>301</v>
      </c>
      <c r="J237" s="1">
        <f>IFERROR(__xludf.DUMMYFUNCTION("""COMPUTED_VALUE"""),5984.0)</f>
        <v>5984</v>
      </c>
      <c r="K237" s="1">
        <f>IFERROR(__xludf.DUMMYFUNCTION("""COMPUTED_VALUE"""),260.0)</f>
        <v>260</v>
      </c>
      <c r="L237" s="1">
        <f>IFERROR(__xludf.DUMMYFUNCTION("""COMPUTED_VALUE"""),171.0)</f>
        <v>171</v>
      </c>
      <c r="M237" s="1">
        <f>IFERROR(__xludf.DUMMYFUNCTION("""COMPUTED_VALUE"""),300.0)</f>
        <v>300</v>
      </c>
      <c r="N237" s="1">
        <f>IFERROR(__xludf.DUMMYFUNCTION("""COMPUTED_VALUE"""),5750.0)</f>
        <v>5750</v>
      </c>
      <c r="O237" s="1">
        <f>IFERROR(__xludf.DUMMYFUNCTION("""COMPUTED_VALUE"""),150.0)</f>
        <v>150</v>
      </c>
      <c r="P237" s="1">
        <f>IFERROR(__xludf.DUMMYFUNCTION("""COMPUTED_VALUE"""),280.0)</f>
        <v>280</v>
      </c>
      <c r="Q237" s="1">
        <f>IFERROR(__xludf.DUMMYFUNCTION("""COMPUTED_VALUE"""),5483.0)</f>
        <v>5483</v>
      </c>
      <c r="R237" s="1">
        <f>IFERROR(__xludf.DUMMYFUNCTION("""COMPUTED_VALUE"""),250.0)</f>
        <v>250</v>
      </c>
      <c r="S237" s="1">
        <f>IFERROR(__xludf.DUMMYFUNCTION("""COMPUTED_VALUE"""),10.0)</f>
        <v>10</v>
      </c>
      <c r="T237" s="1">
        <f>IFERROR(__xludf.DUMMYFUNCTION("""COMPUTED_VALUE"""),300.0)</f>
        <v>300</v>
      </c>
      <c r="U237" s="1">
        <f>IFERROR(__xludf.DUMMYFUNCTION("""COMPUTED_VALUE"""),10.0)</f>
        <v>10</v>
      </c>
      <c r="V237" s="1"/>
      <c r="W237" s="1"/>
      <c r="X237" s="1">
        <f>IFERROR(__xludf.DUMMYFUNCTION("""COMPUTED_VALUE"""),0.0)</f>
        <v>0</v>
      </c>
      <c r="Y237" s="1">
        <f>IFERROR(__xludf.DUMMYFUNCTION("""COMPUTED_VALUE"""),364.670013427734)</f>
        <v>364.6700134</v>
      </c>
      <c r="Z237" s="1">
        <f>IFERROR(__xludf.DUMMYFUNCTION("""COMPUTED_VALUE"""),837.0)</f>
        <v>837</v>
      </c>
      <c r="AA237" s="1">
        <f>IFERROR(__xludf.DUMMYFUNCTION("""COMPUTED_VALUE"""),365.0)</f>
        <v>365</v>
      </c>
      <c r="AB237" s="1">
        <f>IFERROR(__xludf.DUMMYFUNCTION("""COMPUTED_VALUE"""),19211.0)</f>
        <v>19211</v>
      </c>
      <c r="AC237" s="1">
        <f>IFERROR(__xludf.DUMMYFUNCTION("""COMPUTED_VALUE"""),998.0)</f>
        <v>998</v>
      </c>
      <c r="AD237" s="1">
        <f>IFERROR(__xludf.DUMMYFUNCTION("""COMPUTED_VALUE"""),355.0)</f>
        <v>355</v>
      </c>
      <c r="AE237" s="1">
        <f>IFERROR(__xludf.DUMMYFUNCTION("""COMPUTED_VALUE"""),15420.0)</f>
        <v>15420</v>
      </c>
      <c r="AF237" s="1">
        <f>IFERROR(__xludf.DUMMYFUNCTION("""COMPUTED_VALUE"""),275.0)</f>
        <v>275</v>
      </c>
      <c r="AG237" s="1"/>
      <c r="AH237" s="1"/>
      <c r="AI237" s="1">
        <f>IFERROR(__xludf.DUMMYFUNCTION("""COMPUTED_VALUE"""),0.0)</f>
        <v>0</v>
      </c>
      <c r="AJ237" s="1">
        <f>IFERROR(__xludf.DUMMYFUNCTION("""COMPUTED_VALUE"""),951.0)</f>
        <v>951</v>
      </c>
      <c r="AK237" s="1">
        <f>IFERROR(__xludf.DUMMYFUNCTION("""COMPUTED_VALUE"""),275.0)</f>
        <v>275</v>
      </c>
      <c r="AL237" s="1">
        <f>IFERROR(__xludf.DUMMYFUNCTION("""COMPUTED_VALUE"""),951.0)</f>
        <v>951</v>
      </c>
      <c r="AM237" s="1">
        <f>IFERROR(__xludf.DUMMYFUNCTION("""COMPUTED_VALUE"""),292.429992675781)</f>
        <v>292.4299927</v>
      </c>
      <c r="AN237" s="1">
        <f>IFERROR(__xludf.DUMMYFUNCTION("""COMPUTED_VALUE"""),16.0)</f>
        <v>16</v>
      </c>
      <c r="AO237" s="1">
        <f>IFERROR(__xludf.DUMMYFUNCTION("""COMPUTED_VALUE"""),295.0)</f>
        <v>295</v>
      </c>
      <c r="AP237" s="1">
        <f>IFERROR(__xludf.DUMMYFUNCTION("""COMPUTED_VALUE"""),4199.0)</f>
        <v>4199</v>
      </c>
      <c r="AQ237" s="1">
        <f>IFERROR(__xludf.DUMMYFUNCTION("""COMPUTED_VALUE"""),118.0)</f>
        <v>118</v>
      </c>
      <c r="AR237" s="1">
        <f>IFERROR(__xludf.DUMMYFUNCTION("""COMPUTED_VALUE"""),276.0)</f>
        <v>276</v>
      </c>
      <c r="AS237" s="1">
        <f>IFERROR(__xludf.DUMMYFUNCTION("""COMPUTED_VALUE"""),21360.0)</f>
        <v>21360</v>
      </c>
    </row>
    <row r="238">
      <c r="A238" s="1" t="str">
        <f>IFERROR(__xludf.DUMMYFUNCTION("""COMPUTED_VALUE"""),"NV1")</f>
        <v>NV1</v>
      </c>
      <c r="B238" s="1">
        <f>IFERROR(__xludf.DUMMYFUNCTION("""COMPUTED_VALUE"""),135000.0)</f>
        <v>135000</v>
      </c>
      <c r="C238" s="1"/>
      <c r="D238" s="1">
        <f>IFERROR(__xludf.DUMMYFUNCTION("""COMPUTED_VALUE"""),136000.0)</f>
        <v>136000</v>
      </c>
      <c r="E238" s="1">
        <f>IFERROR(__xludf.DUMMYFUNCTION("""COMPUTED_VALUE"""),9.0)</f>
        <v>9</v>
      </c>
      <c r="F238" s="1">
        <f>IFERROR(__xludf.DUMMYFUNCTION("""COMPUTED_VALUE"""),136000.0)</f>
        <v>136000</v>
      </c>
      <c r="G238" s="1">
        <f>IFERROR(__xludf.DUMMYFUNCTION("""COMPUTED_VALUE"""),44.0)</f>
        <v>44</v>
      </c>
      <c r="H238" s="1">
        <f>IFERROR(__xludf.DUMMYFUNCTION("""COMPUTED_VALUE"""),100.0)</f>
        <v>100</v>
      </c>
      <c r="I238" s="1">
        <f>IFERROR(__xludf.DUMMYFUNCTION("""COMPUTED_VALUE"""),135000.0)</f>
        <v>135000</v>
      </c>
      <c r="J238" s="1">
        <f>IFERROR(__xludf.DUMMYFUNCTION("""COMPUTED_VALUE"""),100.0)</f>
        <v>100</v>
      </c>
      <c r="K238" s="1">
        <f>IFERROR(__xludf.DUMMYFUNCTION("""COMPUTED_VALUE"""),189500.0)</f>
        <v>189500</v>
      </c>
      <c r="L238" s="1">
        <f>IFERROR(__xludf.DUMMYFUNCTION("""COMPUTED_VALUE"""),1.0)</f>
        <v>1</v>
      </c>
      <c r="M238" s="1">
        <f>IFERROR(__xludf.DUMMYFUNCTION("""COMPUTED_VALUE"""),180000.0)</f>
        <v>180000</v>
      </c>
      <c r="N238" s="1">
        <f>IFERROR(__xludf.DUMMYFUNCTION("""COMPUTED_VALUE"""),11.0)</f>
        <v>11</v>
      </c>
      <c r="O238" s="1">
        <f>IFERROR(__xludf.DUMMYFUNCTION("""COMPUTED_VALUE"""),1.0)</f>
        <v>1</v>
      </c>
      <c r="P238" s="1">
        <f>IFERROR(__xludf.DUMMYFUNCTION("""COMPUTED_VALUE"""),140000.0)</f>
        <v>140000</v>
      </c>
      <c r="Q238" s="1">
        <f>IFERROR(__xludf.DUMMYFUNCTION("""COMPUTED_VALUE"""),105.0)</f>
        <v>105</v>
      </c>
      <c r="R238" s="1">
        <f>IFERROR(__xludf.DUMMYFUNCTION("""COMPUTED_VALUE"""),93389.109375)</f>
        <v>93389.10938</v>
      </c>
      <c r="S238" s="1"/>
      <c r="T238" s="1"/>
      <c r="U238" s="1">
        <f>IFERROR(__xludf.DUMMYFUNCTION("""COMPUTED_VALUE"""),0.0)</f>
        <v>0</v>
      </c>
      <c r="V238" s="1"/>
      <c r="W238" s="1"/>
      <c r="X238" s="1">
        <f>IFERROR(__xludf.DUMMYFUNCTION("""COMPUTED_VALUE"""),0.0)</f>
        <v>0</v>
      </c>
      <c r="Y238" s="1">
        <f>IFERROR(__xludf.DUMMYFUNCTION("""COMPUTED_VALUE"""),140000.0)</f>
        <v>140000</v>
      </c>
      <c r="Z238" s="1">
        <f>IFERROR(__xludf.DUMMYFUNCTION("""COMPUTED_VALUE"""),1.0)</f>
        <v>1</v>
      </c>
      <c r="AA238" s="1">
        <f>IFERROR(__xludf.DUMMYFUNCTION("""COMPUTED_VALUE"""),150000.0)</f>
        <v>150000</v>
      </c>
      <c r="AB238" s="1">
        <f>IFERROR(__xludf.DUMMYFUNCTION("""COMPUTED_VALUE"""),6.0)</f>
        <v>6</v>
      </c>
      <c r="AC238" s="1">
        <f>IFERROR(__xludf.DUMMYFUNCTION("""COMPUTED_VALUE"""),1.0)</f>
        <v>1</v>
      </c>
      <c r="AD238" s="1">
        <f>IFERROR(__xludf.DUMMYFUNCTION("""COMPUTED_VALUE"""),136000.0)</f>
        <v>136000</v>
      </c>
      <c r="AE238" s="1">
        <f>IFERROR(__xludf.DUMMYFUNCTION("""COMPUTED_VALUE"""),101.0)</f>
        <v>101</v>
      </c>
      <c r="AF238" s="1">
        <f>IFERROR(__xludf.DUMMYFUNCTION("""COMPUTED_VALUE"""),93389.109375)</f>
        <v>93389.10938</v>
      </c>
      <c r="AG238" s="1"/>
      <c r="AH238" s="1"/>
      <c r="AI238" s="1">
        <f>IFERROR(__xludf.DUMMYFUNCTION("""COMPUTED_VALUE"""),0.0)</f>
        <v>0</v>
      </c>
      <c r="AJ238" s="1"/>
      <c r="AK238" s="1"/>
      <c r="AL238" s="1">
        <f>IFERROR(__xludf.DUMMYFUNCTION("""COMPUTED_VALUE"""),0.0)</f>
        <v>0</v>
      </c>
      <c r="AM238" s="1">
        <f>IFERROR(__xludf.DUMMYFUNCTION("""COMPUTED_VALUE"""),136000.0)</f>
        <v>136000</v>
      </c>
      <c r="AN238" s="1">
        <f>IFERROR(__xludf.DUMMYFUNCTION("""COMPUTED_VALUE"""),18.0)</f>
        <v>18</v>
      </c>
      <c r="AO238" s="1">
        <f>IFERROR(__xludf.DUMMYFUNCTION("""COMPUTED_VALUE"""),136000.0)</f>
        <v>136000</v>
      </c>
      <c r="AP238" s="1">
        <f>IFERROR(__xludf.DUMMYFUNCTION("""COMPUTED_VALUE"""),26.0)</f>
        <v>26</v>
      </c>
      <c r="AQ238" s="1">
        <f>IFERROR(__xludf.DUMMYFUNCTION("""COMPUTED_VALUE"""),100.0)</f>
        <v>100</v>
      </c>
      <c r="AR238" s="1">
        <f>IFERROR(__xludf.DUMMYFUNCTION("""COMPUTED_VALUE"""),135000.0)</f>
        <v>135000</v>
      </c>
      <c r="AS238" s="1">
        <f>IFERROR(__xludf.DUMMYFUNCTION("""COMPUTED_VALUE"""),100.0)</f>
        <v>100</v>
      </c>
    </row>
    <row r="239">
      <c r="A239" s="1" t="str">
        <f>IFERROR(__xludf.DUMMYFUNCTION("""COMPUTED_VALUE"""),"NV2")</f>
        <v>NV2</v>
      </c>
      <c r="B239" s="1">
        <f>IFERROR(__xludf.DUMMYFUNCTION("""COMPUTED_VALUE"""),200000.0)</f>
        <v>200000</v>
      </c>
      <c r="C239" s="1"/>
      <c r="D239" s="1">
        <f>IFERROR(__xludf.DUMMYFUNCTION("""COMPUTED_VALUE"""),200000.0)</f>
        <v>200000</v>
      </c>
      <c r="E239" s="1">
        <f>IFERROR(__xludf.DUMMYFUNCTION("""COMPUTED_VALUE"""),4.0)</f>
        <v>4</v>
      </c>
      <c r="F239" s="1">
        <f>IFERROR(__xludf.DUMMYFUNCTION("""COMPUTED_VALUE"""),249000.0)</f>
        <v>249000</v>
      </c>
      <c r="G239" s="1">
        <f>IFERROR(__xludf.DUMMYFUNCTION("""COMPUTED_VALUE"""),30.0)</f>
        <v>30</v>
      </c>
      <c r="H239" s="1">
        <f>IFERROR(__xludf.DUMMYFUNCTION("""COMPUTED_VALUE"""),100.0)</f>
        <v>100</v>
      </c>
      <c r="I239" s="1">
        <f>IFERROR(__xludf.DUMMYFUNCTION("""COMPUTED_VALUE"""),200000.0)</f>
        <v>200000</v>
      </c>
      <c r="J239" s="1">
        <f>IFERROR(__xludf.DUMMYFUNCTION("""COMPUTED_VALUE"""),100.0)</f>
        <v>100</v>
      </c>
      <c r="K239" s="1">
        <f>IFERROR(__xludf.DUMMYFUNCTION("""COMPUTED_VALUE"""),247000.0)</f>
        <v>247000</v>
      </c>
      <c r="L239" s="1">
        <f>IFERROR(__xludf.DUMMYFUNCTION("""COMPUTED_VALUE"""),1.0)</f>
        <v>1</v>
      </c>
      <c r="M239" s="1">
        <f>IFERROR(__xludf.DUMMYFUNCTION("""COMPUTED_VALUE"""),248000.0)</f>
        <v>248000</v>
      </c>
      <c r="N239" s="1">
        <f>IFERROR(__xludf.DUMMYFUNCTION("""COMPUTED_VALUE"""),2.0)</f>
        <v>2</v>
      </c>
      <c r="O239" s="1">
        <f>IFERROR(__xludf.DUMMYFUNCTION("""COMPUTED_VALUE"""),1.0)</f>
        <v>1</v>
      </c>
      <c r="P239" s="1">
        <f>IFERROR(__xludf.DUMMYFUNCTION("""COMPUTED_VALUE"""),201000.0)</f>
        <v>201000</v>
      </c>
      <c r="Q239" s="1">
        <f>IFERROR(__xludf.DUMMYFUNCTION("""COMPUTED_VALUE"""),101.0)</f>
        <v>101</v>
      </c>
      <c r="R239" s="1">
        <f>IFERROR(__xludf.DUMMYFUNCTION("""COMPUTED_VALUE"""),129928.8828125)</f>
        <v>129928.8828</v>
      </c>
      <c r="S239" s="1"/>
      <c r="T239" s="1"/>
      <c r="U239" s="1">
        <f>IFERROR(__xludf.DUMMYFUNCTION("""COMPUTED_VALUE"""),0.0)</f>
        <v>0</v>
      </c>
      <c r="V239" s="1"/>
      <c r="W239" s="1"/>
      <c r="X239" s="1">
        <f>IFERROR(__xludf.DUMMYFUNCTION("""COMPUTED_VALUE"""),0.0)</f>
        <v>0</v>
      </c>
      <c r="Y239" s="1">
        <f>IFERROR(__xludf.DUMMYFUNCTION("""COMPUTED_VALUE"""),201446.078125)</f>
        <v>201446.0781</v>
      </c>
      <c r="Z239" s="1">
        <f>IFERROR(__xludf.DUMMYFUNCTION("""COMPUTED_VALUE"""),15.0)</f>
        <v>15</v>
      </c>
      <c r="AA239" s="1">
        <f>IFERROR(__xludf.DUMMYFUNCTION("""COMPUTED_VALUE"""),250000.0)</f>
        <v>250000</v>
      </c>
      <c r="AB239" s="1">
        <f>IFERROR(__xludf.DUMMYFUNCTION("""COMPUTED_VALUE"""),28.0)</f>
        <v>28</v>
      </c>
      <c r="AC239" s="1">
        <f>IFERROR(__xludf.DUMMYFUNCTION("""COMPUTED_VALUE"""),100.0)</f>
        <v>100</v>
      </c>
      <c r="AD239" s="1">
        <f>IFERROR(__xludf.DUMMYFUNCTION("""COMPUTED_VALUE"""),200000.0)</f>
        <v>200000</v>
      </c>
      <c r="AE239" s="1">
        <f>IFERROR(__xludf.DUMMYFUNCTION("""COMPUTED_VALUE"""),100.0)</f>
        <v>100</v>
      </c>
      <c r="AF239" s="1">
        <f>IFERROR(__xludf.DUMMYFUNCTION("""COMPUTED_VALUE"""),129928.8828125)</f>
        <v>129928.8828</v>
      </c>
      <c r="AG239" s="1"/>
      <c r="AH239" s="1"/>
      <c r="AI239" s="1">
        <f>IFERROR(__xludf.DUMMYFUNCTION("""COMPUTED_VALUE"""),0.0)</f>
        <v>0</v>
      </c>
      <c r="AJ239" s="1"/>
      <c r="AK239" s="1"/>
      <c r="AL239" s="1">
        <f>IFERROR(__xludf.DUMMYFUNCTION("""COMPUTED_VALUE"""),0.0)</f>
        <v>0</v>
      </c>
      <c r="AM239" s="1">
        <f>IFERROR(__xludf.DUMMYFUNCTION("""COMPUTED_VALUE"""),201000.0)</f>
        <v>201000</v>
      </c>
      <c r="AN239" s="1">
        <f>IFERROR(__xludf.DUMMYFUNCTION("""COMPUTED_VALUE"""),9.0)</f>
        <v>9</v>
      </c>
      <c r="AO239" s="1">
        <f>IFERROR(__xludf.DUMMYFUNCTION("""COMPUTED_VALUE"""),375000.0)</f>
        <v>375000</v>
      </c>
      <c r="AP239" s="1">
        <f>IFERROR(__xludf.DUMMYFUNCTION("""COMPUTED_VALUE"""),9.0)</f>
        <v>9</v>
      </c>
      <c r="AQ239" s="1">
        <f>IFERROR(__xludf.DUMMYFUNCTION("""COMPUTED_VALUE"""),4.0)</f>
        <v>4</v>
      </c>
      <c r="AR239" s="1">
        <f>IFERROR(__xludf.DUMMYFUNCTION("""COMPUTED_VALUE"""),201000.0)</f>
        <v>201000</v>
      </c>
      <c r="AS239" s="1">
        <f>IFERROR(__xludf.DUMMYFUNCTION("""COMPUTED_VALUE"""),104.0)</f>
        <v>104</v>
      </c>
    </row>
    <row r="240">
      <c r="A240" s="1" t="str">
        <f>IFERROR(__xludf.DUMMYFUNCTION("""COMPUTED_VALUE"""),"O")</f>
        <v>O</v>
      </c>
      <c r="B240" s="1">
        <f>IFERROR(__xludf.DUMMYFUNCTION("""COMPUTED_VALUE"""),32.0)</f>
        <v>32</v>
      </c>
      <c r="C240" s="1"/>
      <c r="D240" s="1">
        <f>IFERROR(__xludf.DUMMYFUNCTION("""COMPUTED_VALUE"""),99.0)</f>
        <v>99</v>
      </c>
      <c r="E240" s="1">
        <f>IFERROR(__xludf.DUMMYFUNCTION("""COMPUTED_VALUE"""),257.0)</f>
        <v>257</v>
      </c>
      <c r="F240" s="1">
        <f>IFERROR(__xludf.DUMMYFUNCTION("""COMPUTED_VALUE"""),99.0)</f>
        <v>99</v>
      </c>
      <c r="G240" s="1">
        <f>IFERROR(__xludf.DUMMYFUNCTION("""COMPUTED_VALUE"""),259227.0)</f>
        <v>259227</v>
      </c>
      <c r="H240" s="1">
        <f>IFERROR(__xludf.DUMMYFUNCTION("""COMPUTED_VALUE"""),500.0)</f>
        <v>500</v>
      </c>
      <c r="I240" s="1">
        <f>IFERROR(__xludf.DUMMYFUNCTION("""COMPUTED_VALUE"""),96.1999969482421)</f>
        <v>96.19999695</v>
      </c>
      <c r="J240" s="1">
        <f>IFERROR(__xludf.DUMMYFUNCTION("""COMPUTED_VALUE"""),83313.0)</f>
        <v>83313</v>
      </c>
      <c r="K240" s="1">
        <f>IFERROR(__xludf.DUMMYFUNCTION("""COMPUTED_VALUE"""),106.0)</f>
        <v>106</v>
      </c>
      <c r="L240" s="1">
        <f>IFERROR(__xludf.DUMMYFUNCTION("""COMPUTED_VALUE"""),515.0)</f>
        <v>515</v>
      </c>
      <c r="M240" s="1">
        <f>IFERROR(__xludf.DUMMYFUNCTION("""COMPUTED_VALUE"""),106.0)</f>
        <v>106</v>
      </c>
      <c r="N240" s="1">
        <f>IFERROR(__xludf.DUMMYFUNCTION("""COMPUTED_VALUE"""),20789.0)</f>
        <v>20789</v>
      </c>
      <c r="O240" s="1">
        <f>IFERROR(__xludf.DUMMYFUNCTION("""COMPUTED_VALUE"""),128.0)</f>
        <v>128</v>
      </c>
      <c r="P240" s="1">
        <f>IFERROR(__xludf.DUMMYFUNCTION("""COMPUTED_VALUE"""),102.0)</f>
        <v>102</v>
      </c>
      <c r="Q240" s="1">
        <f>IFERROR(__xludf.DUMMYFUNCTION("""COMPUTED_VALUE"""),50385.0)</f>
        <v>50385</v>
      </c>
      <c r="R240" s="1">
        <f>IFERROR(__xludf.DUMMYFUNCTION("""COMPUTED_VALUE"""),110.0)</f>
        <v>110</v>
      </c>
      <c r="S240" s="1">
        <f>IFERROR(__xludf.DUMMYFUNCTION("""COMPUTED_VALUE"""),871.0)</f>
        <v>871</v>
      </c>
      <c r="T240" s="1">
        <f>IFERROR(__xludf.DUMMYFUNCTION("""COMPUTED_VALUE"""),110.0)</f>
        <v>110</v>
      </c>
      <c r="U240" s="1">
        <f>IFERROR(__xludf.DUMMYFUNCTION("""COMPUTED_VALUE"""),1519.0)</f>
        <v>1519</v>
      </c>
      <c r="V240" s="1">
        <f>IFERROR(__xludf.DUMMYFUNCTION("""COMPUTED_VALUE"""),100.0)</f>
        <v>100</v>
      </c>
      <c r="W240" s="1">
        <f>IFERROR(__xludf.DUMMYFUNCTION("""COMPUTED_VALUE"""),100.0)</f>
        <v>100</v>
      </c>
      <c r="X240" s="1">
        <f>IFERROR(__xludf.DUMMYFUNCTION("""COMPUTED_VALUE"""),10902.0)</f>
        <v>10902</v>
      </c>
      <c r="Y240" s="1">
        <f>IFERROR(__xludf.DUMMYFUNCTION("""COMPUTED_VALUE"""),115.0)</f>
        <v>115</v>
      </c>
      <c r="Z240" s="1">
        <f>IFERROR(__xludf.DUMMYFUNCTION("""COMPUTED_VALUE"""),1926.0)</f>
        <v>1926</v>
      </c>
      <c r="AA240" s="1">
        <f>IFERROR(__xludf.DUMMYFUNCTION("""COMPUTED_VALUE"""),115.0)</f>
        <v>115</v>
      </c>
      <c r="AB240" s="1">
        <f>IFERROR(__xludf.DUMMYFUNCTION("""COMPUTED_VALUE"""),425338.0)</f>
        <v>425338</v>
      </c>
      <c r="AC240" s="1">
        <f>IFERROR(__xludf.DUMMYFUNCTION("""COMPUTED_VALUE"""),438.0)</f>
        <v>438</v>
      </c>
      <c r="AD240" s="1">
        <f>IFERROR(__xludf.DUMMYFUNCTION("""COMPUTED_VALUE"""),114.0)</f>
        <v>114</v>
      </c>
      <c r="AE240" s="1">
        <f>IFERROR(__xludf.DUMMYFUNCTION("""COMPUTED_VALUE"""),112408.0)</f>
        <v>112408</v>
      </c>
      <c r="AF240" s="1">
        <f>IFERROR(__xludf.DUMMYFUNCTION("""COMPUTED_VALUE"""),99.0)</f>
        <v>99</v>
      </c>
      <c r="AG240" s="1">
        <f>IFERROR(__xludf.DUMMYFUNCTION("""COMPUTED_VALUE"""),300.0)</f>
        <v>300</v>
      </c>
      <c r="AH240" s="1">
        <f>IFERROR(__xludf.DUMMYFUNCTION("""COMPUTED_VALUE"""),99.0)</f>
        <v>99</v>
      </c>
      <c r="AI240" s="1">
        <f>IFERROR(__xludf.DUMMYFUNCTION("""COMPUTED_VALUE"""),10455.0)</f>
        <v>10455</v>
      </c>
      <c r="AJ240" s="1">
        <f>IFERROR(__xludf.DUMMYFUNCTION("""COMPUTED_VALUE"""),1707.0)</f>
        <v>1707</v>
      </c>
      <c r="AK240" s="1">
        <f>IFERROR(__xludf.DUMMYFUNCTION("""COMPUTED_VALUE"""),75.0)</f>
        <v>75</v>
      </c>
      <c r="AL240" s="1">
        <f>IFERROR(__xludf.DUMMYFUNCTION("""COMPUTED_VALUE"""),6722.0)</f>
        <v>6722</v>
      </c>
      <c r="AM240" s="1">
        <f>IFERROR(__xludf.DUMMYFUNCTION("""COMPUTED_VALUE"""),85.0999984741211)</f>
        <v>85.09999847</v>
      </c>
      <c r="AN240" s="1">
        <f>IFERROR(__xludf.DUMMYFUNCTION("""COMPUTED_VALUE"""),11740.0)</f>
        <v>11740</v>
      </c>
      <c r="AO240" s="1">
        <f>IFERROR(__xludf.DUMMYFUNCTION("""COMPUTED_VALUE"""),114.0)</f>
        <v>114</v>
      </c>
      <c r="AP240" s="1">
        <f>IFERROR(__xludf.DUMMYFUNCTION("""COMPUTED_VALUE"""),221333.0)</f>
        <v>221333</v>
      </c>
      <c r="AQ240" s="1">
        <f>IFERROR(__xludf.DUMMYFUNCTION("""COMPUTED_VALUE"""),4990.0)</f>
        <v>4990</v>
      </c>
      <c r="AR240" s="1">
        <f>IFERROR(__xludf.DUMMYFUNCTION("""COMPUTED_VALUE"""),85.0999984741211)</f>
        <v>85.09999847</v>
      </c>
      <c r="AS240" s="1">
        <f>IFERROR(__xludf.DUMMYFUNCTION("""COMPUTED_VALUE"""),50496.0)</f>
        <v>50496</v>
      </c>
    </row>
    <row r="241">
      <c r="A241" s="1" t="str">
        <f>IFERROR(__xludf.DUMMYFUNCTION("""COMPUTED_VALUE"""),"OFF")</f>
        <v>OFF</v>
      </c>
      <c r="B241" s="1"/>
      <c r="C241" s="1"/>
      <c r="D241" s="1">
        <f>IFERROR(__xludf.DUMMYFUNCTION("""COMPUTED_VALUE"""),112.0)</f>
        <v>112</v>
      </c>
      <c r="E241" s="1">
        <f>IFERROR(__xludf.DUMMYFUNCTION("""COMPUTED_VALUE"""),2217.0)</f>
        <v>2217</v>
      </c>
      <c r="F241" s="1">
        <f>IFERROR(__xludf.DUMMYFUNCTION("""COMPUTED_VALUE"""),112.0)</f>
        <v>112</v>
      </c>
      <c r="G241" s="1">
        <f>IFERROR(__xludf.DUMMYFUNCTION("""COMPUTED_VALUE"""),51061.0)</f>
        <v>51061</v>
      </c>
      <c r="H241" s="1">
        <f>IFERROR(__xludf.DUMMYFUNCTION("""COMPUTED_VALUE"""),420.0)</f>
        <v>420</v>
      </c>
      <c r="I241" s="1">
        <f>IFERROR(__xludf.DUMMYFUNCTION("""COMPUTED_VALUE"""),94.0)</f>
        <v>94</v>
      </c>
      <c r="J241" s="1">
        <f>IFERROR(__xludf.DUMMYFUNCTION("""COMPUTED_VALUE"""),50793.0)</f>
        <v>50793</v>
      </c>
      <c r="K241" s="1">
        <f>IFERROR(__xludf.DUMMYFUNCTION("""COMPUTED_VALUE"""),119.269996643066)</f>
        <v>119.2699966</v>
      </c>
      <c r="L241" s="1">
        <f>IFERROR(__xludf.DUMMYFUNCTION("""COMPUTED_VALUE"""),4918.0)</f>
        <v>4918</v>
      </c>
      <c r="M241" s="1">
        <f>IFERROR(__xludf.DUMMYFUNCTION("""COMPUTED_VALUE"""),120.0)</f>
        <v>120</v>
      </c>
      <c r="N241" s="1">
        <f>IFERROR(__xludf.DUMMYFUNCTION("""COMPUTED_VALUE"""),4918.0)</f>
        <v>4918</v>
      </c>
      <c r="O241" s="1">
        <f>IFERROR(__xludf.DUMMYFUNCTION("""COMPUTED_VALUE"""),20.0)</f>
        <v>20</v>
      </c>
      <c r="P241" s="1">
        <f>IFERROR(__xludf.DUMMYFUNCTION("""COMPUTED_VALUE"""),88.1999969482421)</f>
        <v>88.19999695</v>
      </c>
      <c r="Q241" s="1">
        <f>IFERROR(__xludf.DUMMYFUNCTION("""COMPUTED_VALUE"""),20867.0)</f>
        <v>20867</v>
      </c>
      <c r="R241" s="1">
        <f>IFERROR(__xludf.DUMMYFUNCTION("""COMPUTED_VALUE"""),120.0)</f>
        <v>120</v>
      </c>
      <c r="S241" s="1"/>
      <c r="T241" s="1"/>
      <c r="U241" s="1">
        <f>IFERROR(__xludf.DUMMYFUNCTION("""COMPUTED_VALUE"""),0.0)</f>
        <v>0</v>
      </c>
      <c r="V241" s="1"/>
      <c r="W241" s="1"/>
      <c r="X241" s="1">
        <f>IFERROR(__xludf.DUMMYFUNCTION("""COMPUTED_VALUE"""),0.0)</f>
        <v>0</v>
      </c>
      <c r="Y241" s="1">
        <f>IFERROR(__xludf.DUMMYFUNCTION("""COMPUTED_VALUE"""),150.0)</f>
        <v>150</v>
      </c>
      <c r="Z241" s="1">
        <f>IFERROR(__xludf.DUMMYFUNCTION("""COMPUTED_VALUE"""),12211.0)</f>
        <v>12211</v>
      </c>
      <c r="AA241" s="1">
        <f>IFERROR(__xludf.DUMMYFUNCTION("""COMPUTED_VALUE"""),150.0)</f>
        <v>150</v>
      </c>
      <c r="AB241" s="1">
        <f>IFERROR(__xludf.DUMMYFUNCTION("""COMPUTED_VALUE"""),12241.0)</f>
        <v>12241</v>
      </c>
      <c r="AC241" s="1">
        <f>IFERROR(__xludf.DUMMYFUNCTION("""COMPUTED_VALUE"""),2000.0)</f>
        <v>2000</v>
      </c>
      <c r="AD241" s="1">
        <f>IFERROR(__xludf.DUMMYFUNCTION("""COMPUTED_VALUE"""),101.0)</f>
        <v>101</v>
      </c>
      <c r="AE241" s="1">
        <f>IFERROR(__xludf.DUMMYFUNCTION("""COMPUTED_VALUE"""),28971.0)</f>
        <v>28971</v>
      </c>
      <c r="AF241" s="1">
        <f>IFERROR(__xludf.DUMMYFUNCTION("""COMPUTED_VALUE"""),110.0)</f>
        <v>110</v>
      </c>
      <c r="AG241" s="1">
        <f>IFERROR(__xludf.DUMMYFUNCTION("""COMPUTED_VALUE"""),991.0)</f>
        <v>991</v>
      </c>
      <c r="AH241" s="1">
        <f>IFERROR(__xludf.DUMMYFUNCTION("""COMPUTED_VALUE"""),110.0)</f>
        <v>110</v>
      </c>
      <c r="AI241" s="1">
        <f>IFERROR(__xludf.DUMMYFUNCTION("""COMPUTED_VALUE"""),991.0)</f>
        <v>991</v>
      </c>
      <c r="AJ241" s="1">
        <f>IFERROR(__xludf.DUMMYFUNCTION("""COMPUTED_VALUE"""),1000.0)</f>
        <v>1000</v>
      </c>
      <c r="AK241" s="1">
        <f>IFERROR(__xludf.DUMMYFUNCTION("""COMPUTED_VALUE"""),50.0)</f>
        <v>50</v>
      </c>
      <c r="AL241" s="1">
        <f>IFERROR(__xludf.DUMMYFUNCTION("""COMPUTED_VALUE"""),1000.0)</f>
        <v>1000</v>
      </c>
      <c r="AM241" s="1">
        <f>IFERROR(__xludf.DUMMYFUNCTION("""COMPUTED_VALUE"""),120.0)</f>
        <v>120</v>
      </c>
      <c r="AN241" s="1">
        <f>IFERROR(__xludf.DUMMYFUNCTION("""COMPUTED_VALUE"""),15622.0)</f>
        <v>15622</v>
      </c>
      <c r="AO241" s="1">
        <f>IFERROR(__xludf.DUMMYFUNCTION("""COMPUTED_VALUE"""),120.0)</f>
        <v>120</v>
      </c>
      <c r="AP241" s="1">
        <f>IFERROR(__xludf.DUMMYFUNCTION("""COMPUTED_VALUE"""),59115.0)</f>
        <v>59115</v>
      </c>
      <c r="AQ241" s="1">
        <f>IFERROR(__xludf.DUMMYFUNCTION("""COMPUTED_VALUE"""),1000.0)</f>
        <v>1000</v>
      </c>
      <c r="AR241" s="1">
        <f>IFERROR(__xludf.DUMMYFUNCTION("""COMPUTED_VALUE"""),80.8000030517578)</f>
        <v>80.80000305</v>
      </c>
      <c r="AS241" s="1">
        <f>IFERROR(__xludf.DUMMYFUNCTION("""COMPUTED_VALUE"""),54555.0)</f>
        <v>54555</v>
      </c>
    </row>
    <row r="242">
      <c r="A242" s="1" t="str">
        <f>IFERROR(__xludf.DUMMYFUNCTION("""COMPUTED_VALUE"""),"OLF")</f>
        <v>OLF</v>
      </c>
      <c r="B242" s="1"/>
      <c r="C242" s="1"/>
      <c r="D242" s="1">
        <f>IFERROR(__xludf.DUMMYFUNCTION("""COMPUTED_VALUE"""),1500.0)</f>
        <v>1500</v>
      </c>
      <c r="E242" s="1">
        <f>IFERROR(__xludf.DUMMYFUNCTION("""COMPUTED_VALUE"""),294.0)</f>
        <v>294</v>
      </c>
      <c r="F242" s="1">
        <f>IFERROR(__xludf.DUMMYFUNCTION("""COMPUTED_VALUE"""),2000.0)</f>
        <v>2000</v>
      </c>
      <c r="G242" s="1">
        <f>IFERROR(__xludf.DUMMYFUNCTION("""COMPUTED_VALUE"""),1015.0)</f>
        <v>1015</v>
      </c>
      <c r="H242" s="1">
        <f>IFERROR(__xludf.DUMMYFUNCTION("""COMPUTED_VALUE"""),1068.0)</f>
        <v>1068</v>
      </c>
      <c r="I242" s="1">
        <f>IFERROR(__xludf.DUMMYFUNCTION("""COMPUTED_VALUE"""),1500.0)</f>
        <v>1500</v>
      </c>
      <c r="J242" s="1">
        <f>IFERROR(__xludf.DUMMYFUNCTION("""COMPUTED_VALUE"""),4594.0)</f>
        <v>4594</v>
      </c>
      <c r="K242" s="1">
        <f>IFERROR(__xludf.DUMMYFUNCTION("""COMPUTED_VALUE"""),2000.0)</f>
        <v>2000</v>
      </c>
      <c r="L242" s="1">
        <f>IFERROR(__xludf.DUMMYFUNCTION("""COMPUTED_VALUE"""),73.0)</f>
        <v>73</v>
      </c>
      <c r="M242" s="1">
        <f>IFERROR(__xludf.DUMMYFUNCTION("""COMPUTED_VALUE"""),2000.0)</f>
        <v>2000</v>
      </c>
      <c r="N242" s="1">
        <f>IFERROR(__xludf.DUMMYFUNCTION("""COMPUTED_VALUE"""),79.0)</f>
        <v>79</v>
      </c>
      <c r="O242" s="1"/>
      <c r="P242" s="1"/>
      <c r="Q242" s="1">
        <f>IFERROR(__xludf.DUMMYFUNCTION("""COMPUTED_VALUE"""),0.0)</f>
        <v>0</v>
      </c>
      <c r="R242" s="1">
        <f>IFERROR(__xludf.DUMMYFUNCTION("""COMPUTED_VALUE"""),949.47998046875)</f>
        <v>949.4799805</v>
      </c>
      <c r="S242" s="1"/>
      <c r="T242" s="1"/>
      <c r="U242" s="1">
        <f>IFERROR(__xludf.DUMMYFUNCTION("""COMPUTED_VALUE"""),0.0)</f>
        <v>0</v>
      </c>
      <c r="V242" s="1"/>
      <c r="W242" s="1"/>
      <c r="X242" s="1">
        <f>IFERROR(__xludf.DUMMYFUNCTION("""COMPUTED_VALUE"""),0.0)</f>
        <v>0</v>
      </c>
      <c r="Y242" s="1">
        <f>IFERROR(__xludf.DUMMYFUNCTION("""COMPUTED_VALUE"""),1100.0)</f>
        <v>1100</v>
      </c>
      <c r="Z242" s="1">
        <f>IFERROR(__xludf.DUMMYFUNCTION("""COMPUTED_VALUE"""),8.0)</f>
        <v>8</v>
      </c>
      <c r="AA242" s="1">
        <f>IFERROR(__xludf.DUMMYFUNCTION("""COMPUTED_VALUE"""),2000.0)</f>
        <v>2000</v>
      </c>
      <c r="AB242" s="1">
        <f>IFERROR(__xludf.DUMMYFUNCTION("""COMPUTED_VALUE"""),8.0)</f>
        <v>8</v>
      </c>
      <c r="AC242" s="1">
        <f>IFERROR(__xludf.DUMMYFUNCTION("""COMPUTED_VALUE"""),170.0)</f>
        <v>170</v>
      </c>
      <c r="AD242" s="1">
        <f>IFERROR(__xludf.DUMMYFUNCTION("""COMPUTED_VALUE"""),1100.0)</f>
        <v>1100</v>
      </c>
      <c r="AE242" s="1">
        <f>IFERROR(__xludf.DUMMYFUNCTION("""COMPUTED_VALUE"""),664.0)</f>
        <v>664</v>
      </c>
      <c r="AF242" s="1">
        <f>IFERROR(__xludf.DUMMYFUNCTION("""COMPUTED_VALUE"""),949.47998046875)</f>
        <v>949.4799805</v>
      </c>
      <c r="AG242" s="1"/>
      <c r="AH242" s="1"/>
      <c r="AI242" s="1">
        <f>IFERROR(__xludf.DUMMYFUNCTION("""COMPUTED_VALUE"""),0.0)</f>
        <v>0</v>
      </c>
      <c r="AJ242" s="1"/>
      <c r="AK242" s="1"/>
      <c r="AL242" s="1">
        <f>IFERROR(__xludf.DUMMYFUNCTION("""COMPUTED_VALUE"""),0.0)</f>
        <v>0</v>
      </c>
      <c r="AM242" s="1">
        <f>IFERROR(__xludf.DUMMYFUNCTION("""COMPUTED_VALUE"""),1750.0)</f>
        <v>1750</v>
      </c>
      <c r="AN242" s="1">
        <f>IFERROR(__xludf.DUMMYFUNCTION("""COMPUTED_VALUE"""),8.0)</f>
        <v>8</v>
      </c>
      <c r="AO242" s="1">
        <f>IFERROR(__xludf.DUMMYFUNCTION("""COMPUTED_VALUE"""),1500.0)</f>
        <v>1500</v>
      </c>
      <c r="AP242" s="1">
        <f>IFERROR(__xludf.DUMMYFUNCTION("""COMPUTED_VALUE"""),14.0)</f>
        <v>14</v>
      </c>
      <c r="AQ242" s="1">
        <f>IFERROR(__xludf.DUMMYFUNCTION("""COMPUTED_VALUE"""),451.0)</f>
        <v>451</v>
      </c>
      <c r="AR242" s="1">
        <f>IFERROR(__xludf.DUMMYFUNCTION("""COMPUTED_VALUE"""),1100.0)</f>
        <v>1100</v>
      </c>
      <c r="AS242" s="1">
        <f>IFERROR(__xludf.DUMMYFUNCTION("""COMPUTED_VALUE"""),983.0)</f>
        <v>983</v>
      </c>
    </row>
    <row r="243">
      <c r="A243" s="1" t="str">
        <f>IFERROR(__xludf.DUMMYFUNCTION("""COMPUTED_VALUE"""),"OS")</f>
        <v>OS</v>
      </c>
      <c r="B243" s="1"/>
      <c r="C243" s="1"/>
      <c r="D243" s="1">
        <f>IFERROR(__xludf.DUMMYFUNCTION("""COMPUTED_VALUE"""),48900.0)</f>
        <v>48900</v>
      </c>
      <c r="E243" s="1">
        <f>IFERROR(__xludf.DUMMYFUNCTION("""COMPUTED_VALUE"""),260.0)</f>
        <v>260</v>
      </c>
      <c r="F243" s="1">
        <f>IFERROR(__xludf.DUMMYFUNCTION("""COMPUTED_VALUE"""),49700.0)</f>
        <v>49700</v>
      </c>
      <c r="G243" s="1">
        <f>IFERROR(__xludf.DUMMYFUNCTION("""COMPUTED_VALUE"""),485.0)</f>
        <v>485</v>
      </c>
      <c r="H243" s="1">
        <f>IFERROR(__xludf.DUMMYFUNCTION("""COMPUTED_VALUE"""),20.0)</f>
        <v>20</v>
      </c>
      <c r="I243" s="1">
        <f>IFERROR(__xludf.DUMMYFUNCTION("""COMPUTED_VALUE"""),46000.0)</f>
        <v>46000</v>
      </c>
      <c r="J243" s="1">
        <f>IFERROR(__xludf.DUMMYFUNCTION("""COMPUTED_VALUE"""),52.0)</f>
        <v>52</v>
      </c>
      <c r="K243" s="1">
        <f>IFERROR(__xludf.DUMMYFUNCTION("""COMPUTED_VALUE"""),50000.0)</f>
        <v>50000</v>
      </c>
      <c r="L243" s="1">
        <f>IFERROR(__xludf.DUMMYFUNCTION("""COMPUTED_VALUE"""),8.0)</f>
        <v>8</v>
      </c>
      <c r="M243" s="1">
        <f>IFERROR(__xludf.DUMMYFUNCTION("""COMPUTED_VALUE"""),65000.0)</f>
        <v>65000</v>
      </c>
      <c r="N243" s="1">
        <f>IFERROR(__xludf.DUMMYFUNCTION("""COMPUTED_VALUE"""),10.0)</f>
        <v>10</v>
      </c>
      <c r="O243" s="1"/>
      <c r="P243" s="1"/>
      <c r="Q243" s="1">
        <f>IFERROR(__xludf.DUMMYFUNCTION("""COMPUTED_VALUE"""),0.0)</f>
        <v>0</v>
      </c>
      <c r="R243" s="1">
        <f>IFERROR(__xludf.DUMMYFUNCTION("""COMPUTED_VALUE"""),45000.0)</f>
        <v>45000</v>
      </c>
      <c r="S243" s="1"/>
      <c r="T243" s="1"/>
      <c r="U243" s="1">
        <f>IFERROR(__xludf.DUMMYFUNCTION("""COMPUTED_VALUE"""),0.0)</f>
        <v>0</v>
      </c>
      <c r="V243" s="1"/>
      <c r="W243" s="1"/>
      <c r="X243" s="1">
        <f>IFERROR(__xludf.DUMMYFUNCTION("""COMPUTED_VALUE"""),0.0)</f>
        <v>0</v>
      </c>
      <c r="Y243" s="1">
        <f>IFERROR(__xludf.DUMMYFUNCTION("""COMPUTED_VALUE"""),63000.0)</f>
        <v>63000</v>
      </c>
      <c r="Z243" s="1"/>
      <c r="AA243" s="1"/>
      <c r="AB243" s="1">
        <f>IFERROR(__xludf.DUMMYFUNCTION("""COMPUTED_VALUE"""),0.0)</f>
        <v>0</v>
      </c>
      <c r="AC243" s="1">
        <f>IFERROR(__xludf.DUMMYFUNCTION("""COMPUTED_VALUE"""),10.0)</f>
        <v>10</v>
      </c>
      <c r="AD243" s="1">
        <f>IFERROR(__xludf.DUMMYFUNCTION("""COMPUTED_VALUE"""),47000.0)</f>
        <v>47000</v>
      </c>
      <c r="AE243" s="1">
        <f>IFERROR(__xludf.DUMMYFUNCTION("""COMPUTED_VALUE"""),67.0)</f>
        <v>67</v>
      </c>
      <c r="AF243" s="1">
        <f>IFERROR(__xludf.DUMMYFUNCTION("""COMPUTED_VALUE"""),30207.76953125)</f>
        <v>30207.76953</v>
      </c>
      <c r="AG243" s="1"/>
      <c r="AH243" s="1"/>
      <c r="AI243" s="1">
        <f>IFERROR(__xludf.DUMMYFUNCTION("""COMPUTED_VALUE"""),0.0)</f>
        <v>0</v>
      </c>
      <c r="AJ243" s="1"/>
      <c r="AK243" s="1"/>
      <c r="AL243" s="1">
        <f>IFERROR(__xludf.DUMMYFUNCTION("""COMPUTED_VALUE"""),0.0)</f>
        <v>0</v>
      </c>
      <c r="AM243" s="1">
        <f>IFERROR(__xludf.DUMMYFUNCTION("""COMPUTED_VALUE"""),49000.0)</f>
        <v>49000</v>
      </c>
      <c r="AN243" s="1">
        <f>IFERROR(__xludf.DUMMYFUNCTION("""COMPUTED_VALUE"""),20.0)</f>
        <v>20</v>
      </c>
      <c r="AO243" s="1">
        <f>IFERROR(__xludf.DUMMYFUNCTION("""COMPUTED_VALUE"""),49000.0)</f>
        <v>49000</v>
      </c>
      <c r="AP243" s="1">
        <f>IFERROR(__xludf.DUMMYFUNCTION("""COMPUTED_VALUE"""),31.0)</f>
        <v>31</v>
      </c>
      <c r="AQ243" s="1"/>
      <c r="AR243" s="1"/>
      <c r="AS243" s="1">
        <f>IFERROR(__xludf.DUMMYFUNCTION("""COMPUTED_VALUE"""),0.0)</f>
        <v>0</v>
      </c>
    </row>
    <row r="244">
      <c r="A244" s="1" t="str">
        <f>IFERROR(__xludf.DUMMYFUNCTION("""COMPUTED_VALUE"""),"OVE")</f>
        <v>OVE</v>
      </c>
      <c r="B244" s="1">
        <f>IFERROR(__xludf.DUMMYFUNCTION("""COMPUTED_VALUE"""),40.0)</f>
        <v>40</v>
      </c>
      <c r="C244" s="1">
        <f>IFERROR(__xludf.DUMMYFUNCTION("""COMPUTED_VALUE"""),153.0)</f>
        <v>153</v>
      </c>
      <c r="D244" s="1">
        <f>IFERROR(__xludf.DUMMYFUNCTION("""COMPUTED_VALUE"""),130.0)</f>
        <v>130</v>
      </c>
      <c r="E244" s="1">
        <f>IFERROR(__xludf.DUMMYFUNCTION("""COMPUTED_VALUE"""),212.0)</f>
        <v>212</v>
      </c>
      <c r="F244" s="1">
        <f>IFERROR(__xludf.DUMMYFUNCTION("""COMPUTED_VALUE"""),130.0)</f>
        <v>130</v>
      </c>
      <c r="G244" s="1">
        <f>IFERROR(__xludf.DUMMYFUNCTION("""COMPUTED_VALUE"""),88182.0)</f>
        <v>88182</v>
      </c>
      <c r="H244" s="1">
        <f>IFERROR(__xludf.DUMMYFUNCTION("""COMPUTED_VALUE"""),500.0)</f>
        <v>500</v>
      </c>
      <c r="I244" s="1">
        <f>IFERROR(__xludf.DUMMYFUNCTION("""COMPUTED_VALUE"""),118.0)</f>
        <v>118</v>
      </c>
      <c r="J244" s="1">
        <f>IFERROR(__xludf.DUMMYFUNCTION("""COMPUTED_VALUE"""),25800.0)</f>
        <v>25800</v>
      </c>
      <c r="K244" s="1">
        <f>IFERROR(__xludf.DUMMYFUNCTION("""COMPUTED_VALUE"""),117.610000610351)</f>
        <v>117.6100006</v>
      </c>
      <c r="L244" s="1">
        <f>IFERROR(__xludf.DUMMYFUNCTION("""COMPUTED_VALUE"""),353.0)</f>
        <v>353</v>
      </c>
      <c r="M244" s="1">
        <f>IFERROR(__xludf.DUMMYFUNCTION("""COMPUTED_VALUE"""),118.0)</f>
        <v>118</v>
      </c>
      <c r="N244" s="1">
        <f>IFERROR(__xludf.DUMMYFUNCTION("""COMPUTED_VALUE"""),25382.0)</f>
        <v>25382</v>
      </c>
      <c r="O244" s="1">
        <f>IFERROR(__xludf.DUMMYFUNCTION("""COMPUTED_VALUE"""),500.0)</f>
        <v>500</v>
      </c>
      <c r="P244" s="1">
        <f>IFERROR(__xludf.DUMMYFUNCTION("""COMPUTED_VALUE"""),101.0)</f>
        <v>101</v>
      </c>
      <c r="Q244" s="1">
        <f>IFERROR(__xludf.DUMMYFUNCTION("""COMPUTED_VALUE"""),51033.0)</f>
        <v>51033</v>
      </c>
      <c r="R244" s="1">
        <f>IFERROR(__xludf.DUMMYFUNCTION("""COMPUTED_VALUE"""),125.0)</f>
        <v>125</v>
      </c>
      <c r="S244" s="1">
        <f>IFERROR(__xludf.DUMMYFUNCTION("""COMPUTED_VALUE"""),2560.0)</f>
        <v>2560</v>
      </c>
      <c r="T244" s="1">
        <f>IFERROR(__xludf.DUMMYFUNCTION("""COMPUTED_VALUE"""),125.0)</f>
        <v>125</v>
      </c>
      <c r="U244" s="1">
        <f>IFERROR(__xludf.DUMMYFUNCTION("""COMPUTED_VALUE"""),10560.0)</f>
        <v>10560</v>
      </c>
      <c r="V244" s="1">
        <f>IFERROR(__xludf.DUMMYFUNCTION("""COMPUTED_VALUE"""),250.0)</f>
        <v>250</v>
      </c>
      <c r="W244" s="1">
        <f>IFERROR(__xludf.DUMMYFUNCTION("""COMPUTED_VALUE"""),103.0)</f>
        <v>103</v>
      </c>
      <c r="X244" s="1">
        <f>IFERROR(__xludf.DUMMYFUNCTION("""COMPUTED_VALUE"""),850.0)</f>
        <v>850</v>
      </c>
      <c r="Y244" s="1">
        <f>IFERROR(__xludf.DUMMYFUNCTION("""COMPUTED_VALUE"""),134.0)</f>
        <v>134</v>
      </c>
      <c r="Z244" s="1">
        <f>IFERROR(__xludf.DUMMYFUNCTION("""COMPUTED_VALUE"""),1694.0)</f>
        <v>1694</v>
      </c>
      <c r="AA244" s="1">
        <f>IFERROR(__xludf.DUMMYFUNCTION("""COMPUTED_VALUE"""),134.0)</f>
        <v>134</v>
      </c>
      <c r="AB244" s="1">
        <f>IFERROR(__xludf.DUMMYFUNCTION("""COMPUTED_VALUE"""),50909.0)</f>
        <v>50909</v>
      </c>
      <c r="AC244" s="1">
        <f>IFERROR(__xludf.DUMMYFUNCTION("""COMPUTED_VALUE"""),44.0)</f>
        <v>44</v>
      </c>
      <c r="AD244" s="1">
        <f>IFERROR(__xludf.DUMMYFUNCTION("""COMPUTED_VALUE"""),121.0)</f>
        <v>121</v>
      </c>
      <c r="AE244" s="1">
        <f>IFERROR(__xludf.DUMMYFUNCTION("""COMPUTED_VALUE"""),22859.0)</f>
        <v>22859</v>
      </c>
      <c r="AF244" s="1">
        <f>IFERROR(__xludf.DUMMYFUNCTION("""COMPUTED_VALUE"""),130.0)</f>
        <v>130</v>
      </c>
      <c r="AG244" s="1">
        <f>IFERROR(__xludf.DUMMYFUNCTION("""COMPUTED_VALUE"""),1525.0)</f>
        <v>1525</v>
      </c>
      <c r="AH244" s="1">
        <f>IFERROR(__xludf.DUMMYFUNCTION("""COMPUTED_VALUE"""),130.0)</f>
        <v>130</v>
      </c>
      <c r="AI244" s="1">
        <f>IFERROR(__xludf.DUMMYFUNCTION("""COMPUTED_VALUE"""),9275.0)</f>
        <v>9275</v>
      </c>
      <c r="AJ244" s="1"/>
      <c r="AK244" s="1"/>
      <c r="AL244" s="1">
        <f>IFERROR(__xludf.DUMMYFUNCTION("""COMPUTED_VALUE"""),0.0)</f>
        <v>0</v>
      </c>
      <c r="AM244" s="1">
        <f>IFERROR(__xludf.DUMMYFUNCTION("""COMPUTED_VALUE"""),118.0)</f>
        <v>118</v>
      </c>
      <c r="AN244" s="1">
        <f>IFERROR(__xludf.DUMMYFUNCTION("""COMPUTED_VALUE"""),159.0)</f>
        <v>159</v>
      </c>
      <c r="AO244" s="1">
        <f>IFERROR(__xludf.DUMMYFUNCTION("""COMPUTED_VALUE"""),138.0)</f>
        <v>138</v>
      </c>
      <c r="AP244" s="1">
        <f>IFERROR(__xludf.DUMMYFUNCTION("""COMPUTED_VALUE"""),17935.0)</f>
        <v>17935</v>
      </c>
      <c r="AQ244" s="1">
        <f>IFERROR(__xludf.DUMMYFUNCTION("""COMPUTED_VALUE"""),155.0)</f>
        <v>155</v>
      </c>
      <c r="AR244" s="1">
        <f>IFERROR(__xludf.DUMMYFUNCTION("""COMPUTED_VALUE"""),118.0)</f>
        <v>118</v>
      </c>
      <c r="AS244" s="1">
        <f>IFERROR(__xludf.DUMMYFUNCTION("""COMPUTED_VALUE"""),31801.0)</f>
        <v>31801</v>
      </c>
    </row>
    <row r="245">
      <c r="A245" s="1" t="str">
        <f>IFERROR(__xludf.DUMMYFUNCTION("""COMPUTED_VALUE"""),"PBU")</f>
        <v>PBU</v>
      </c>
      <c r="B245" s="1"/>
      <c r="C245" s="1"/>
      <c r="D245" s="1">
        <f>IFERROR(__xludf.DUMMYFUNCTION("""COMPUTED_VALUE"""),20000.0)</f>
        <v>20000</v>
      </c>
      <c r="E245" s="1">
        <f>IFERROR(__xludf.DUMMYFUNCTION("""COMPUTED_VALUE"""),20.0)</f>
        <v>20</v>
      </c>
      <c r="F245" s="1">
        <f>IFERROR(__xludf.DUMMYFUNCTION("""COMPUTED_VALUE"""),20000.0)</f>
        <v>20000</v>
      </c>
      <c r="G245" s="1">
        <f>IFERROR(__xludf.DUMMYFUNCTION("""COMPUTED_VALUE"""),220.0)</f>
        <v>220</v>
      </c>
      <c r="H245" s="1">
        <f>IFERROR(__xludf.DUMMYFUNCTION("""COMPUTED_VALUE"""),2.0)</f>
        <v>2</v>
      </c>
      <c r="I245" s="1">
        <f>IFERROR(__xludf.DUMMYFUNCTION("""COMPUTED_VALUE"""),17800.0)</f>
        <v>17800</v>
      </c>
      <c r="J245" s="1">
        <f>IFERROR(__xludf.DUMMYFUNCTION("""COMPUTED_VALUE"""),21.0)</f>
        <v>21</v>
      </c>
      <c r="K245" s="1">
        <f>IFERROR(__xludf.DUMMYFUNCTION("""COMPUTED_VALUE"""),20400.0)</f>
        <v>20400</v>
      </c>
      <c r="L245" s="1">
        <f>IFERROR(__xludf.DUMMYFUNCTION("""COMPUTED_VALUE"""),2.0)</f>
        <v>2</v>
      </c>
      <c r="M245" s="1">
        <f>IFERROR(__xludf.DUMMYFUNCTION("""COMPUTED_VALUE"""),20400.0)</f>
        <v>20400</v>
      </c>
      <c r="N245" s="1">
        <f>IFERROR(__xludf.DUMMYFUNCTION("""COMPUTED_VALUE"""),221.0)</f>
        <v>221</v>
      </c>
      <c r="O245" s="1">
        <f>IFERROR(__xludf.DUMMYFUNCTION("""COMPUTED_VALUE"""),15.0)</f>
        <v>15</v>
      </c>
      <c r="P245" s="1">
        <f>IFERROR(__xludf.DUMMYFUNCTION("""COMPUTED_VALUE"""),20000.0)</f>
        <v>20000</v>
      </c>
      <c r="Q245" s="1">
        <f>IFERROR(__xludf.DUMMYFUNCTION("""COMPUTED_VALUE"""),111.0)</f>
        <v>111</v>
      </c>
      <c r="R245" s="1">
        <f>IFERROR(__xludf.DUMMYFUNCTION("""COMPUTED_VALUE"""),8070.330078125)</f>
        <v>8070.330078</v>
      </c>
      <c r="S245" s="1"/>
      <c r="T245" s="1"/>
      <c r="U245" s="1">
        <f>IFERROR(__xludf.DUMMYFUNCTION("""COMPUTED_VALUE"""),0.0)</f>
        <v>0</v>
      </c>
      <c r="V245" s="1"/>
      <c r="W245" s="1"/>
      <c r="X245" s="1">
        <f>IFERROR(__xludf.DUMMYFUNCTION("""COMPUTED_VALUE"""),0.0)</f>
        <v>0</v>
      </c>
      <c r="Y245" s="1">
        <f>IFERROR(__xludf.DUMMYFUNCTION("""COMPUTED_VALUE"""),21969.0)</f>
        <v>21969</v>
      </c>
      <c r="Z245" s="1">
        <f>IFERROR(__xludf.DUMMYFUNCTION("""COMPUTED_VALUE"""),60.0)</f>
        <v>60</v>
      </c>
      <c r="AA245" s="1">
        <f>IFERROR(__xludf.DUMMYFUNCTION("""COMPUTED_VALUE"""),22000.0)</f>
        <v>22000</v>
      </c>
      <c r="AB245" s="1">
        <f>IFERROR(__xludf.DUMMYFUNCTION("""COMPUTED_VALUE"""),60.0)</f>
        <v>60</v>
      </c>
      <c r="AC245" s="1">
        <f>IFERROR(__xludf.DUMMYFUNCTION("""COMPUTED_VALUE"""),30.0)</f>
        <v>30</v>
      </c>
      <c r="AD245" s="1">
        <f>IFERROR(__xludf.DUMMYFUNCTION("""COMPUTED_VALUE"""),17500.0)</f>
        <v>17500</v>
      </c>
      <c r="AE245" s="1">
        <f>IFERROR(__xludf.DUMMYFUNCTION("""COMPUTED_VALUE"""),66.0)</f>
        <v>66</v>
      </c>
      <c r="AF245" s="1">
        <f>IFERROR(__xludf.DUMMYFUNCTION("""COMPUTED_VALUE"""),8070.330078125)</f>
        <v>8070.330078</v>
      </c>
      <c r="AG245" s="1"/>
      <c r="AH245" s="1"/>
      <c r="AI245" s="1">
        <f>IFERROR(__xludf.DUMMYFUNCTION("""COMPUTED_VALUE"""),0.0)</f>
        <v>0</v>
      </c>
      <c r="AJ245" s="1">
        <f>IFERROR(__xludf.DUMMYFUNCTION("""COMPUTED_VALUE"""),5.0)</f>
        <v>5</v>
      </c>
      <c r="AK245" s="1">
        <f>IFERROR(__xludf.DUMMYFUNCTION("""COMPUTED_VALUE"""),10000.0)</f>
        <v>10000</v>
      </c>
      <c r="AL245" s="1">
        <f>IFERROR(__xludf.DUMMYFUNCTION("""COMPUTED_VALUE"""),5.0)</f>
        <v>5</v>
      </c>
      <c r="AM245" s="1">
        <f>IFERROR(__xludf.DUMMYFUNCTION("""COMPUTED_VALUE"""),21000.0)</f>
        <v>21000</v>
      </c>
      <c r="AN245" s="1">
        <f>IFERROR(__xludf.DUMMYFUNCTION("""COMPUTED_VALUE"""),100.0)</f>
        <v>100</v>
      </c>
      <c r="AO245" s="1">
        <f>IFERROR(__xludf.DUMMYFUNCTION("""COMPUTED_VALUE"""),22000.0)</f>
        <v>22000</v>
      </c>
      <c r="AP245" s="1">
        <f>IFERROR(__xludf.DUMMYFUNCTION("""COMPUTED_VALUE"""),144.0)</f>
        <v>144</v>
      </c>
      <c r="AQ245" s="1">
        <f>IFERROR(__xludf.DUMMYFUNCTION("""COMPUTED_VALUE"""),30.0)</f>
        <v>30</v>
      </c>
      <c r="AR245" s="1">
        <f>IFERROR(__xludf.DUMMYFUNCTION("""COMPUTED_VALUE"""),19000.0)</f>
        <v>19000</v>
      </c>
      <c r="AS245" s="1">
        <f>IFERROR(__xludf.DUMMYFUNCTION("""COMPUTED_VALUE"""),270.0)</f>
        <v>270</v>
      </c>
    </row>
    <row r="246">
      <c r="A246" s="1" t="str">
        <f>IFERROR(__xludf.DUMMYFUNCTION("""COMPUTED_VALUE"""),"PCB")</f>
        <v>PCB</v>
      </c>
      <c r="B246" s="1"/>
      <c r="C246" s="1"/>
      <c r="D246" s="1">
        <f>IFERROR(__xludf.DUMMYFUNCTION("""COMPUTED_VALUE"""),2260.0)</f>
        <v>2260</v>
      </c>
      <c r="E246" s="1">
        <f>IFERROR(__xludf.DUMMYFUNCTION("""COMPUTED_VALUE"""),10.0)</f>
        <v>10</v>
      </c>
      <c r="F246" s="1">
        <f>IFERROR(__xludf.DUMMYFUNCTION("""COMPUTED_VALUE"""),2240.0)</f>
        <v>2240</v>
      </c>
      <c r="G246" s="1">
        <f>IFERROR(__xludf.DUMMYFUNCTION("""COMPUTED_VALUE"""),8418.0)</f>
        <v>8418</v>
      </c>
      <c r="H246" s="1">
        <f>IFERROR(__xludf.DUMMYFUNCTION("""COMPUTED_VALUE"""),370.0)</f>
        <v>370</v>
      </c>
      <c r="I246" s="1">
        <f>IFERROR(__xludf.DUMMYFUNCTION("""COMPUTED_VALUE"""),2150.0)</f>
        <v>2150</v>
      </c>
      <c r="J246" s="1">
        <f>IFERROR(__xludf.DUMMYFUNCTION("""COMPUTED_VALUE"""),700.0)</f>
        <v>700</v>
      </c>
      <c r="K246" s="1">
        <f>IFERROR(__xludf.DUMMYFUNCTION("""COMPUTED_VALUE"""),3000.0)</f>
        <v>3000</v>
      </c>
      <c r="L246" s="1">
        <f>IFERROR(__xludf.DUMMYFUNCTION("""COMPUTED_VALUE"""),338.0)</f>
        <v>338</v>
      </c>
      <c r="M246" s="1">
        <f>IFERROR(__xludf.DUMMYFUNCTION("""COMPUTED_VALUE"""),2800.0)</f>
        <v>2800</v>
      </c>
      <c r="N246" s="1">
        <f>IFERROR(__xludf.DUMMYFUNCTION("""COMPUTED_VALUE"""),2253.0)</f>
        <v>2253</v>
      </c>
      <c r="O246" s="1">
        <f>IFERROR(__xludf.DUMMYFUNCTION("""COMPUTED_VALUE"""),700.0)</f>
        <v>700</v>
      </c>
      <c r="P246" s="1">
        <f>IFERROR(__xludf.DUMMYFUNCTION("""COMPUTED_VALUE"""),2300.0)</f>
        <v>2300</v>
      </c>
      <c r="Q246" s="1">
        <f>IFERROR(__xludf.DUMMYFUNCTION("""COMPUTED_VALUE"""),4887.0)</f>
        <v>4887</v>
      </c>
      <c r="R246" s="1">
        <f>IFERROR(__xludf.DUMMYFUNCTION("""COMPUTED_VALUE"""),2300.0)</f>
        <v>2300</v>
      </c>
      <c r="S246" s="1"/>
      <c r="T246" s="1"/>
      <c r="U246" s="1">
        <f>IFERROR(__xludf.DUMMYFUNCTION("""COMPUTED_VALUE"""),0.0)</f>
        <v>0</v>
      </c>
      <c r="V246" s="1"/>
      <c r="W246" s="1"/>
      <c r="X246" s="1">
        <f>IFERROR(__xludf.DUMMYFUNCTION("""COMPUTED_VALUE"""),0.0)</f>
        <v>0</v>
      </c>
      <c r="Y246" s="1">
        <f>IFERROR(__xludf.DUMMYFUNCTION("""COMPUTED_VALUE"""),2310.0)</f>
        <v>2310</v>
      </c>
      <c r="Z246" s="1">
        <f>IFERROR(__xludf.DUMMYFUNCTION("""COMPUTED_VALUE"""),26.0)</f>
        <v>26</v>
      </c>
      <c r="AA246" s="1">
        <f>IFERROR(__xludf.DUMMYFUNCTION("""COMPUTED_VALUE"""),2310.0)</f>
        <v>2310</v>
      </c>
      <c r="AB246" s="1">
        <f>IFERROR(__xludf.DUMMYFUNCTION("""COMPUTED_VALUE"""),3001.0)</f>
        <v>3001</v>
      </c>
      <c r="AC246" s="1">
        <f>IFERROR(__xludf.DUMMYFUNCTION("""COMPUTED_VALUE"""),1000.0)</f>
        <v>1000</v>
      </c>
      <c r="AD246" s="1">
        <f>IFERROR(__xludf.DUMMYFUNCTION("""COMPUTED_VALUE"""),2120.0)</f>
        <v>2120</v>
      </c>
      <c r="AE246" s="1">
        <f>IFERROR(__xludf.DUMMYFUNCTION("""COMPUTED_VALUE"""),7592.0)</f>
        <v>7592</v>
      </c>
      <c r="AF246" s="1">
        <f>IFERROR(__xludf.DUMMYFUNCTION("""COMPUTED_VALUE"""),801.710021972656)</f>
        <v>801.710022</v>
      </c>
      <c r="AG246" s="1">
        <f>IFERROR(__xludf.DUMMYFUNCTION("""COMPUTED_VALUE"""),30.0)</f>
        <v>30</v>
      </c>
      <c r="AH246" s="1">
        <f>IFERROR(__xludf.DUMMYFUNCTION("""COMPUTED_VALUE"""),3390.0)</f>
        <v>3390</v>
      </c>
      <c r="AI246" s="1">
        <f>IFERROR(__xludf.DUMMYFUNCTION("""COMPUTED_VALUE"""),30.0)</f>
        <v>30</v>
      </c>
      <c r="AJ246" s="1"/>
      <c r="AK246" s="1"/>
      <c r="AL246" s="1">
        <f>IFERROR(__xludf.DUMMYFUNCTION("""COMPUTED_VALUE"""),0.0)</f>
        <v>0</v>
      </c>
      <c r="AM246" s="1">
        <f>IFERROR(__xludf.DUMMYFUNCTION("""COMPUTED_VALUE"""),2700.0)</f>
        <v>2700</v>
      </c>
      <c r="AN246" s="1">
        <f>IFERROR(__xludf.DUMMYFUNCTION("""COMPUTED_VALUE"""),29.0)</f>
        <v>29</v>
      </c>
      <c r="AO246" s="1">
        <f>IFERROR(__xludf.DUMMYFUNCTION("""COMPUTED_VALUE"""),2700.0)</f>
        <v>2700</v>
      </c>
      <c r="AP246" s="1">
        <f>IFERROR(__xludf.DUMMYFUNCTION("""COMPUTED_VALUE"""),1155.0)</f>
        <v>1155</v>
      </c>
      <c r="AQ246" s="1">
        <f>IFERROR(__xludf.DUMMYFUNCTION("""COMPUTED_VALUE"""),1000.0)</f>
        <v>1000</v>
      </c>
      <c r="AR246" s="1">
        <f>IFERROR(__xludf.DUMMYFUNCTION("""COMPUTED_VALUE"""),1850.0)</f>
        <v>1850</v>
      </c>
      <c r="AS246" s="1">
        <f>IFERROR(__xludf.DUMMYFUNCTION("""COMPUTED_VALUE"""),2031.0)</f>
        <v>2031</v>
      </c>
    </row>
    <row r="247">
      <c r="A247" s="1" t="str">
        <f>IFERROR(__xludf.DUMMYFUNCTION("""COMPUTED_VALUE"""),"PDA")</f>
        <v>PDA</v>
      </c>
      <c r="B247" s="1"/>
      <c r="C247" s="1"/>
      <c r="D247" s="1">
        <f>IFERROR(__xludf.DUMMYFUNCTION("""COMPUTED_VALUE"""),2450.0)</f>
        <v>2450</v>
      </c>
      <c r="E247" s="1">
        <f>IFERROR(__xludf.DUMMYFUNCTION("""COMPUTED_VALUE"""),286.0)</f>
        <v>286</v>
      </c>
      <c r="F247" s="1">
        <f>IFERROR(__xludf.DUMMYFUNCTION("""COMPUTED_VALUE"""),2450.0)</f>
        <v>2450</v>
      </c>
      <c r="G247" s="1">
        <f>IFERROR(__xludf.DUMMYFUNCTION("""COMPUTED_VALUE"""),4861.0)</f>
        <v>4861</v>
      </c>
      <c r="H247" s="1">
        <f>IFERROR(__xludf.DUMMYFUNCTION("""COMPUTED_VALUE"""),79.0)</f>
        <v>79</v>
      </c>
      <c r="I247" s="1">
        <f>IFERROR(__xludf.DUMMYFUNCTION("""COMPUTED_VALUE"""),2350.0)</f>
        <v>2350</v>
      </c>
      <c r="J247" s="1">
        <f>IFERROR(__xludf.DUMMYFUNCTION("""COMPUTED_VALUE"""),221.0)</f>
        <v>221</v>
      </c>
      <c r="K247" s="1">
        <f>IFERROR(__xludf.DUMMYFUNCTION("""COMPUTED_VALUE"""),2600.0)</f>
        <v>2600</v>
      </c>
      <c r="L247" s="1">
        <f>IFERROR(__xludf.DUMMYFUNCTION("""COMPUTED_VALUE"""),29.0)</f>
        <v>29</v>
      </c>
      <c r="M247" s="1">
        <f>IFERROR(__xludf.DUMMYFUNCTION("""COMPUTED_VALUE"""),2600.0)</f>
        <v>2600</v>
      </c>
      <c r="N247" s="1">
        <f>IFERROR(__xludf.DUMMYFUNCTION("""COMPUTED_VALUE"""),1297.0)</f>
        <v>1297</v>
      </c>
      <c r="O247" s="1">
        <f>IFERROR(__xludf.DUMMYFUNCTION("""COMPUTED_VALUE"""),21.0)</f>
        <v>21</v>
      </c>
      <c r="P247" s="1">
        <f>IFERROR(__xludf.DUMMYFUNCTION("""COMPUTED_VALUE"""),2400.0)</f>
        <v>2400</v>
      </c>
      <c r="Q247" s="1">
        <f>IFERROR(__xludf.DUMMYFUNCTION("""COMPUTED_VALUE"""),270.0)</f>
        <v>270</v>
      </c>
      <c r="R247" s="1">
        <f>IFERROR(__xludf.DUMMYFUNCTION("""COMPUTED_VALUE"""),3000.0)</f>
        <v>3000</v>
      </c>
      <c r="S247" s="1">
        <f>IFERROR(__xludf.DUMMYFUNCTION("""COMPUTED_VALUE"""),56.0)</f>
        <v>56</v>
      </c>
      <c r="T247" s="1">
        <f>IFERROR(__xludf.DUMMYFUNCTION("""COMPUTED_VALUE"""),3000.0)</f>
        <v>3000</v>
      </c>
      <c r="U247" s="1">
        <f>IFERROR(__xludf.DUMMYFUNCTION("""COMPUTED_VALUE"""),56.0)</f>
        <v>56</v>
      </c>
      <c r="V247" s="1">
        <f>IFERROR(__xludf.DUMMYFUNCTION("""COMPUTED_VALUE"""),50.0)</f>
        <v>50</v>
      </c>
      <c r="W247" s="1">
        <f>IFERROR(__xludf.DUMMYFUNCTION("""COMPUTED_VALUE"""),2200.0)</f>
        <v>2200</v>
      </c>
      <c r="X247" s="1">
        <f>IFERROR(__xludf.DUMMYFUNCTION("""COMPUTED_VALUE"""),50.0)</f>
        <v>50</v>
      </c>
      <c r="Y247" s="1">
        <f>IFERROR(__xludf.DUMMYFUNCTION("""COMPUTED_VALUE"""),2390.0)</f>
        <v>2390</v>
      </c>
      <c r="Z247" s="1">
        <f>IFERROR(__xludf.DUMMYFUNCTION("""COMPUTED_VALUE"""),249.0)</f>
        <v>249</v>
      </c>
      <c r="AA247" s="1">
        <f>IFERROR(__xludf.DUMMYFUNCTION("""COMPUTED_VALUE"""),2390.0)</f>
        <v>2390</v>
      </c>
      <c r="AB247" s="1">
        <f>IFERROR(__xludf.DUMMYFUNCTION("""COMPUTED_VALUE"""),3997.0)</f>
        <v>3997</v>
      </c>
      <c r="AC247" s="1">
        <f>IFERROR(__xludf.DUMMYFUNCTION("""COMPUTED_VALUE"""),100.0)</f>
        <v>100</v>
      </c>
      <c r="AD247" s="1">
        <f>IFERROR(__xludf.DUMMYFUNCTION("""COMPUTED_VALUE"""),2100.0)</f>
        <v>2100</v>
      </c>
      <c r="AE247" s="1">
        <f>IFERROR(__xludf.DUMMYFUNCTION("""COMPUTED_VALUE"""),829.0)</f>
        <v>829</v>
      </c>
      <c r="AF247" s="1">
        <f>IFERROR(__xludf.DUMMYFUNCTION("""COMPUTED_VALUE"""),6000.0)</f>
        <v>6000</v>
      </c>
      <c r="AG247" s="1">
        <f>IFERROR(__xludf.DUMMYFUNCTION("""COMPUTED_VALUE"""),50.0)</f>
        <v>50</v>
      </c>
      <c r="AH247" s="1">
        <f>IFERROR(__xludf.DUMMYFUNCTION("""COMPUTED_VALUE"""),2400.0)</f>
        <v>2400</v>
      </c>
      <c r="AI247" s="1">
        <f>IFERROR(__xludf.DUMMYFUNCTION("""COMPUTED_VALUE"""),359.0)</f>
        <v>359</v>
      </c>
      <c r="AJ247" s="1"/>
      <c r="AK247" s="1"/>
      <c r="AL247" s="1">
        <f>IFERROR(__xludf.DUMMYFUNCTION("""COMPUTED_VALUE"""),0.0)</f>
        <v>0</v>
      </c>
      <c r="AM247" s="1">
        <f>IFERROR(__xludf.DUMMYFUNCTION("""COMPUTED_VALUE"""),2600.0)</f>
        <v>2600</v>
      </c>
      <c r="AN247" s="1">
        <f>IFERROR(__xludf.DUMMYFUNCTION("""COMPUTED_VALUE"""),209.0)</f>
        <v>209</v>
      </c>
      <c r="AO247" s="1">
        <f>IFERROR(__xludf.DUMMYFUNCTION("""COMPUTED_VALUE"""),2600.0)</f>
        <v>2600</v>
      </c>
      <c r="AP247" s="1">
        <f>IFERROR(__xludf.DUMMYFUNCTION("""COMPUTED_VALUE"""),1564.0)</f>
        <v>1564</v>
      </c>
      <c r="AQ247" s="1">
        <f>IFERROR(__xludf.DUMMYFUNCTION("""COMPUTED_VALUE"""),25.0)</f>
        <v>25</v>
      </c>
      <c r="AR247" s="1">
        <f>IFERROR(__xludf.DUMMYFUNCTION("""COMPUTED_VALUE"""),2040.0)</f>
        <v>2040</v>
      </c>
      <c r="AS247" s="1">
        <f>IFERROR(__xludf.DUMMYFUNCTION("""COMPUTED_VALUE"""),402.0)</f>
        <v>402</v>
      </c>
    </row>
    <row r="248">
      <c r="A248" s="1" t="str">
        <f>IFERROR(__xludf.DUMMYFUNCTION("""COMPUTED_VALUE"""),"PE")</f>
        <v>PE</v>
      </c>
      <c r="B248" s="1"/>
      <c r="C248" s="1"/>
      <c r="D248" s="1">
        <f>IFERROR(__xludf.DUMMYFUNCTION("""COMPUTED_VALUE"""),8.98999977111816)</f>
        <v>8.989999771</v>
      </c>
      <c r="E248" s="1">
        <f>IFERROR(__xludf.DUMMYFUNCTION("""COMPUTED_VALUE"""),90800.0)</f>
        <v>90800</v>
      </c>
      <c r="F248" s="1">
        <f>IFERROR(__xludf.DUMMYFUNCTION("""COMPUTED_VALUE"""),8.98999977111816)</f>
        <v>8.989999771</v>
      </c>
      <c r="G248" s="1">
        <f>IFERROR(__xludf.DUMMYFUNCTION("""COMPUTED_VALUE"""),4235637.0)</f>
        <v>4235637</v>
      </c>
      <c r="H248" s="1">
        <f>IFERROR(__xludf.DUMMYFUNCTION("""COMPUTED_VALUE"""),13305.0)</f>
        <v>13305</v>
      </c>
      <c r="I248" s="1">
        <f>IFERROR(__xludf.DUMMYFUNCTION("""COMPUTED_VALUE"""),8.40999984741211)</f>
        <v>8.409999847</v>
      </c>
      <c r="J248" s="1">
        <f>IFERROR(__xludf.DUMMYFUNCTION("""COMPUTED_VALUE"""),1138305.0)</f>
        <v>1138305</v>
      </c>
      <c r="K248" s="1">
        <f>IFERROR(__xludf.DUMMYFUNCTION("""COMPUTED_VALUE"""),8.77999973297119)</f>
        <v>8.779999733</v>
      </c>
      <c r="L248" s="1">
        <f>IFERROR(__xludf.DUMMYFUNCTION("""COMPUTED_VALUE"""),2581.0)</f>
        <v>2581</v>
      </c>
      <c r="M248" s="1">
        <f>IFERROR(__xludf.DUMMYFUNCTION("""COMPUTED_VALUE"""),8.77999973297119)</f>
        <v>8.779999733</v>
      </c>
      <c r="N248" s="1">
        <f>IFERROR(__xludf.DUMMYFUNCTION("""COMPUTED_VALUE"""),4979570.0)</f>
        <v>4979570</v>
      </c>
      <c r="O248" s="1">
        <f>IFERROR(__xludf.DUMMYFUNCTION("""COMPUTED_VALUE"""),415472.0)</f>
        <v>415472</v>
      </c>
      <c r="P248" s="1">
        <f>IFERROR(__xludf.DUMMYFUNCTION("""COMPUTED_VALUE"""),8.39999961853027)</f>
        <v>8.399999619</v>
      </c>
      <c r="Q248" s="1">
        <f>IFERROR(__xludf.DUMMYFUNCTION("""COMPUTED_VALUE"""),1870010.0)</f>
        <v>1870010</v>
      </c>
      <c r="R248" s="1">
        <f>IFERROR(__xludf.DUMMYFUNCTION("""COMPUTED_VALUE"""),10.0)</f>
        <v>10</v>
      </c>
      <c r="S248" s="1">
        <f>IFERROR(__xludf.DUMMYFUNCTION("""COMPUTED_VALUE"""),10000.0)</f>
        <v>10000</v>
      </c>
      <c r="T248" s="1">
        <f>IFERROR(__xludf.DUMMYFUNCTION("""COMPUTED_VALUE"""),9.5)</f>
        <v>9.5</v>
      </c>
      <c r="U248" s="1">
        <f>IFERROR(__xludf.DUMMYFUNCTION("""COMPUTED_VALUE"""),10053.0)</f>
        <v>10053</v>
      </c>
      <c r="V248" s="1"/>
      <c r="W248" s="1"/>
      <c r="X248" s="1">
        <f>IFERROR(__xludf.DUMMYFUNCTION("""COMPUTED_VALUE"""),0.0)</f>
        <v>0</v>
      </c>
      <c r="Y248" s="1">
        <f>IFERROR(__xludf.DUMMYFUNCTION("""COMPUTED_VALUE"""),9.98999977111816)</f>
        <v>9.989999771</v>
      </c>
      <c r="Z248" s="1">
        <f>IFERROR(__xludf.DUMMYFUNCTION("""COMPUTED_VALUE"""),107558.0)</f>
        <v>107558</v>
      </c>
      <c r="AA248" s="1">
        <f>IFERROR(__xludf.DUMMYFUNCTION("""COMPUTED_VALUE"""),9.98999977111816)</f>
        <v>9.989999771</v>
      </c>
      <c r="AB248" s="1">
        <f>IFERROR(__xludf.DUMMYFUNCTION("""COMPUTED_VALUE"""),5397878.0)</f>
        <v>5397878</v>
      </c>
      <c r="AC248" s="1">
        <f>IFERROR(__xludf.DUMMYFUNCTION("""COMPUTED_VALUE"""),360.0)</f>
        <v>360</v>
      </c>
      <c r="AD248" s="1">
        <f>IFERROR(__xludf.DUMMYFUNCTION("""COMPUTED_VALUE"""),9.10000038146972)</f>
        <v>9.100000381</v>
      </c>
      <c r="AE248" s="1">
        <f>IFERROR(__xludf.DUMMYFUNCTION("""COMPUTED_VALUE"""),2098896.0)</f>
        <v>2098896</v>
      </c>
      <c r="AF248" s="1">
        <f>IFERROR(__xludf.DUMMYFUNCTION("""COMPUTED_VALUE"""),12.5)</f>
        <v>12.5</v>
      </c>
      <c r="AG248" s="1">
        <f>IFERROR(__xludf.DUMMYFUNCTION("""COMPUTED_VALUE"""),30000.0)</f>
        <v>30000</v>
      </c>
      <c r="AH248" s="1">
        <f>IFERROR(__xludf.DUMMYFUNCTION("""COMPUTED_VALUE"""),10.0)</f>
        <v>10</v>
      </c>
      <c r="AI248" s="1">
        <f>IFERROR(__xludf.DUMMYFUNCTION("""COMPUTED_VALUE"""),42450.0)</f>
        <v>42450</v>
      </c>
      <c r="AJ248" s="1"/>
      <c r="AK248" s="1"/>
      <c r="AL248" s="1">
        <f>IFERROR(__xludf.DUMMYFUNCTION("""COMPUTED_VALUE"""),0.0)</f>
        <v>0</v>
      </c>
      <c r="AM248" s="1">
        <f>IFERROR(__xludf.DUMMYFUNCTION("""COMPUTED_VALUE"""),9.60000038146972)</f>
        <v>9.600000381</v>
      </c>
      <c r="AN248" s="1">
        <f>IFERROR(__xludf.DUMMYFUNCTION("""COMPUTED_VALUE"""),1050.0)</f>
        <v>1050</v>
      </c>
      <c r="AO248" s="1">
        <f>IFERROR(__xludf.DUMMYFUNCTION("""COMPUTED_VALUE"""),9.60000038146972)</f>
        <v>9.600000381</v>
      </c>
      <c r="AP248" s="1">
        <f>IFERROR(__xludf.DUMMYFUNCTION("""COMPUTED_VALUE"""),1984488.0)</f>
        <v>1984488</v>
      </c>
      <c r="AQ248" s="1">
        <f>IFERROR(__xludf.DUMMYFUNCTION("""COMPUTED_VALUE"""),1566.0)</f>
        <v>1566</v>
      </c>
      <c r="AR248" s="1">
        <f>IFERROR(__xludf.DUMMYFUNCTION("""COMPUTED_VALUE"""),8.89999961853027)</f>
        <v>8.899999619</v>
      </c>
      <c r="AS248" s="1">
        <f>IFERROR(__xludf.DUMMYFUNCTION("""COMPUTED_VALUE"""),236670.0)</f>
        <v>236670</v>
      </c>
    </row>
    <row r="249">
      <c r="A249" s="1" t="str">
        <f>IFERROR(__xludf.DUMMYFUNCTION("""COMPUTED_VALUE"""),"PFE")</f>
        <v>PFE</v>
      </c>
      <c r="B249" s="1"/>
      <c r="C249" s="1"/>
      <c r="D249" s="1">
        <f>IFERROR(__xludf.DUMMYFUNCTION("""COMPUTED_VALUE"""),900.0)</f>
        <v>900</v>
      </c>
      <c r="E249" s="1">
        <f>IFERROR(__xludf.DUMMYFUNCTION("""COMPUTED_VALUE"""),10.0)</f>
        <v>10</v>
      </c>
      <c r="F249" s="1">
        <f>IFERROR(__xludf.DUMMYFUNCTION("""COMPUTED_VALUE"""),1000.0)</f>
        <v>1000</v>
      </c>
      <c r="G249" s="1">
        <f>IFERROR(__xludf.DUMMYFUNCTION("""COMPUTED_VALUE"""),1790.0)</f>
        <v>1790</v>
      </c>
      <c r="H249" s="1">
        <f>IFERROR(__xludf.DUMMYFUNCTION("""COMPUTED_VALUE"""),500.0)</f>
        <v>500</v>
      </c>
      <c r="I249" s="1">
        <f>IFERROR(__xludf.DUMMYFUNCTION("""COMPUTED_VALUE"""),750.0)</f>
        <v>750</v>
      </c>
      <c r="J249" s="1">
        <f>IFERROR(__xludf.DUMMYFUNCTION("""COMPUTED_VALUE"""),2997.0)</f>
        <v>2997</v>
      </c>
      <c r="K249" s="1">
        <f>IFERROR(__xludf.DUMMYFUNCTION("""COMPUTED_VALUE"""),623.840026855468)</f>
        <v>623.8400269</v>
      </c>
      <c r="L249" s="1">
        <f>IFERROR(__xludf.DUMMYFUNCTION("""COMPUTED_VALUE"""),25.0)</f>
        <v>25</v>
      </c>
      <c r="M249" s="1">
        <f>IFERROR(__xludf.DUMMYFUNCTION("""COMPUTED_VALUE"""),1400.0)</f>
        <v>1400</v>
      </c>
      <c r="N249" s="1">
        <f>IFERROR(__xludf.DUMMYFUNCTION("""COMPUTED_VALUE"""),25.0)</f>
        <v>25</v>
      </c>
      <c r="O249" s="1">
        <f>IFERROR(__xludf.DUMMYFUNCTION("""COMPUTED_VALUE"""),1000.0)</f>
        <v>1000</v>
      </c>
      <c r="P249" s="1">
        <f>IFERROR(__xludf.DUMMYFUNCTION("""COMPUTED_VALUE"""),650.0)</f>
        <v>650</v>
      </c>
      <c r="Q249" s="1">
        <f>IFERROR(__xludf.DUMMYFUNCTION("""COMPUTED_VALUE"""),1000.0)</f>
        <v>1000</v>
      </c>
      <c r="R249" s="1">
        <f>IFERROR(__xludf.DUMMYFUNCTION("""COMPUTED_VALUE"""),900.0)</f>
        <v>900</v>
      </c>
      <c r="S249" s="1">
        <f>IFERROR(__xludf.DUMMYFUNCTION("""COMPUTED_VALUE"""),300.0)</f>
        <v>300</v>
      </c>
      <c r="T249" s="1">
        <f>IFERROR(__xludf.DUMMYFUNCTION("""COMPUTED_VALUE"""),825.0)</f>
        <v>825</v>
      </c>
      <c r="U249" s="1">
        <f>IFERROR(__xludf.DUMMYFUNCTION("""COMPUTED_VALUE"""),300.0)</f>
        <v>300</v>
      </c>
      <c r="V249" s="1"/>
      <c r="W249" s="1"/>
      <c r="X249" s="1">
        <f>IFERROR(__xludf.DUMMYFUNCTION("""COMPUTED_VALUE"""),0.0)</f>
        <v>0</v>
      </c>
      <c r="Y249" s="1">
        <f>IFERROR(__xludf.DUMMYFUNCTION("""COMPUTED_VALUE"""),200.0)</f>
        <v>200</v>
      </c>
      <c r="Z249" s="1">
        <f>IFERROR(__xludf.DUMMYFUNCTION("""COMPUTED_VALUE"""),500.0)</f>
        <v>500</v>
      </c>
      <c r="AA249" s="1">
        <f>IFERROR(__xludf.DUMMYFUNCTION("""COMPUTED_VALUE"""),2000.0)</f>
        <v>2000</v>
      </c>
      <c r="AB249" s="1">
        <f>IFERROR(__xludf.DUMMYFUNCTION("""COMPUTED_VALUE"""),500.0)</f>
        <v>500</v>
      </c>
      <c r="AC249" s="1">
        <f>IFERROR(__xludf.DUMMYFUNCTION("""COMPUTED_VALUE"""),99.0)</f>
        <v>99</v>
      </c>
      <c r="AD249" s="1">
        <f>IFERROR(__xludf.DUMMYFUNCTION("""COMPUTED_VALUE"""),200.0)</f>
        <v>200</v>
      </c>
      <c r="AE249" s="1">
        <f>IFERROR(__xludf.DUMMYFUNCTION("""COMPUTED_VALUE"""),99.0)</f>
        <v>99</v>
      </c>
      <c r="AF249" s="1">
        <f>IFERROR(__xludf.DUMMYFUNCTION("""COMPUTED_VALUE"""),500.0)</f>
        <v>500</v>
      </c>
      <c r="AG249" s="1">
        <f>IFERROR(__xludf.DUMMYFUNCTION("""COMPUTED_VALUE"""),430.0)</f>
        <v>430</v>
      </c>
      <c r="AH249" s="1">
        <f>IFERROR(__xludf.DUMMYFUNCTION("""COMPUTED_VALUE"""),700.0)</f>
        <v>700</v>
      </c>
      <c r="AI249" s="1">
        <f>IFERROR(__xludf.DUMMYFUNCTION("""COMPUTED_VALUE"""),450.0)</f>
        <v>450</v>
      </c>
      <c r="AJ249" s="1">
        <f>IFERROR(__xludf.DUMMYFUNCTION("""COMPUTED_VALUE"""),119.0)</f>
        <v>119</v>
      </c>
      <c r="AK249" s="1">
        <f>IFERROR(__xludf.DUMMYFUNCTION("""COMPUTED_VALUE"""),500.0)</f>
        <v>500</v>
      </c>
      <c r="AL249" s="1">
        <f>IFERROR(__xludf.DUMMYFUNCTION("""COMPUTED_VALUE"""),119.0)</f>
        <v>119</v>
      </c>
      <c r="AM249" s="1">
        <f>IFERROR(__xludf.DUMMYFUNCTION("""COMPUTED_VALUE"""),979.0)</f>
        <v>979</v>
      </c>
      <c r="AN249" s="1">
        <f>IFERROR(__xludf.DUMMYFUNCTION("""COMPUTED_VALUE"""),52.0)</f>
        <v>52</v>
      </c>
      <c r="AO249" s="1">
        <f>IFERROR(__xludf.DUMMYFUNCTION("""COMPUTED_VALUE"""),979.0)</f>
        <v>979</v>
      </c>
      <c r="AP249" s="1">
        <f>IFERROR(__xludf.DUMMYFUNCTION("""COMPUTED_VALUE"""),548.0)</f>
        <v>548</v>
      </c>
      <c r="AQ249" s="1">
        <f>IFERROR(__xludf.DUMMYFUNCTION("""COMPUTED_VALUE"""),120.0)</f>
        <v>120</v>
      </c>
      <c r="AR249" s="1">
        <f>IFERROR(__xludf.DUMMYFUNCTION("""COMPUTED_VALUE"""),300.0)</f>
        <v>300</v>
      </c>
      <c r="AS249" s="1">
        <f>IFERROR(__xludf.DUMMYFUNCTION("""COMPUTED_VALUE"""),120.0)</f>
        <v>120</v>
      </c>
    </row>
    <row r="250">
      <c r="A250" s="1" t="str">
        <f>IFERROR(__xludf.DUMMYFUNCTION("""COMPUTED_VALUE"""),"PFG")</f>
        <v>PFG</v>
      </c>
      <c r="B250" s="1"/>
      <c r="C250" s="1"/>
      <c r="D250" s="1">
        <f>IFERROR(__xludf.DUMMYFUNCTION("""COMPUTED_VALUE"""),1968333.25)</f>
        <v>1968333.25</v>
      </c>
      <c r="E250" s="1">
        <f>IFERROR(__xludf.DUMMYFUNCTION("""COMPUTED_VALUE"""),1.0)</f>
        <v>1</v>
      </c>
      <c r="F250" s="1">
        <f>IFERROR(__xludf.DUMMYFUNCTION("""COMPUTED_VALUE"""),5000000.0)</f>
        <v>5000000</v>
      </c>
      <c r="G250" s="1">
        <f>IFERROR(__xludf.DUMMYFUNCTION("""COMPUTED_VALUE"""),1.0)</f>
        <v>1</v>
      </c>
      <c r="H250" s="1">
        <f>IFERROR(__xludf.DUMMYFUNCTION("""COMPUTED_VALUE"""),4.0)</f>
        <v>4</v>
      </c>
      <c r="I250" s="1">
        <f>IFERROR(__xludf.DUMMYFUNCTION("""COMPUTED_VALUE"""),2000000.0)</f>
        <v>2000000</v>
      </c>
      <c r="J250" s="1">
        <f>IFERROR(__xludf.DUMMYFUNCTION("""COMPUTED_VALUE"""),4.0)</f>
        <v>4</v>
      </c>
      <c r="K250" s="1">
        <f>IFERROR(__xludf.DUMMYFUNCTION("""COMPUTED_VALUE"""),1968333.25)</f>
        <v>1968333.25</v>
      </c>
      <c r="L250" s="1"/>
      <c r="M250" s="1"/>
      <c r="N250" s="1">
        <f>IFERROR(__xludf.DUMMYFUNCTION("""COMPUTED_VALUE"""),0.0)</f>
        <v>0</v>
      </c>
      <c r="O250" s="1"/>
      <c r="P250" s="1"/>
      <c r="Q250" s="1">
        <f>IFERROR(__xludf.DUMMYFUNCTION("""COMPUTED_VALUE"""),0.0)</f>
        <v>0</v>
      </c>
      <c r="R250" s="1">
        <f>IFERROR(__xludf.DUMMYFUNCTION("""COMPUTED_VALUE"""),1968333.25)</f>
        <v>1968333.25</v>
      </c>
      <c r="S250" s="1"/>
      <c r="T250" s="1"/>
      <c r="U250" s="1">
        <f>IFERROR(__xludf.DUMMYFUNCTION("""COMPUTED_VALUE"""),0.0)</f>
        <v>0</v>
      </c>
      <c r="V250" s="1"/>
      <c r="W250" s="1"/>
      <c r="X250" s="1">
        <f>IFERROR(__xludf.DUMMYFUNCTION("""COMPUTED_VALUE"""),0.0)</f>
        <v>0</v>
      </c>
      <c r="Y250" s="1">
        <f>IFERROR(__xludf.DUMMYFUNCTION("""COMPUTED_VALUE"""),5000000.0)</f>
        <v>5000000</v>
      </c>
      <c r="Z250" s="1">
        <f>IFERROR(__xludf.DUMMYFUNCTION("""COMPUTED_VALUE"""),1.0)</f>
        <v>1</v>
      </c>
      <c r="AA250" s="1">
        <f>IFERROR(__xludf.DUMMYFUNCTION("""COMPUTED_VALUE"""),5000000.0)</f>
        <v>5000000</v>
      </c>
      <c r="AB250" s="1">
        <f>IFERROR(__xludf.DUMMYFUNCTION("""COMPUTED_VALUE"""),1.0)</f>
        <v>1</v>
      </c>
      <c r="AC250" s="1"/>
      <c r="AD250" s="1"/>
      <c r="AE250" s="1">
        <f>IFERROR(__xludf.DUMMYFUNCTION("""COMPUTED_VALUE"""),0.0)</f>
        <v>0</v>
      </c>
      <c r="AF250" s="1">
        <f>IFERROR(__xludf.DUMMYFUNCTION("""COMPUTED_VALUE"""),1968333.25)</f>
        <v>1968333.25</v>
      </c>
      <c r="AG250" s="1"/>
      <c r="AH250" s="1"/>
      <c r="AI250" s="1">
        <f>IFERROR(__xludf.DUMMYFUNCTION("""COMPUTED_VALUE"""),0.0)</f>
        <v>0</v>
      </c>
      <c r="AJ250" s="1"/>
      <c r="AK250" s="1"/>
      <c r="AL250" s="1">
        <f>IFERROR(__xludf.DUMMYFUNCTION("""COMPUTED_VALUE"""),0.0)</f>
        <v>0</v>
      </c>
      <c r="AM250" s="1">
        <f>IFERROR(__xludf.DUMMYFUNCTION("""COMPUTED_VALUE"""),1968333.25)</f>
        <v>1968333.25</v>
      </c>
      <c r="AN250" s="1"/>
      <c r="AO250" s="1"/>
      <c r="AP250" s="1">
        <f>IFERROR(__xludf.DUMMYFUNCTION("""COMPUTED_VALUE"""),0.0)</f>
        <v>0</v>
      </c>
      <c r="AQ250" s="1"/>
      <c r="AR250" s="1"/>
      <c r="AS250" s="1">
        <f>IFERROR(__xludf.DUMMYFUNCTION("""COMPUTED_VALUE"""),0.0)</f>
        <v>0</v>
      </c>
    </row>
    <row r="251">
      <c r="A251" s="1" t="str">
        <f>IFERROR(__xludf.DUMMYFUNCTION("""COMPUTED_VALUE"""),"PG")</f>
        <v>PG</v>
      </c>
      <c r="B251" s="1"/>
      <c r="C251" s="1"/>
      <c r="D251" s="1">
        <f>IFERROR(__xludf.DUMMYFUNCTION("""COMPUTED_VALUE"""),53.1100006103515)</f>
        <v>53.11000061</v>
      </c>
      <c r="E251" s="1">
        <f>IFERROR(__xludf.DUMMYFUNCTION("""COMPUTED_VALUE"""),63466.0)</f>
        <v>63466</v>
      </c>
      <c r="F251" s="1">
        <f>IFERROR(__xludf.DUMMYFUNCTION("""COMPUTED_VALUE"""),53.9000015258789)</f>
        <v>53.90000153</v>
      </c>
      <c r="G251" s="1">
        <f>IFERROR(__xludf.DUMMYFUNCTION("""COMPUTED_VALUE"""),1058016.0)</f>
        <v>1058016</v>
      </c>
      <c r="H251" s="1">
        <f>IFERROR(__xludf.DUMMYFUNCTION("""COMPUTED_VALUE"""),1500.0)</f>
        <v>1500</v>
      </c>
      <c r="I251" s="1">
        <f>IFERROR(__xludf.DUMMYFUNCTION("""COMPUTED_VALUE"""),47.099998474121)</f>
        <v>47.09999847</v>
      </c>
      <c r="J251" s="1">
        <f>IFERROR(__xludf.DUMMYFUNCTION("""COMPUTED_VALUE"""),308537.0)</f>
        <v>308537</v>
      </c>
      <c r="K251" s="1">
        <f>IFERROR(__xludf.DUMMYFUNCTION("""COMPUTED_VALUE"""),49.599998474121)</f>
        <v>49.59999847</v>
      </c>
      <c r="L251" s="1">
        <f>IFERROR(__xludf.DUMMYFUNCTION("""COMPUTED_VALUE"""),40.0)</f>
        <v>40</v>
      </c>
      <c r="M251" s="1">
        <f>IFERROR(__xludf.DUMMYFUNCTION("""COMPUTED_VALUE"""),49.599998474121)</f>
        <v>49.59999847</v>
      </c>
      <c r="N251" s="1">
        <f>IFERROR(__xludf.DUMMYFUNCTION("""COMPUTED_VALUE"""),356118.0)</f>
        <v>356118</v>
      </c>
      <c r="O251" s="1">
        <f>IFERROR(__xludf.DUMMYFUNCTION("""COMPUTED_VALUE"""),32572.0)</f>
        <v>32572</v>
      </c>
      <c r="P251" s="1">
        <f>IFERROR(__xludf.DUMMYFUNCTION("""COMPUTED_VALUE"""),48.0)</f>
        <v>48</v>
      </c>
      <c r="Q251" s="1">
        <f>IFERROR(__xludf.DUMMYFUNCTION("""COMPUTED_VALUE"""),269373.0)</f>
        <v>269373</v>
      </c>
      <c r="R251" s="1">
        <f>IFERROR(__xludf.DUMMYFUNCTION("""COMPUTED_VALUE"""),55.0)</f>
        <v>55</v>
      </c>
      <c r="S251" s="1"/>
      <c r="T251" s="1"/>
      <c r="U251" s="1">
        <f>IFERROR(__xludf.DUMMYFUNCTION("""COMPUTED_VALUE"""),0.0)</f>
        <v>0</v>
      </c>
      <c r="V251" s="1"/>
      <c r="W251" s="1"/>
      <c r="X251" s="1">
        <f>IFERROR(__xludf.DUMMYFUNCTION("""COMPUTED_VALUE"""),0.0)</f>
        <v>0</v>
      </c>
      <c r="Y251" s="1">
        <f>IFERROR(__xludf.DUMMYFUNCTION("""COMPUTED_VALUE"""),49.3699989318847)</f>
        <v>49.36999893</v>
      </c>
      <c r="Z251" s="1">
        <f>IFERROR(__xludf.DUMMYFUNCTION("""COMPUTED_VALUE"""),2600.0)</f>
        <v>2600</v>
      </c>
      <c r="AA251" s="1">
        <f>IFERROR(__xludf.DUMMYFUNCTION("""COMPUTED_VALUE"""),49.4000015258789)</f>
        <v>49.40000153</v>
      </c>
      <c r="AB251" s="1">
        <f>IFERROR(__xludf.DUMMYFUNCTION("""COMPUTED_VALUE"""),770650.0)</f>
        <v>770650</v>
      </c>
      <c r="AC251" s="1">
        <f>IFERROR(__xludf.DUMMYFUNCTION("""COMPUTED_VALUE"""),4000.0)</f>
        <v>4000</v>
      </c>
      <c r="AD251" s="1">
        <f>IFERROR(__xludf.DUMMYFUNCTION("""COMPUTED_VALUE"""),47.5)</f>
        <v>47.5</v>
      </c>
      <c r="AE251" s="1">
        <f>IFERROR(__xludf.DUMMYFUNCTION("""COMPUTED_VALUE"""),785417.0)</f>
        <v>785417</v>
      </c>
      <c r="AF251" s="1">
        <f>IFERROR(__xludf.DUMMYFUNCTION("""COMPUTED_VALUE"""),50.0)</f>
        <v>50</v>
      </c>
      <c r="AG251" s="1">
        <f>IFERROR(__xludf.DUMMYFUNCTION("""COMPUTED_VALUE"""),585.0)</f>
        <v>585</v>
      </c>
      <c r="AH251" s="1">
        <f>IFERROR(__xludf.DUMMYFUNCTION("""COMPUTED_VALUE"""),50.0)</f>
        <v>50</v>
      </c>
      <c r="AI251" s="1">
        <f>IFERROR(__xludf.DUMMYFUNCTION("""COMPUTED_VALUE"""),15125.0)</f>
        <v>15125</v>
      </c>
      <c r="AJ251" s="1"/>
      <c r="AK251" s="1"/>
      <c r="AL251" s="1">
        <f>IFERROR(__xludf.DUMMYFUNCTION("""COMPUTED_VALUE"""),0.0)</f>
        <v>0</v>
      </c>
      <c r="AM251" s="1">
        <f>IFERROR(__xludf.DUMMYFUNCTION("""COMPUTED_VALUE"""),52.4300003051757)</f>
        <v>52.43000031</v>
      </c>
      <c r="AN251" s="1">
        <f>IFERROR(__xludf.DUMMYFUNCTION("""COMPUTED_VALUE"""),900.0)</f>
        <v>900</v>
      </c>
      <c r="AO251" s="1">
        <f>IFERROR(__xludf.DUMMYFUNCTION("""COMPUTED_VALUE"""),52.5)</f>
        <v>52.5</v>
      </c>
      <c r="AP251" s="1">
        <f>IFERROR(__xludf.DUMMYFUNCTION("""COMPUTED_VALUE"""),165813.0)</f>
        <v>165813</v>
      </c>
      <c r="AQ251" s="1">
        <f>IFERROR(__xludf.DUMMYFUNCTION("""COMPUTED_VALUE"""),5000.0)</f>
        <v>5000</v>
      </c>
      <c r="AR251" s="1">
        <f>IFERROR(__xludf.DUMMYFUNCTION("""COMPUTED_VALUE"""),41.2000007629394)</f>
        <v>41.20000076</v>
      </c>
      <c r="AS251" s="1">
        <f>IFERROR(__xludf.DUMMYFUNCTION("""COMPUTED_VALUE"""),261453.0)</f>
        <v>261453</v>
      </c>
    </row>
    <row r="252">
      <c r="A252" s="1" t="str">
        <f>IFERROR(__xludf.DUMMYFUNCTION("""COMPUTED_VALUE"""),"PIB")</f>
        <v>PIB</v>
      </c>
      <c r="B252" s="1"/>
      <c r="C252" s="1"/>
      <c r="D252" s="1">
        <f>IFERROR(__xludf.DUMMYFUNCTION("""COMPUTED_VALUE"""),690.0)</f>
        <v>690</v>
      </c>
      <c r="E252" s="1">
        <f>IFERROR(__xludf.DUMMYFUNCTION("""COMPUTED_VALUE"""),13.0)</f>
        <v>13</v>
      </c>
      <c r="F252" s="1">
        <f>IFERROR(__xludf.DUMMYFUNCTION("""COMPUTED_VALUE"""),1890.0)</f>
        <v>1890</v>
      </c>
      <c r="G252" s="1">
        <f>IFERROR(__xludf.DUMMYFUNCTION("""COMPUTED_VALUE"""),497.0)</f>
        <v>497</v>
      </c>
      <c r="H252" s="1">
        <f>IFERROR(__xludf.DUMMYFUNCTION("""COMPUTED_VALUE"""),9.0)</f>
        <v>9</v>
      </c>
      <c r="I252" s="1">
        <f>IFERROR(__xludf.DUMMYFUNCTION("""COMPUTED_VALUE"""),430.0)</f>
        <v>430</v>
      </c>
      <c r="J252" s="1">
        <f>IFERROR(__xludf.DUMMYFUNCTION("""COMPUTED_VALUE"""),662.0)</f>
        <v>662</v>
      </c>
      <c r="K252" s="1">
        <f>IFERROR(__xludf.DUMMYFUNCTION("""COMPUTED_VALUE"""),1500.0)</f>
        <v>1500</v>
      </c>
      <c r="L252" s="1">
        <f>IFERROR(__xludf.DUMMYFUNCTION("""COMPUTED_VALUE"""),20.0)</f>
        <v>20</v>
      </c>
      <c r="M252" s="1">
        <f>IFERROR(__xludf.DUMMYFUNCTION("""COMPUTED_VALUE"""),1500.0)</f>
        <v>1500</v>
      </c>
      <c r="N252" s="1">
        <f>IFERROR(__xludf.DUMMYFUNCTION("""COMPUTED_VALUE"""),20.0)</f>
        <v>20</v>
      </c>
      <c r="O252" s="1">
        <f>IFERROR(__xludf.DUMMYFUNCTION("""COMPUTED_VALUE"""),23.0)</f>
        <v>23</v>
      </c>
      <c r="P252" s="1">
        <f>IFERROR(__xludf.DUMMYFUNCTION("""COMPUTED_VALUE"""),700.0)</f>
        <v>700</v>
      </c>
      <c r="Q252" s="1">
        <f>IFERROR(__xludf.DUMMYFUNCTION("""COMPUTED_VALUE"""),1214.0)</f>
        <v>1214</v>
      </c>
      <c r="R252" s="1">
        <f>IFERROR(__xludf.DUMMYFUNCTION("""COMPUTED_VALUE"""),700.0)</f>
        <v>700</v>
      </c>
      <c r="S252" s="1">
        <f>IFERROR(__xludf.DUMMYFUNCTION("""COMPUTED_VALUE"""),1979.0)</f>
        <v>1979</v>
      </c>
      <c r="T252" s="1">
        <f>IFERROR(__xludf.DUMMYFUNCTION("""COMPUTED_VALUE"""),700.0)</f>
        <v>700</v>
      </c>
      <c r="U252" s="1">
        <f>IFERROR(__xludf.DUMMYFUNCTION("""COMPUTED_VALUE"""),1979.0)</f>
        <v>1979</v>
      </c>
      <c r="V252" s="1"/>
      <c r="W252" s="1"/>
      <c r="X252" s="1">
        <f>IFERROR(__xludf.DUMMYFUNCTION("""COMPUTED_VALUE"""),0.0)</f>
        <v>0</v>
      </c>
      <c r="Y252" s="1">
        <f>IFERROR(__xludf.DUMMYFUNCTION("""COMPUTED_VALUE"""),690.0)</f>
        <v>690</v>
      </c>
      <c r="Z252" s="1">
        <f>IFERROR(__xludf.DUMMYFUNCTION("""COMPUTED_VALUE"""),167.0)</f>
        <v>167</v>
      </c>
      <c r="AA252" s="1">
        <f>IFERROR(__xludf.DUMMYFUNCTION("""COMPUTED_VALUE"""),690.0)</f>
        <v>690</v>
      </c>
      <c r="AB252" s="1">
        <f>IFERROR(__xludf.DUMMYFUNCTION("""COMPUTED_VALUE"""),924.0)</f>
        <v>924</v>
      </c>
      <c r="AC252" s="1">
        <f>IFERROR(__xludf.DUMMYFUNCTION("""COMPUTED_VALUE"""),100.0)</f>
        <v>100</v>
      </c>
      <c r="AD252" s="1">
        <f>IFERROR(__xludf.DUMMYFUNCTION("""COMPUTED_VALUE"""),150.0)</f>
        <v>150</v>
      </c>
      <c r="AE252" s="1">
        <f>IFERROR(__xludf.DUMMYFUNCTION("""COMPUTED_VALUE"""),100.0)</f>
        <v>100</v>
      </c>
      <c r="AF252" s="1">
        <f>IFERROR(__xludf.DUMMYFUNCTION("""COMPUTED_VALUE"""),548.400024414062)</f>
        <v>548.4000244</v>
      </c>
      <c r="AG252" s="1">
        <f>IFERROR(__xludf.DUMMYFUNCTION("""COMPUTED_VALUE"""),2000.0)</f>
        <v>2000</v>
      </c>
      <c r="AH252" s="1">
        <f>IFERROR(__xludf.DUMMYFUNCTION("""COMPUTED_VALUE"""),700.0)</f>
        <v>700</v>
      </c>
      <c r="AI252" s="1">
        <f>IFERROR(__xludf.DUMMYFUNCTION("""COMPUTED_VALUE"""),2000.0)</f>
        <v>2000</v>
      </c>
      <c r="AJ252" s="1"/>
      <c r="AK252" s="1"/>
      <c r="AL252" s="1">
        <f>IFERROR(__xludf.DUMMYFUNCTION("""COMPUTED_VALUE"""),0.0)</f>
        <v>0</v>
      </c>
      <c r="AM252" s="1">
        <f>IFERROR(__xludf.DUMMYFUNCTION("""COMPUTED_VALUE"""),700.0)</f>
        <v>700</v>
      </c>
      <c r="AN252" s="1">
        <f>IFERROR(__xludf.DUMMYFUNCTION("""COMPUTED_VALUE"""),681.0)</f>
        <v>681</v>
      </c>
      <c r="AO252" s="1">
        <f>IFERROR(__xludf.DUMMYFUNCTION("""COMPUTED_VALUE"""),700.0)</f>
        <v>700</v>
      </c>
      <c r="AP252" s="1">
        <f>IFERROR(__xludf.DUMMYFUNCTION("""COMPUTED_VALUE"""),3921.0)</f>
        <v>3921</v>
      </c>
      <c r="AQ252" s="1"/>
      <c r="AR252" s="1"/>
      <c r="AS252" s="1">
        <f>IFERROR(__xludf.DUMMYFUNCTION("""COMPUTED_VALUE"""),0.0)</f>
        <v>0</v>
      </c>
    </row>
    <row r="253">
      <c r="A253" s="1" t="str">
        <f>IFERROR(__xludf.DUMMYFUNCTION("""COMPUTED_VALUE"""),"PK")</f>
        <v>PK</v>
      </c>
      <c r="B253" s="1"/>
      <c r="C253" s="1"/>
      <c r="D253" s="1">
        <f>IFERROR(__xludf.DUMMYFUNCTION("""COMPUTED_VALUE"""),475.0)</f>
        <v>475</v>
      </c>
      <c r="E253" s="1">
        <f>IFERROR(__xludf.DUMMYFUNCTION("""COMPUTED_VALUE"""),100.0)</f>
        <v>100</v>
      </c>
      <c r="F253" s="1">
        <f>IFERROR(__xludf.DUMMYFUNCTION("""COMPUTED_VALUE"""),500.0)</f>
        <v>500</v>
      </c>
      <c r="G253" s="1">
        <f>IFERROR(__xludf.DUMMYFUNCTION("""COMPUTED_VALUE"""),1476.0)</f>
        <v>1476</v>
      </c>
      <c r="H253" s="1">
        <f>IFERROR(__xludf.DUMMYFUNCTION("""COMPUTED_VALUE"""),1110.0)</f>
        <v>1110</v>
      </c>
      <c r="I253" s="1">
        <f>IFERROR(__xludf.DUMMYFUNCTION("""COMPUTED_VALUE"""),450.0)</f>
        <v>450</v>
      </c>
      <c r="J253" s="1">
        <f>IFERROR(__xludf.DUMMYFUNCTION("""COMPUTED_VALUE"""),1110.0)</f>
        <v>1110</v>
      </c>
      <c r="K253" s="1">
        <f>IFERROR(__xludf.DUMMYFUNCTION("""COMPUTED_VALUE"""),999.0)</f>
        <v>999</v>
      </c>
      <c r="L253" s="1">
        <f>IFERROR(__xludf.DUMMYFUNCTION("""COMPUTED_VALUE"""),264.0)</f>
        <v>264</v>
      </c>
      <c r="M253" s="1">
        <f>IFERROR(__xludf.DUMMYFUNCTION("""COMPUTED_VALUE"""),999.0)</f>
        <v>999</v>
      </c>
      <c r="N253" s="1">
        <f>IFERROR(__xludf.DUMMYFUNCTION("""COMPUTED_VALUE"""),1618.0)</f>
        <v>1618</v>
      </c>
      <c r="O253" s="1"/>
      <c r="P253" s="1"/>
      <c r="Q253" s="1">
        <f>IFERROR(__xludf.DUMMYFUNCTION("""COMPUTED_VALUE"""),0.0)</f>
        <v>0</v>
      </c>
      <c r="R253" s="1">
        <f>IFERROR(__xludf.DUMMYFUNCTION("""COMPUTED_VALUE"""),832.27001953125)</f>
        <v>832.2700195</v>
      </c>
      <c r="S253" s="1"/>
      <c r="T253" s="1"/>
      <c r="U253" s="1">
        <f>IFERROR(__xludf.DUMMYFUNCTION("""COMPUTED_VALUE"""),0.0)</f>
        <v>0</v>
      </c>
      <c r="V253" s="1"/>
      <c r="W253" s="1"/>
      <c r="X253" s="1">
        <f>IFERROR(__xludf.DUMMYFUNCTION("""COMPUTED_VALUE"""),0.0)</f>
        <v>0</v>
      </c>
      <c r="Y253" s="1">
        <f>IFERROR(__xludf.DUMMYFUNCTION("""COMPUTED_VALUE"""),600.0)</f>
        <v>600</v>
      </c>
      <c r="Z253" s="1">
        <f>IFERROR(__xludf.DUMMYFUNCTION("""COMPUTED_VALUE"""),500.0)</f>
        <v>500</v>
      </c>
      <c r="AA253" s="1">
        <f>IFERROR(__xludf.DUMMYFUNCTION("""COMPUTED_VALUE"""),950.0)</f>
        <v>950</v>
      </c>
      <c r="AB253" s="1">
        <f>IFERROR(__xludf.DUMMYFUNCTION("""COMPUTED_VALUE"""),933.0)</f>
        <v>933</v>
      </c>
      <c r="AC253" s="1">
        <f>IFERROR(__xludf.DUMMYFUNCTION("""COMPUTED_VALUE"""),1000.0)</f>
        <v>1000</v>
      </c>
      <c r="AD253" s="1">
        <f>IFERROR(__xludf.DUMMYFUNCTION("""COMPUTED_VALUE"""),450.0)</f>
        <v>450</v>
      </c>
      <c r="AE253" s="1">
        <f>IFERROR(__xludf.DUMMYFUNCTION("""COMPUTED_VALUE"""),1000.0)</f>
        <v>1000</v>
      </c>
      <c r="AF253" s="1">
        <f>IFERROR(__xludf.DUMMYFUNCTION("""COMPUTED_VALUE"""),832.27001953125)</f>
        <v>832.2700195</v>
      </c>
      <c r="AG253" s="1"/>
      <c r="AH253" s="1"/>
      <c r="AI253" s="1">
        <f>IFERROR(__xludf.DUMMYFUNCTION("""COMPUTED_VALUE"""),0.0)</f>
        <v>0</v>
      </c>
      <c r="AJ253" s="1"/>
      <c r="AK253" s="1"/>
      <c r="AL253" s="1">
        <f>IFERROR(__xludf.DUMMYFUNCTION("""COMPUTED_VALUE"""),0.0)</f>
        <v>0</v>
      </c>
      <c r="AM253" s="1">
        <f>IFERROR(__xludf.DUMMYFUNCTION("""COMPUTED_VALUE"""),950.0)</f>
        <v>950</v>
      </c>
      <c r="AN253" s="1">
        <f>IFERROR(__xludf.DUMMYFUNCTION("""COMPUTED_VALUE"""),742.0)</f>
        <v>742</v>
      </c>
      <c r="AO253" s="1">
        <f>IFERROR(__xludf.DUMMYFUNCTION("""COMPUTED_VALUE"""),950.0)</f>
        <v>950</v>
      </c>
      <c r="AP253" s="1">
        <f>IFERROR(__xludf.DUMMYFUNCTION("""COMPUTED_VALUE"""),884.0)</f>
        <v>884</v>
      </c>
      <c r="AQ253" s="1"/>
      <c r="AR253" s="1"/>
      <c r="AS253" s="1">
        <f>IFERROR(__xludf.DUMMYFUNCTION("""COMPUTED_VALUE"""),0.0)</f>
        <v>0</v>
      </c>
    </row>
    <row r="254">
      <c r="A254" s="1" t="str">
        <f>IFERROR(__xludf.DUMMYFUNCTION("""COMPUTED_VALUE"""),"POW")</f>
        <v>POW</v>
      </c>
      <c r="B254" s="1">
        <f>IFERROR(__xludf.DUMMYFUNCTION("""COMPUTED_VALUE"""),6000.0)</f>
        <v>6000</v>
      </c>
      <c r="C254" s="1"/>
      <c r="D254" s="1">
        <f>IFERROR(__xludf.DUMMYFUNCTION("""COMPUTED_VALUE"""),11900.0)</f>
        <v>11900</v>
      </c>
      <c r="E254" s="1">
        <f>IFERROR(__xludf.DUMMYFUNCTION("""COMPUTED_VALUE"""),11.0)</f>
        <v>11</v>
      </c>
      <c r="F254" s="1">
        <f>IFERROR(__xludf.DUMMYFUNCTION("""COMPUTED_VALUE"""),11700.0)</f>
        <v>11700</v>
      </c>
      <c r="G254" s="1">
        <f>IFERROR(__xludf.DUMMYFUNCTION("""COMPUTED_VALUE"""),987.0)</f>
        <v>987</v>
      </c>
      <c r="H254" s="1">
        <f>IFERROR(__xludf.DUMMYFUNCTION("""COMPUTED_VALUE"""),30.0)</f>
        <v>30</v>
      </c>
      <c r="I254" s="1">
        <f>IFERROR(__xludf.DUMMYFUNCTION("""COMPUTED_VALUE"""),11200.0)</f>
        <v>11200</v>
      </c>
      <c r="J254" s="1">
        <f>IFERROR(__xludf.DUMMYFUNCTION("""COMPUTED_VALUE"""),1280.0)</f>
        <v>1280</v>
      </c>
      <c r="K254" s="1">
        <f>IFERROR(__xludf.DUMMYFUNCTION("""COMPUTED_VALUE"""),16000.0)</f>
        <v>16000</v>
      </c>
      <c r="L254" s="1">
        <f>IFERROR(__xludf.DUMMYFUNCTION("""COMPUTED_VALUE"""),5.0)</f>
        <v>5</v>
      </c>
      <c r="M254" s="1">
        <f>IFERROR(__xludf.DUMMYFUNCTION("""COMPUTED_VALUE"""),16000.0)</f>
        <v>16000</v>
      </c>
      <c r="N254" s="1">
        <f>IFERROR(__xludf.DUMMYFUNCTION("""COMPUTED_VALUE"""),168.0)</f>
        <v>168</v>
      </c>
      <c r="O254" s="1">
        <f>IFERROR(__xludf.DUMMYFUNCTION("""COMPUTED_VALUE"""),88.0)</f>
        <v>88</v>
      </c>
      <c r="P254" s="1">
        <f>IFERROR(__xludf.DUMMYFUNCTION("""COMPUTED_VALUE"""),10000.0)</f>
        <v>10000</v>
      </c>
      <c r="Q254" s="1">
        <f>IFERROR(__xludf.DUMMYFUNCTION("""COMPUTED_VALUE"""),188.0)</f>
        <v>188</v>
      </c>
      <c r="R254" s="1">
        <f>IFERROR(__xludf.DUMMYFUNCTION("""COMPUTED_VALUE"""),9500.0)</f>
        <v>9500</v>
      </c>
      <c r="S254" s="1">
        <f>IFERROR(__xludf.DUMMYFUNCTION("""COMPUTED_VALUE"""),40.0)</f>
        <v>40</v>
      </c>
      <c r="T254" s="1">
        <f>IFERROR(__xludf.DUMMYFUNCTION("""COMPUTED_VALUE"""),20000.0)</f>
        <v>20000</v>
      </c>
      <c r="U254" s="1">
        <f>IFERROR(__xludf.DUMMYFUNCTION("""COMPUTED_VALUE"""),40.0)</f>
        <v>40</v>
      </c>
      <c r="V254" s="1"/>
      <c r="W254" s="1"/>
      <c r="X254" s="1">
        <f>IFERROR(__xludf.DUMMYFUNCTION("""COMPUTED_VALUE"""),0.0)</f>
        <v>0</v>
      </c>
      <c r="Y254" s="1">
        <f>IFERROR(__xludf.DUMMYFUNCTION("""COMPUTED_VALUE"""),12435.0)</f>
        <v>12435</v>
      </c>
      <c r="Z254" s="1">
        <f>IFERROR(__xludf.DUMMYFUNCTION("""COMPUTED_VALUE"""),98.0)</f>
        <v>98</v>
      </c>
      <c r="AA254" s="1">
        <f>IFERROR(__xludf.DUMMYFUNCTION("""COMPUTED_VALUE"""),12500.0)</f>
        <v>12500</v>
      </c>
      <c r="AB254" s="1">
        <f>IFERROR(__xludf.DUMMYFUNCTION("""COMPUTED_VALUE"""),593.0)</f>
        <v>593</v>
      </c>
      <c r="AC254" s="1">
        <f>IFERROR(__xludf.DUMMYFUNCTION("""COMPUTED_VALUE"""),200.0)</f>
        <v>200</v>
      </c>
      <c r="AD254" s="1">
        <f>IFERROR(__xludf.DUMMYFUNCTION("""COMPUTED_VALUE"""),11100.0)</f>
        <v>11100</v>
      </c>
      <c r="AE254" s="1">
        <f>IFERROR(__xludf.DUMMYFUNCTION("""COMPUTED_VALUE"""),1245.0)</f>
        <v>1245</v>
      </c>
      <c r="AF254" s="1">
        <f>IFERROR(__xludf.DUMMYFUNCTION("""COMPUTED_VALUE"""),15400.0)</f>
        <v>15400</v>
      </c>
      <c r="AG254" s="1">
        <f>IFERROR(__xludf.DUMMYFUNCTION("""COMPUTED_VALUE"""),10.0)</f>
        <v>10</v>
      </c>
      <c r="AH254" s="1">
        <f>IFERROR(__xludf.DUMMYFUNCTION("""COMPUTED_VALUE"""),13000.0)</f>
        <v>13000</v>
      </c>
      <c r="AI254" s="1">
        <f>IFERROR(__xludf.DUMMYFUNCTION("""COMPUTED_VALUE"""),10.0)</f>
        <v>10</v>
      </c>
      <c r="AJ254" s="1"/>
      <c r="AK254" s="1"/>
      <c r="AL254" s="1">
        <f>IFERROR(__xludf.DUMMYFUNCTION("""COMPUTED_VALUE"""),0.0)</f>
        <v>0</v>
      </c>
      <c r="AM254" s="1">
        <f>IFERROR(__xludf.DUMMYFUNCTION("""COMPUTED_VALUE"""),11500.0)</f>
        <v>11500</v>
      </c>
      <c r="AN254" s="1">
        <f>IFERROR(__xludf.DUMMYFUNCTION("""COMPUTED_VALUE"""),15.0)</f>
        <v>15</v>
      </c>
      <c r="AO254" s="1">
        <f>IFERROR(__xludf.DUMMYFUNCTION("""COMPUTED_VALUE"""),11500.0)</f>
        <v>11500</v>
      </c>
      <c r="AP254" s="1">
        <f>IFERROR(__xludf.DUMMYFUNCTION("""COMPUTED_VALUE"""),637.0)</f>
        <v>637</v>
      </c>
      <c r="AQ254" s="1">
        <f>IFERROR(__xludf.DUMMYFUNCTION("""COMPUTED_VALUE"""),10.0)</f>
        <v>10</v>
      </c>
      <c r="AR254" s="1">
        <f>IFERROR(__xludf.DUMMYFUNCTION("""COMPUTED_VALUE"""),7810.0)</f>
        <v>7810</v>
      </c>
      <c r="AS254" s="1">
        <f>IFERROR(__xludf.DUMMYFUNCTION("""COMPUTED_VALUE"""),141.0)</f>
        <v>141</v>
      </c>
    </row>
    <row r="255">
      <c r="A255" s="1" t="str">
        <f>IFERROR(__xludf.DUMMYFUNCTION("""COMPUTED_VALUE"""),"PPA")</f>
        <v>PPA</v>
      </c>
      <c r="B255" s="1"/>
      <c r="C255" s="1"/>
      <c r="D255" s="1">
        <f>IFERROR(__xludf.DUMMYFUNCTION("""COMPUTED_VALUE"""),300.0)</f>
        <v>300</v>
      </c>
      <c r="E255" s="1">
        <f>IFERROR(__xludf.DUMMYFUNCTION("""COMPUTED_VALUE"""),971.0)</f>
        <v>971</v>
      </c>
      <c r="F255" s="1">
        <f>IFERROR(__xludf.DUMMYFUNCTION("""COMPUTED_VALUE"""),340.0)</f>
        <v>340</v>
      </c>
      <c r="G255" s="1">
        <f>IFERROR(__xludf.DUMMYFUNCTION("""COMPUTED_VALUE"""),6432.0)</f>
        <v>6432</v>
      </c>
      <c r="H255" s="1">
        <f>IFERROR(__xludf.DUMMYFUNCTION("""COMPUTED_VALUE"""),8372.0)</f>
        <v>8372</v>
      </c>
      <c r="I255" s="1">
        <f>IFERROR(__xludf.DUMMYFUNCTION("""COMPUTED_VALUE"""),300.0)</f>
        <v>300</v>
      </c>
      <c r="J255" s="1">
        <f>IFERROR(__xludf.DUMMYFUNCTION("""COMPUTED_VALUE"""),8372.0)</f>
        <v>8372</v>
      </c>
      <c r="K255" s="1">
        <f>IFERROR(__xludf.DUMMYFUNCTION("""COMPUTED_VALUE"""),285.0)</f>
        <v>285</v>
      </c>
      <c r="L255" s="1">
        <f>IFERROR(__xludf.DUMMYFUNCTION("""COMPUTED_VALUE"""),4.0)</f>
        <v>4</v>
      </c>
      <c r="M255" s="1">
        <f>IFERROR(__xludf.DUMMYFUNCTION("""COMPUTED_VALUE"""),400.0)</f>
        <v>400</v>
      </c>
      <c r="N255" s="1">
        <f>IFERROR(__xludf.DUMMYFUNCTION("""COMPUTED_VALUE"""),8.0)</f>
        <v>8</v>
      </c>
      <c r="O255" s="1">
        <f>IFERROR(__xludf.DUMMYFUNCTION("""COMPUTED_VALUE"""),32.0)</f>
        <v>32</v>
      </c>
      <c r="P255" s="1">
        <f>IFERROR(__xludf.DUMMYFUNCTION("""COMPUTED_VALUE"""),300.0)</f>
        <v>300</v>
      </c>
      <c r="Q255" s="1">
        <f>IFERROR(__xludf.DUMMYFUNCTION("""COMPUTED_VALUE"""),912.0)</f>
        <v>912</v>
      </c>
      <c r="R255" s="1">
        <f>IFERROR(__xludf.DUMMYFUNCTION("""COMPUTED_VALUE"""),300.0)</f>
        <v>300</v>
      </c>
      <c r="S255" s="1"/>
      <c r="T255" s="1"/>
      <c r="U255" s="1">
        <f>IFERROR(__xludf.DUMMYFUNCTION("""COMPUTED_VALUE"""),0.0)</f>
        <v>0</v>
      </c>
      <c r="V255" s="1"/>
      <c r="W255" s="1"/>
      <c r="X255" s="1">
        <f>IFERROR(__xludf.DUMMYFUNCTION("""COMPUTED_VALUE"""),0.0)</f>
        <v>0</v>
      </c>
      <c r="Y255" s="1">
        <f>IFERROR(__xludf.DUMMYFUNCTION("""COMPUTED_VALUE"""),309.0)</f>
        <v>309</v>
      </c>
      <c r="Z255" s="1">
        <f>IFERROR(__xludf.DUMMYFUNCTION("""COMPUTED_VALUE"""),40.0)</f>
        <v>40</v>
      </c>
      <c r="AA255" s="1">
        <f>IFERROR(__xludf.DUMMYFUNCTION("""COMPUTED_VALUE"""),309.0)</f>
        <v>309</v>
      </c>
      <c r="AB255" s="1">
        <f>IFERROR(__xludf.DUMMYFUNCTION("""COMPUTED_VALUE"""),6907.0)</f>
        <v>6907</v>
      </c>
      <c r="AC255" s="1">
        <f>IFERROR(__xludf.DUMMYFUNCTION("""COMPUTED_VALUE"""),206.0)</f>
        <v>206</v>
      </c>
      <c r="AD255" s="1">
        <f>IFERROR(__xludf.DUMMYFUNCTION("""COMPUTED_VALUE"""),260.0)</f>
        <v>260</v>
      </c>
      <c r="AE255" s="1">
        <f>IFERROR(__xludf.DUMMYFUNCTION("""COMPUTED_VALUE"""),206.0)</f>
        <v>206</v>
      </c>
      <c r="AF255" s="1">
        <f>IFERROR(__xludf.DUMMYFUNCTION("""COMPUTED_VALUE"""),100.0)</f>
        <v>100</v>
      </c>
      <c r="AG255" s="1"/>
      <c r="AH255" s="1"/>
      <c r="AI255" s="1">
        <f>IFERROR(__xludf.DUMMYFUNCTION("""COMPUTED_VALUE"""),0.0)</f>
        <v>0</v>
      </c>
      <c r="AJ255" s="1">
        <f>IFERROR(__xludf.DUMMYFUNCTION("""COMPUTED_VALUE"""),1000.0)</f>
        <v>1000</v>
      </c>
      <c r="AK255" s="1">
        <f>IFERROR(__xludf.DUMMYFUNCTION("""COMPUTED_VALUE"""),220.0)</f>
        <v>220</v>
      </c>
      <c r="AL255" s="1">
        <f>IFERROR(__xludf.DUMMYFUNCTION("""COMPUTED_VALUE"""),1000.0)</f>
        <v>1000</v>
      </c>
      <c r="AM255" s="1">
        <f>IFERROR(__xludf.DUMMYFUNCTION("""COMPUTED_VALUE"""),180.0)</f>
        <v>180</v>
      </c>
      <c r="AN255" s="1">
        <f>IFERROR(__xludf.DUMMYFUNCTION("""COMPUTED_VALUE"""),2890.0)</f>
        <v>2890</v>
      </c>
      <c r="AO255" s="1">
        <f>IFERROR(__xludf.DUMMYFUNCTION("""COMPUTED_VALUE"""),399.0)</f>
        <v>399</v>
      </c>
      <c r="AP255" s="1">
        <f>IFERROR(__xludf.DUMMYFUNCTION("""COMPUTED_VALUE"""),2910.0)</f>
        <v>2910</v>
      </c>
      <c r="AQ255" s="1">
        <f>IFERROR(__xludf.DUMMYFUNCTION("""COMPUTED_VALUE"""),460.0)</f>
        <v>460</v>
      </c>
      <c r="AR255" s="1">
        <f>IFERROR(__xludf.DUMMYFUNCTION("""COMPUTED_VALUE"""),180.0)</f>
        <v>180</v>
      </c>
      <c r="AS255" s="1">
        <f>IFERROR(__xludf.DUMMYFUNCTION("""COMPUTED_VALUE"""),1460.0)</f>
        <v>1460</v>
      </c>
    </row>
    <row r="256">
      <c r="A256" s="1" t="str">
        <f>IFERROR(__xludf.DUMMYFUNCTION("""COMPUTED_VALUE"""),"PSH")</f>
        <v>PSH</v>
      </c>
      <c r="B256" s="1"/>
      <c r="C256" s="1"/>
      <c r="D256" s="1">
        <f>IFERROR(__xludf.DUMMYFUNCTION("""COMPUTED_VALUE"""),11583.330078125)</f>
        <v>11583.33008</v>
      </c>
      <c r="E256" s="1">
        <f>IFERROR(__xludf.DUMMYFUNCTION("""COMPUTED_VALUE"""),100.0)</f>
        <v>100</v>
      </c>
      <c r="F256" s="1">
        <f>IFERROR(__xludf.DUMMYFUNCTION("""COMPUTED_VALUE"""),15000.0)</f>
        <v>15000</v>
      </c>
      <c r="G256" s="1">
        <f>IFERROR(__xludf.DUMMYFUNCTION("""COMPUTED_VALUE"""),4628.0)</f>
        <v>4628</v>
      </c>
      <c r="H256" s="1">
        <f>IFERROR(__xludf.DUMMYFUNCTION("""COMPUTED_VALUE"""),53.0)</f>
        <v>53</v>
      </c>
      <c r="I256" s="1">
        <f>IFERROR(__xludf.DUMMYFUNCTION("""COMPUTED_VALUE"""),8500.0)</f>
        <v>8500</v>
      </c>
      <c r="J256" s="1">
        <f>IFERROR(__xludf.DUMMYFUNCTION("""COMPUTED_VALUE"""),1153.0)</f>
        <v>1153</v>
      </c>
      <c r="K256" s="1">
        <f>IFERROR(__xludf.DUMMYFUNCTION("""COMPUTED_VALUE"""),10000.0)</f>
        <v>10000</v>
      </c>
      <c r="L256" s="1">
        <f>IFERROR(__xludf.DUMMYFUNCTION("""COMPUTED_VALUE"""),13.0)</f>
        <v>13</v>
      </c>
      <c r="M256" s="1">
        <f>IFERROR(__xludf.DUMMYFUNCTION("""COMPUTED_VALUE"""),11900.0)</f>
        <v>11900</v>
      </c>
      <c r="N256" s="1">
        <f>IFERROR(__xludf.DUMMYFUNCTION("""COMPUTED_VALUE"""),181.0)</f>
        <v>181</v>
      </c>
      <c r="O256" s="1">
        <f>IFERROR(__xludf.DUMMYFUNCTION("""COMPUTED_VALUE"""),46.0)</f>
        <v>46</v>
      </c>
      <c r="P256" s="1">
        <f>IFERROR(__xludf.DUMMYFUNCTION("""COMPUTED_VALUE"""),8800.0)</f>
        <v>8800</v>
      </c>
      <c r="Q256" s="1">
        <f>IFERROR(__xludf.DUMMYFUNCTION("""COMPUTED_VALUE"""),46.0)</f>
        <v>46</v>
      </c>
      <c r="R256" s="1">
        <f>IFERROR(__xludf.DUMMYFUNCTION("""COMPUTED_VALUE"""),3810.2099609375)</f>
        <v>3810.209961</v>
      </c>
      <c r="S256" s="1"/>
      <c r="T256" s="1"/>
      <c r="U256" s="1">
        <f>IFERROR(__xludf.DUMMYFUNCTION("""COMPUTED_VALUE"""),0.0)</f>
        <v>0</v>
      </c>
      <c r="V256" s="1"/>
      <c r="W256" s="1"/>
      <c r="X256" s="1">
        <f>IFERROR(__xludf.DUMMYFUNCTION("""COMPUTED_VALUE"""),0.0)</f>
        <v>0</v>
      </c>
      <c r="Y256" s="1">
        <f>IFERROR(__xludf.DUMMYFUNCTION("""COMPUTED_VALUE"""),18000.0)</f>
        <v>18000</v>
      </c>
      <c r="Z256" s="1">
        <f>IFERROR(__xludf.DUMMYFUNCTION("""COMPUTED_VALUE"""),34.0)</f>
        <v>34</v>
      </c>
      <c r="AA256" s="1">
        <f>IFERROR(__xludf.DUMMYFUNCTION("""COMPUTED_VALUE"""),18000.0)</f>
        <v>18000</v>
      </c>
      <c r="AB256" s="1">
        <f>IFERROR(__xludf.DUMMYFUNCTION("""COMPUTED_VALUE"""),34.0)</f>
        <v>34</v>
      </c>
      <c r="AC256" s="1">
        <f>IFERROR(__xludf.DUMMYFUNCTION("""COMPUTED_VALUE"""),32.0)</f>
        <v>32</v>
      </c>
      <c r="AD256" s="1">
        <f>IFERROR(__xludf.DUMMYFUNCTION("""COMPUTED_VALUE"""),9500.0)</f>
        <v>9500</v>
      </c>
      <c r="AE256" s="1">
        <f>IFERROR(__xludf.DUMMYFUNCTION("""COMPUTED_VALUE"""),32.0)</f>
        <v>32</v>
      </c>
      <c r="AF256" s="1">
        <f>IFERROR(__xludf.DUMMYFUNCTION("""COMPUTED_VALUE"""),3810.2099609375)</f>
        <v>3810.209961</v>
      </c>
      <c r="AG256" s="1">
        <f>IFERROR(__xludf.DUMMYFUNCTION("""COMPUTED_VALUE"""),32.0)</f>
        <v>32</v>
      </c>
      <c r="AH256" s="1">
        <f>IFERROR(__xludf.DUMMYFUNCTION("""COMPUTED_VALUE"""),13000.0)</f>
        <v>13000</v>
      </c>
      <c r="AI256" s="1">
        <f>IFERROR(__xludf.DUMMYFUNCTION("""COMPUTED_VALUE"""),32.0)</f>
        <v>32</v>
      </c>
      <c r="AJ256" s="1"/>
      <c r="AK256" s="1"/>
      <c r="AL256" s="1">
        <f>IFERROR(__xludf.DUMMYFUNCTION("""COMPUTED_VALUE"""),0.0)</f>
        <v>0</v>
      </c>
      <c r="AM256" s="1">
        <f>IFERROR(__xludf.DUMMYFUNCTION("""COMPUTED_VALUE"""),11800.0)</f>
        <v>11800</v>
      </c>
      <c r="AN256" s="1">
        <f>IFERROR(__xludf.DUMMYFUNCTION("""COMPUTED_VALUE"""),12.0)</f>
        <v>12</v>
      </c>
      <c r="AO256" s="1">
        <f>IFERROR(__xludf.DUMMYFUNCTION("""COMPUTED_VALUE"""),11800.0)</f>
        <v>11800</v>
      </c>
      <c r="AP256" s="1">
        <f>IFERROR(__xludf.DUMMYFUNCTION("""COMPUTED_VALUE"""),12.0)</f>
        <v>12</v>
      </c>
      <c r="AQ256" s="1">
        <f>IFERROR(__xludf.DUMMYFUNCTION("""COMPUTED_VALUE"""),40.0)</f>
        <v>40</v>
      </c>
      <c r="AR256" s="1">
        <f>IFERROR(__xludf.DUMMYFUNCTION("""COMPUTED_VALUE"""),9000.0)</f>
        <v>9000</v>
      </c>
      <c r="AS256" s="1">
        <f>IFERROR(__xludf.DUMMYFUNCTION("""COMPUTED_VALUE"""),40.0)</f>
        <v>40</v>
      </c>
    </row>
    <row r="257">
      <c r="A257" s="1" t="str">
        <f>IFERROR(__xludf.DUMMYFUNCTION("""COMPUTED_VALUE"""),"PSL")</f>
        <v>PSL</v>
      </c>
      <c r="B257" s="1"/>
      <c r="C257" s="1"/>
      <c r="D257" s="1">
        <f>IFERROR(__xludf.DUMMYFUNCTION("""COMPUTED_VALUE"""),4290.0)</f>
        <v>4290</v>
      </c>
      <c r="E257" s="1">
        <f>IFERROR(__xludf.DUMMYFUNCTION("""COMPUTED_VALUE"""),60.0)</f>
        <v>60</v>
      </c>
      <c r="F257" s="1">
        <f>IFERROR(__xludf.DUMMYFUNCTION("""COMPUTED_VALUE"""),4280.0)</f>
        <v>4280</v>
      </c>
      <c r="G257" s="1">
        <f>IFERROR(__xludf.DUMMYFUNCTION("""COMPUTED_VALUE"""),1371.0)</f>
        <v>1371</v>
      </c>
      <c r="H257" s="1">
        <f>IFERROR(__xludf.DUMMYFUNCTION("""COMPUTED_VALUE"""),100.0)</f>
        <v>100</v>
      </c>
      <c r="I257" s="1">
        <f>IFERROR(__xludf.DUMMYFUNCTION("""COMPUTED_VALUE"""),4100.0)</f>
        <v>4100</v>
      </c>
      <c r="J257" s="1">
        <f>IFERROR(__xludf.DUMMYFUNCTION("""COMPUTED_VALUE"""),1047.0)</f>
        <v>1047</v>
      </c>
      <c r="K257" s="1">
        <f>IFERROR(__xludf.DUMMYFUNCTION("""COMPUTED_VALUE"""),4980.0)</f>
        <v>4980</v>
      </c>
      <c r="L257" s="1">
        <f>IFERROR(__xludf.DUMMYFUNCTION("""COMPUTED_VALUE"""),210.0)</f>
        <v>210</v>
      </c>
      <c r="M257" s="1">
        <f>IFERROR(__xludf.DUMMYFUNCTION("""COMPUTED_VALUE"""),4980.0)</f>
        <v>4980</v>
      </c>
      <c r="N257" s="1">
        <f>IFERROR(__xludf.DUMMYFUNCTION("""COMPUTED_VALUE"""),251.0)</f>
        <v>251</v>
      </c>
      <c r="O257" s="1">
        <f>IFERROR(__xludf.DUMMYFUNCTION("""COMPUTED_VALUE"""),4.0)</f>
        <v>4</v>
      </c>
      <c r="P257" s="1">
        <f>IFERROR(__xludf.DUMMYFUNCTION("""COMPUTED_VALUE"""),3570.0)</f>
        <v>3570</v>
      </c>
      <c r="Q257" s="1">
        <f>IFERROR(__xludf.DUMMYFUNCTION("""COMPUTED_VALUE"""),289.0)</f>
        <v>289</v>
      </c>
      <c r="R257" s="1">
        <f>IFERROR(__xludf.DUMMYFUNCTION("""COMPUTED_VALUE"""),4500.0)</f>
        <v>4500</v>
      </c>
      <c r="S257" s="1"/>
      <c r="T257" s="1"/>
      <c r="U257" s="1">
        <f>IFERROR(__xludf.DUMMYFUNCTION("""COMPUTED_VALUE"""),0.0)</f>
        <v>0</v>
      </c>
      <c r="V257" s="1"/>
      <c r="W257" s="1"/>
      <c r="X257" s="1">
        <f>IFERROR(__xludf.DUMMYFUNCTION("""COMPUTED_VALUE"""),0.0)</f>
        <v>0</v>
      </c>
      <c r="Y257" s="1">
        <f>IFERROR(__xludf.DUMMYFUNCTION("""COMPUTED_VALUE"""),4582.5)</f>
        <v>4582.5</v>
      </c>
      <c r="Z257" s="1">
        <f>IFERROR(__xludf.DUMMYFUNCTION("""COMPUTED_VALUE"""),12.0)</f>
        <v>12</v>
      </c>
      <c r="AA257" s="1">
        <f>IFERROR(__xludf.DUMMYFUNCTION("""COMPUTED_VALUE"""),4600.0)</f>
        <v>4600</v>
      </c>
      <c r="AB257" s="1">
        <f>IFERROR(__xludf.DUMMYFUNCTION("""COMPUTED_VALUE"""),5055.0)</f>
        <v>5055</v>
      </c>
      <c r="AC257" s="1">
        <f>IFERROR(__xludf.DUMMYFUNCTION("""COMPUTED_VALUE"""),10.0)</f>
        <v>10</v>
      </c>
      <c r="AD257" s="1">
        <f>IFERROR(__xludf.DUMMYFUNCTION("""COMPUTED_VALUE"""),3900.0)</f>
        <v>3900</v>
      </c>
      <c r="AE257" s="1">
        <f>IFERROR(__xludf.DUMMYFUNCTION("""COMPUTED_VALUE"""),1400.0)</f>
        <v>1400</v>
      </c>
      <c r="AF257" s="1">
        <f>IFERROR(__xludf.DUMMYFUNCTION("""COMPUTED_VALUE"""),6000.0)</f>
        <v>6000</v>
      </c>
      <c r="AG257" s="1">
        <f>IFERROR(__xludf.DUMMYFUNCTION("""COMPUTED_VALUE"""),24.0)</f>
        <v>24</v>
      </c>
      <c r="AH257" s="1">
        <f>IFERROR(__xludf.DUMMYFUNCTION("""COMPUTED_VALUE"""),6000.0)</f>
        <v>6000</v>
      </c>
      <c r="AI257" s="1">
        <f>IFERROR(__xludf.DUMMYFUNCTION("""COMPUTED_VALUE"""),24.0)</f>
        <v>24</v>
      </c>
      <c r="AJ257" s="1">
        <f>IFERROR(__xludf.DUMMYFUNCTION("""COMPUTED_VALUE"""),24.0)</f>
        <v>24</v>
      </c>
      <c r="AK257" s="1">
        <f>IFERROR(__xludf.DUMMYFUNCTION("""COMPUTED_VALUE"""),3000.0)</f>
        <v>3000</v>
      </c>
      <c r="AL257" s="1">
        <f>IFERROR(__xludf.DUMMYFUNCTION("""COMPUTED_VALUE"""),24.0)</f>
        <v>24</v>
      </c>
      <c r="AM257" s="1">
        <f>IFERROR(__xludf.DUMMYFUNCTION("""COMPUTED_VALUE"""),5040.0)</f>
        <v>5040</v>
      </c>
      <c r="AN257" s="1">
        <f>IFERROR(__xludf.DUMMYFUNCTION("""COMPUTED_VALUE"""),170.0)</f>
        <v>170</v>
      </c>
      <c r="AO257" s="1">
        <f>IFERROR(__xludf.DUMMYFUNCTION("""COMPUTED_VALUE"""),5040.0)</f>
        <v>5040</v>
      </c>
      <c r="AP257" s="1">
        <f>IFERROR(__xludf.DUMMYFUNCTION("""COMPUTED_VALUE"""),1758.0)</f>
        <v>1758</v>
      </c>
      <c r="AQ257" s="1">
        <f>IFERROR(__xludf.DUMMYFUNCTION("""COMPUTED_VALUE"""),6.0)</f>
        <v>6</v>
      </c>
      <c r="AR257" s="1">
        <f>IFERROR(__xludf.DUMMYFUNCTION("""COMPUTED_VALUE"""),3500.0)</f>
        <v>3500</v>
      </c>
      <c r="AS257" s="1">
        <f>IFERROR(__xludf.DUMMYFUNCTION("""COMPUTED_VALUE"""),56.0)</f>
        <v>56</v>
      </c>
    </row>
    <row r="258">
      <c r="A258" s="1" t="str">
        <f>IFERROR(__xludf.DUMMYFUNCTION("""COMPUTED_VALUE"""),"PSM")</f>
        <v>PSM</v>
      </c>
      <c r="B258" s="1"/>
      <c r="C258" s="1"/>
      <c r="D258" s="1">
        <f>IFERROR(__xludf.DUMMYFUNCTION("""COMPUTED_VALUE"""),2850.0)</f>
        <v>2850</v>
      </c>
      <c r="E258" s="1">
        <f>IFERROR(__xludf.DUMMYFUNCTION("""COMPUTED_VALUE"""),145.0)</f>
        <v>145</v>
      </c>
      <c r="F258" s="1">
        <f>IFERROR(__xludf.DUMMYFUNCTION("""COMPUTED_VALUE"""),2850.0)</f>
        <v>2850</v>
      </c>
      <c r="G258" s="1">
        <f>IFERROR(__xludf.DUMMYFUNCTION("""COMPUTED_VALUE"""),3877.0)</f>
        <v>3877</v>
      </c>
      <c r="H258" s="1">
        <f>IFERROR(__xludf.DUMMYFUNCTION("""COMPUTED_VALUE"""),882.0)</f>
        <v>882</v>
      </c>
      <c r="I258" s="1">
        <f>IFERROR(__xludf.DUMMYFUNCTION("""COMPUTED_VALUE"""),2500.0)</f>
        <v>2500</v>
      </c>
      <c r="J258" s="1">
        <f>IFERROR(__xludf.DUMMYFUNCTION("""COMPUTED_VALUE"""),5125.0)</f>
        <v>5125</v>
      </c>
      <c r="K258" s="1">
        <f>IFERROR(__xludf.DUMMYFUNCTION("""COMPUTED_VALUE"""),2400.0)</f>
        <v>2400</v>
      </c>
      <c r="L258" s="1">
        <f>IFERROR(__xludf.DUMMYFUNCTION("""COMPUTED_VALUE"""),5.0)</f>
        <v>5</v>
      </c>
      <c r="M258" s="1">
        <f>IFERROR(__xludf.DUMMYFUNCTION("""COMPUTED_VALUE"""),2490.0)</f>
        <v>2490</v>
      </c>
      <c r="N258" s="1">
        <f>IFERROR(__xludf.DUMMYFUNCTION("""COMPUTED_VALUE"""),287.0)</f>
        <v>287</v>
      </c>
      <c r="O258" s="1">
        <f>IFERROR(__xludf.DUMMYFUNCTION("""COMPUTED_VALUE"""),273.0)</f>
        <v>273</v>
      </c>
      <c r="P258" s="1">
        <f>IFERROR(__xludf.DUMMYFUNCTION("""COMPUTED_VALUE"""),2400.0)</f>
        <v>2400</v>
      </c>
      <c r="Q258" s="1">
        <f>IFERROR(__xludf.DUMMYFUNCTION("""COMPUTED_VALUE"""),2561.0)</f>
        <v>2561</v>
      </c>
      <c r="R258" s="1">
        <f>IFERROR(__xludf.DUMMYFUNCTION("""COMPUTED_VALUE"""),2500.0)</f>
        <v>2500</v>
      </c>
      <c r="S258" s="1"/>
      <c r="T258" s="1"/>
      <c r="U258" s="1">
        <f>IFERROR(__xludf.DUMMYFUNCTION("""COMPUTED_VALUE"""),0.0)</f>
        <v>0</v>
      </c>
      <c r="V258" s="1"/>
      <c r="W258" s="1"/>
      <c r="X258" s="1">
        <f>IFERROR(__xludf.DUMMYFUNCTION("""COMPUTED_VALUE"""),0.0)</f>
        <v>0</v>
      </c>
      <c r="Y258" s="1">
        <f>IFERROR(__xludf.DUMMYFUNCTION("""COMPUTED_VALUE"""),2700.0)</f>
        <v>2700</v>
      </c>
      <c r="Z258" s="1">
        <f>IFERROR(__xludf.DUMMYFUNCTION("""COMPUTED_VALUE"""),2.0)</f>
        <v>2</v>
      </c>
      <c r="AA258" s="1">
        <f>IFERROR(__xludf.DUMMYFUNCTION("""COMPUTED_VALUE"""),2780.0)</f>
        <v>2780</v>
      </c>
      <c r="AB258" s="1">
        <f>IFERROR(__xludf.DUMMYFUNCTION("""COMPUTED_VALUE"""),3726.0)</f>
        <v>3726</v>
      </c>
      <c r="AC258" s="1">
        <f>IFERROR(__xludf.DUMMYFUNCTION("""COMPUTED_VALUE"""),150.0)</f>
        <v>150</v>
      </c>
      <c r="AD258" s="1">
        <f>IFERROR(__xludf.DUMMYFUNCTION("""COMPUTED_VALUE"""),2600.0)</f>
        <v>2600</v>
      </c>
      <c r="AE258" s="1">
        <f>IFERROR(__xludf.DUMMYFUNCTION("""COMPUTED_VALUE"""),1731.0)</f>
        <v>1731</v>
      </c>
      <c r="AF258" s="1">
        <f>IFERROR(__xludf.DUMMYFUNCTION("""COMPUTED_VALUE"""),1299.19995117187)</f>
        <v>1299.199951</v>
      </c>
      <c r="AG258" s="1">
        <f>IFERROR(__xludf.DUMMYFUNCTION("""COMPUTED_VALUE"""),35.0)</f>
        <v>35</v>
      </c>
      <c r="AH258" s="1">
        <f>IFERROR(__xludf.DUMMYFUNCTION("""COMPUTED_VALUE"""),3000.0)</f>
        <v>3000</v>
      </c>
      <c r="AI258" s="1">
        <f>IFERROR(__xludf.DUMMYFUNCTION("""COMPUTED_VALUE"""),35.0)</f>
        <v>35</v>
      </c>
      <c r="AJ258" s="1"/>
      <c r="AK258" s="1"/>
      <c r="AL258" s="1">
        <f>IFERROR(__xludf.DUMMYFUNCTION("""COMPUTED_VALUE"""),0.0)</f>
        <v>0</v>
      </c>
      <c r="AM258" s="1">
        <f>IFERROR(__xludf.DUMMYFUNCTION("""COMPUTED_VALUE"""),2760.0)</f>
        <v>2760</v>
      </c>
      <c r="AN258" s="1">
        <f>IFERROR(__xludf.DUMMYFUNCTION("""COMPUTED_VALUE"""),5.0)</f>
        <v>5</v>
      </c>
      <c r="AO258" s="1">
        <f>IFERROR(__xludf.DUMMYFUNCTION("""COMPUTED_VALUE"""),2650.0)</f>
        <v>2650</v>
      </c>
      <c r="AP258" s="1">
        <f>IFERROR(__xludf.DUMMYFUNCTION("""COMPUTED_VALUE"""),479.0)</f>
        <v>479</v>
      </c>
      <c r="AQ258" s="1">
        <f>IFERROR(__xludf.DUMMYFUNCTION("""COMPUTED_VALUE"""),142.0)</f>
        <v>142</v>
      </c>
      <c r="AR258" s="1">
        <f>IFERROR(__xludf.DUMMYFUNCTION("""COMPUTED_VALUE"""),2130.0)</f>
        <v>2130</v>
      </c>
      <c r="AS258" s="1">
        <f>IFERROR(__xludf.DUMMYFUNCTION("""COMPUTED_VALUE"""),1795.0)</f>
        <v>1795</v>
      </c>
    </row>
    <row r="259">
      <c r="A259" s="1" t="str">
        <f>IFERROR(__xludf.DUMMYFUNCTION("""COMPUTED_VALUE"""),"PSS")</f>
        <v>PSS</v>
      </c>
      <c r="B259" s="1"/>
      <c r="C259" s="1"/>
      <c r="D259" s="1">
        <f>IFERROR(__xludf.DUMMYFUNCTION("""COMPUTED_VALUE"""),1300.0)</f>
        <v>1300</v>
      </c>
      <c r="E259" s="1">
        <f>IFERROR(__xludf.DUMMYFUNCTION("""COMPUTED_VALUE"""),932.0)</f>
        <v>932</v>
      </c>
      <c r="F259" s="1">
        <f>IFERROR(__xludf.DUMMYFUNCTION("""COMPUTED_VALUE"""),1390.0)</f>
        <v>1390</v>
      </c>
      <c r="G259" s="1">
        <f>IFERROR(__xludf.DUMMYFUNCTION("""COMPUTED_VALUE"""),6201.0)</f>
        <v>6201</v>
      </c>
      <c r="H259" s="1">
        <f>IFERROR(__xludf.DUMMYFUNCTION("""COMPUTED_VALUE"""),887.0)</f>
        <v>887</v>
      </c>
      <c r="I259" s="1">
        <f>IFERROR(__xludf.DUMMYFUNCTION("""COMPUTED_VALUE"""),1300.0)</f>
        <v>1300</v>
      </c>
      <c r="J259" s="1">
        <f>IFERROR(__xludf.DUMMYFUNCTION("""COMPUTED_VALUE"""),5559.0)</f>
        <v>5559</v>
      </c>
      <c r="K259" s="1">
        <f>IFERROR(__xludf.DUMMYFUNCTION("""COMPUTED_VALUE"""),1050.0)</f>
        <v>1050</v>
      </c>
      <c r="L259" s="1">
        <f>IFERROR(__xludf.DUMMYFUNCTION("""COMPUTED_VALUE"""),16.0)</f>
        <v>16</v>
      </c>
      <c r="M259" s="1">
        <f>IFERROR(__xludf.DUMMYFUNCTION("""COMPUTED_VALUE"""),1180.0)</f>
        <v>1180</v>
      </c>
      <c r="N259" s="1">
        <f>IFERROR(__xludf.DUMMYFUNCTION("""COMPUTED_VALUE"""),547.0)</f>
        <v>547</v>
      </c>
      <c r="O259" s="1">
        <f>IFERROR(__xludf.DUMMYFUNCTION("""COMPUTED_VALUE"""),478.0)</f>
        <v>478</v>
      </c>
      <c r="P259" s="1">
        <f>IFERROR(__xludf.DUMMYFUNCTION("""COMPUTED_VALUE"""),1050.0)</f>
        <v>1050</v>
      </c>
      <c r="Q259" s="1">
        <f>IFERROR(__xludf.DUMMYFUNCTION("""COMPUTED_VALUE"""),478.0)</f>
        <v>478</v>
      </c>
      <c r="R259" s="1">
        <f>IFERROR(__xludf.DUMMYFUNCTION("""COMPUTED_VALUE"""),450.0)</f>
        <v>450</v>
      </c>
      <c r="S259" s="1"/>
      <c r="T259" s="1"/>
      <c r="U259" s="1">
        <f>IFERROR(__xludf.DUMMYFUNCTION("""COMPUTED_VALUE"""),0.0)</f>
        <v>0</v>
      </c>
      <c r="V259" s="1"/>
      <c r="W259" s="1"/>
      <c r="X259" s="1">
        <f>IFERROR(__xludf.DUMMYFUNCTION("""COMPUTED_VALUE"""),0.0)</f>
        <v>0</v>
      </c>
      <c r="Y259" s="1">
        <f>IFERROR(__xludf.DUMMYFUNCTION("""COMPUTED_VALUE"""),1344.4599609375)</f>
        <v>1344.459961</v>
      </c>
      <c r="Z259" s="1">
        <f>IFERROR(__xludf.DUMMYFUNCTION("""COMPUTED_VALUE"""),108.0)</f>
        <v>108</v>
      </c>
      <c r="AA259" s="1">
        <f>IFERROR(__xludf.DUMMYFUNCTION("""COMPUTED_VALUE"""),1350.0)</f>
        <v>1350</v>
      </c>
      <c r="AB259" s="1">
        <f>IFERROR(__xludf.DUMMYFUNCTION("""COMPUTED_VALUE"""),6695.0)</f>
        <v>6695</v>
      </c>
      <c r="AC259" s="1">
        <f>IFERROR(__xludf.DUMMYFUNCTION("""COMPUTED_VALUE"""),390.0)</f>
        <v>390</v>
      </c>
      <c r="AD259" s="1">
        <f>IFERROR(__xludf.DUMMYFUNCTION("""COMPUTED_VALUE"""),1260.0)</f>
        <v>1260</v>
      </c>
      <c r="AE259" s="1">
        <f>IFERROR(__xludf.DUMMYFUNCTION("""COMPUTED_VALUE"""),5020.0)</f>
        <v>5020</v>
      </c>
      <c r="AF259" s="1">
        <f>IFERROR(__xludf.DUMMYFUNCTION("""COMPUTED_VALUE"""),649.599975585937)</f>
        <v>649.5999756</v>
      </c>
      <c r="AG259" s="1">
        <f>IFERROR(__xludf.DUMMYFUNCTION("""COMPUTED_VALUE"""),100.0)</f>
        <v>100</v>
      </c>
      <c r="AH259" s="1">
        <f>IFERROR(__xludf.DUMMYFUNCTION("""COMPUTED_VALUE"""),1600.0)</f>
        <v>1600</v>
      </c>
      <c r="AI259" s="1">
        <f>IFERROR(__xludf.DUMMYFUNCTION("""COMPUTED_VALUE"""),100.0)</f>
        <v>100</v>
      </c>
      <c r="AJ259" s="1"/>
      <c r="AK259" s="1"/>
      <c r="AL259" s="1">
        <f>IFERROR(__xludf.DUMMYFUNCTION("""COMPUTED_VALUE"""),0.0)</f>
        <v>0</v>
      </c>
      <c r="AM259" s="1">
        <f>IFERROR(__xludf.DUMMYFUNCTION("""COMPUTED_VALUE"""),1170.0)</f>
        <v>1170</v>
      </c>
      <c r="AN259" s="1">
        <f>IFERROR(__xludf.DUMMYFUNCTION("""COMPUTED_VALUE"""),65.0)</f>
        <v>65</v>
      </c>
      <c r="AO259" s="1">
        <f>IFERROR(__xludf.DUMMYFUNCTION("""COMPUTED_VALUE"""),1330.0)</f>
        <v>1330</v>
      </c>
      <c r="AP259" s="1">
        <f>IFERROR(__xludf.DUMMYFUNCTION("""COMPUTED_VALUE"""),572.0)</f>
        <v>572</v>
      </c>
      <c r="AQ259" s="1">
        <f>IFERROR(__xludf.DUMMYFUNCTION("""COMPUTED_VALUE"""),403.0)</f>
        <v>403</v>
      </c>
      <c r="AR259" s="1">
        <f>IFERROR(__xludf.DUMMYFUNCTION("""COMPUTED_VALUE"""),1170.0)</f>
        <v>1170</v>
      </c>
      <c r="AS259" s="1">
        <f>IFERROR(__xludf.DUMMYFUNCTION("""COMPUTED_VALUE"""),1923.0)</f>
        <v>1923</v>
      </c>
    </row>
    <row r="260">
      <c r="A260" s="1" t="str">
        <f>IFERROR(__xludf.DUMMYFUNCTION("""COMPUTED_VALUE"""),"PT")</f>
        <v>PT</v>
      </c>
      <c r="B260" s="1"/>
      <c r="C260" s="1"/>
      <c r="D260" s="1">
        <f>IFERROR(__xludf.DUMMYFUNCTION("""COMPUTED_VALUE"""),588.0)</f>
        <v>588</v>
      </c>
      <c r="E260" s="1">
        <f>IFERROR(__xludf.DUMMYFUNCTION("""COMPUTED_VALUE"""),3997.0)</f>
        <v>3997</v>
      </c>
      <c r="F260" s="1">
        <f>IFERROR(__xludf.DUMMYFUNCTION("""COMPUTED_VALUE"""),588.0)</f>
        <v>588</v>
      </c>
      <c r="G260" s="1">
        <f>IFERROR(__xludf.DUMMYFUNCTION("""COMPUTED_VALUE"""),16723.0)</f>
        <v>16723</v>
      </c>
      <c r="H260" s="1">
        <f>IFERROR(__xludf.DUMMYFUNCTION("""COMPUTED_VALUE"""),180.0)</f>
        <v>180</v>
      </c>
      <c r="I260" s="1">
        <f>IFERROR(__xludf.DUMMYFUNCTION("""COMPUTED_VALUE"""),521.0)</f>
        <v>521</v>
      </c>
      <c r="J260" s="1">
        <f>IFERROR(__xludf.DUMMYFUNCTION("""COMPUTED_VALUE"""),12213.0)</f>
        <v>12213</v>
      </c>
      <c r="K260" s="1">
        <f>IFERROR(__xludf.DUMMYFUNCTION("""COMPUTED_VALUE"""),527.0)</f>
        <v>527</v>
      </c>
      <c r="L260" s="1">
        <f>IFERROR(__xludf.DUMMYFUNCTION("""COMPUTED_VALUE"""),212.0)</f>
        <v>212</v>
      </c>
      <c r="M260" s="1">
        <f>IFERROR(__xludf.DUMMYFUNCTION("""COMPUTED_VALUE"""),527.0)</f>
        <v>527</v>
      </c>
      <c r="N260" s="1">
        <f>IFERROR(__xludf.DUMMYFUNCTION("""COMPUTED_VALUE"""),6620.0)</f>
        <v>6620</v>
      </c>
      <c r="O260" s="1">
        <f>IFERROR(__xludf.DUMMYFUNCTION("""COMPUTED_VALUE"""),64.0)</f>
        <v>64</v>
      </c>
      <c r="P260" s="1">
        <f>IFERROR(__xludf.DUMMYFUNCTION("""COMPUTED_VALUE"""),500.0)</f>
        <v>500</v>
      </c>
      <c r="Q260" s="1">
        <f>IFERROR(__xludf.DUMMYFUNCTION("""COMPUTED_VALUE"""),4316.0)</f>
        <v>4316</v>
      </c>
      <c r="R260" s="1">
        <f>IFERROR(__xludf.DUMMYFUNCTION("""COMPUTED_VALUE"""),480.0)</f>
        <v>480</v>
      </c>
      <c r="S260" s="1">
        <f>IFERROR(__xludf.DUMMYFUNCTION("""COMPUTED_VALUE"""),456.0)</f>
        <v>456</v>
      </c>
      <c r="T260" s="1">
        <f>IFERROR(__xludf.DUMMYFUNCTION("""COMPUTED_VALUE"""),480.0)</f>
        <v>480</v>
      </c>
      <c r="U260" s="1">
        <f>IFERROR(__xludf.DUMMYFUNCTION("""COMPUTED_VALUE"""),2077.0)</f>
        <v>2077</v>
      </c>
      <c r="V260" s="1"/>
      <c r="W260" s="1"/>
      <c r="X260" s="1">
        <f>IFERROR(__xludf.DUMMYFUNCTION("""COMPUTED_VALUE"""),0.0)</f>
        <v>0</v>
      </c>
      <c r="Y260" s="1">
        <f>IFERROR(__xludf.DUMMYFUNCTION("""COMPUTED_VALUE"""),527.0)</f>
        <v>527</v>
      </c>
      <c r="Z260" s="1">
        <f>IFERROR(__xludf.DUMMYFUNCTION("""COMPUTED_VALUE"""),29.0)</f>
        <v>29</v>
      </c>
      <c r="AA260" s="1">
        <f>IFERROR(__xludf.DUMMYFUNCTION("""COMPUTED_VALUE"""),527.0)</f>
        <v>527</v>
      </c>
      <c r="AB260" s="1">
        <f>IFERROR(__xludf.DUMMYFUNCTION("""COMPUTED_VALUE"""),25154.0)</f>
        <v>25154</v>
      </c>
      <c r="AC260" s="1">
        <f>IFERROR(__xludf.DUMMYFUNCTION("""COMPUTED_VALUE"""),20.0)</f>
        <v>20</v>
      </c>
      <c r="AD260" s="1">
        <f>IFERROR(__xludf.DUMMYFUNCTION("""COMPUTED_VALUE"""),502.0)</f>
        <v>502</v>
      </c>
      <c r="AE260" s="1">
        <f>IFERROR(__xludf.DUMMYFUNCTION("""COMPUTED_VALUE"""),11083.0)</f>
        <v>11083</v>
      </c>
      <c r="AF260" s="1">
        <f>IFERROR(__xludf.DUMMYFUNCTION("""COMPUTED_VALUE"""),550.0)</f>
        <v>550</v>
      </c>
      <c r="AG260" s="1">
        <f>IFERROR(__xludf.DUMMYFUNCTION("""COMPUTED_VALUE"""),500.0)</f>
        <v>500</v>
      </c>
      <c r="AH260" s="1">
        <f>IFERROR(__xludf.DUMMYFUNCTION("""COMPUTED_VALUE"""),520.0)</f>
        <v>520</v>
      </c>
      <c r="AI260" s="1">
        <f>IFERROR(__xludf.DUMMYFUNCTION("""COMPUTED_VALUE"""),610.0)</f>
        <v>610</v>
      </c>
      <c r="AJ260" s="1"/>
      <c r="AK260" s="1"/>
      <c r="AL260" s="1">
        <f>IFERROR(__xludf.DUMMYFUNCTION("""COMPUTED_VALUE"""),0.0)</f>
        <v>0</v>
      </c>
      <c r="AM260" s="1">
        <f>IFERROR(__xludf.DUMMYFUNCTION("""COMPUTED_VALUE"""),519.0)</f>
        <v>519</v>
      </c>
      <c r="AN260" s="1">
        <f>IFERROR(__xludf.DUMMYFUNCTION("""COMPUTED_VALUE"""),7187.0)</f>
        <v>7187</v>
      </c>
      <c r="AO260" s="1">
        <f>IFERROR(__xludf.DUMMYFUNCTION("""COMPUTED_VALUE"""),519.0)</f>
        <v>519</v>
      </c>
      <c r="AP260" s="1">
        <f>IFERROR(__xludf.DUMMYFUNCTION("""COMPUTED_VALUE"""),38994.0)</f>
        <v>38994</v>
      </c>
      <c r="AQ260" s="1">
        <f>IFERROR(__xludf.DUMMYFUNCTION("""COMPUTED_VALUE"""),10.0)</f>
        <v>10</v>
      </c>
      <c r="AR260" s="1">
        <f>IFERROR(__xludf.DUMMYFUNCTION("""COMPUTED_VALUE"""),500.0)</f>
        <v>500</v>
      </c>
      <c r="AS260" s="1">
        <f>IFERROR(__xludf.DUMMYFUNCTION("""COMPUTED_VALUE"""),12090.0)</f>
        <v>12090</v>
      </c>
    </row>
    <row r="261">
      <c r="A261" s="1" t="str">
        <f>IFERROR(__xludf.DUMMYFUNCTION("""COMPUTED_VALUE"""),"PWO")</f>
        <v>PWO</v>
      </c>
      <c r="B261" s="1"/>
      <c r="C261" s="1"/>
      <c r="D261" s="1">
        <f>IFERROR(__xludf.DUMMYFUNCTION("""COMPUTED_VALUE"""),345.0)</f>
        <v>345</v>
      </c>
      <c r="E261" s="1">
        <f>IFERROR(__xludf.DUMMYFUNCTION("""COMPUTED_VALUE"""),288.0)</f>
        <v>288</v>
      </c>
      <c r="F261" s="1">
        <f>IFERROR(__xludf.DUMMYFUNCTION("""COMPUTED_VALUE"""),345.0)</f>
        <v>345</v>
      </c>
      <c r="G261" s="1">
        <f>IFERROR(__xludf.DUMMYFUNCTION("""COMPUTED_VALUE"""),32368.0)</f>
        <v>32368</v>
      </c>
      <c r="H261" s="1">
        <f>IFERROR(__xludf.DUMMYFUNCTION("""COMPUTED_VALUE"""),1000.0)</f>
        <v>1000</v>
      </c>
      <c r="I261" s="1">
        <f>IFERROR(__xludf.DUMMYFUNCTION("""COMPUTED_VALUE"""),312.0)</f>
        <v>312</v>
      </c>
      <c r="J261" s="1">
        <f>IFERROR(__xludf.DUMMYFUNCTION("""COMPUTED_VALUE"""),21629.0)</f>
        <v>21629</v>
      </c>
      <c r="K261" s="1">
        <f>IFERROR(__xludf.DUMMYFUNCTION("""COMPUTED_VALUE"""),299.0)</f>
        <v>299</v>
      </c>
      <c r="L261" s="1">
        <f>IFERROR(__xludf.DUMMYFUNCTION("""COMPUTED_VALUE"""),454.0)</f>
        <v>454</v>
      </c>
      <c r="M261" s="1">
        <f>IFERROR(__xludf.DUMMYFUNCTION("""COMPUTED_VALUE"""),299.0)</f>
        <v>299</v>
      </c>
      <c r="N261" s="1">
        <f>IFERROR(__xludf.DUMMYFUNCTION("""COMPUTED_VALUE"""),17963.0)</f>
        <v>17963</v>
      </c>
      <c r="O261" s="1">
        <f>IFERROR(__xludf.DUMMYFUNCTION("""COMPUTED_VALUE"""),10.0)</f>
        <v>10</v>
      </c>
      <c r="P261" s="1">
        <f>IFERROR(__xludf.DUMMYFUNCTION("""COMPUTED_VALUE"""),285.0)</f>
        <v>285</v>
      </c>
      <c r="Q261" s="1">
        <f>IFERROR(__xludf.DUMMYFUNCTION("""COMPUTED_VALUE"""),5012.0)</f>
        <v>5012</v>
      </c>
      <c r="R261" s="1">
        <f>IFERROR(__xludf.DUMMYFUNCTION("""COMPUTED_VALUE"""),290.0)</f>
        <v>290</v>
      </c>
      <c r="S261" s="1">
        <f>IFERROR(__xludf.DUMMYFUNCTION("""COMPUTED_VALUE"""),284.0)</f>
        <v>284</v>
      </c>
      <c r="T261" s="1">
        <f>IFERROR(__xludf.DUMMYFUNCTION("""COMPUTED_VALUE"""),290.0)</f>
        <v>290</v>
      </c>
      <c r="U261" s="1">
        <f>IFERROR(__xludf.DUMMYFUNCTION("""COMPUTED_VALUE"""),6822.0)</f>
        <v>6822</v>
      </c>
      <c r="V261" s="1">
        <f>IFERROR(__xludf.DUMMYFUNCTION("""COMPUTED_VALUE"""),10.0)</f>
        <v>10</v>
      </c>
      <c r="W261" s="1">
        <f>IFERROR(__xludf.DUMMYFUNCTION("""COMPUTED_VALUE"""),29.0)</f>
        <v>29</v>
      </c>
      <c r="X261" s="1">
        <f>IFERROR(__xludf.DUMMYFUNCTION("""COMPUTED_VALUE"""),10.0)</f>
        <v>10</v>
      </c>
      <c r="Y261" s="1">
        <f>IFERROR(__xludf.DUMMYFUNCTION("""COMPUTED_VALUE"""),348.0)</f>
        <v>348</v>
      </c>
      <c r="Z261" s="1">
        <f>IFERROR(__xludf.DUMMYFUNCTION("""COMPUTED_VALUE"""),1530.0)</f>
        <v>1530</v>
      </c>
      <c r="AA261" s="1">
        <f>IFERROR(__xludf.DUMMYFUNCTION("""COMPUTED_VALUE"""),348.0)</f>
        <v>348</v>
      </c>
      <c r="AB261" s="1">
        <f>IFERROR(__xludf.DUMMYFUNCTION("""COMPUTED_VALUE"""),18970.0)</f>
        <v>18970</v>
      </c>
      <c r="AC261" s="1">
        <f>IFERROR(__xludf.DUMMYFUNCTION("""COMPUTED_VALUE"""),886.0)</f>
        <v>886</v>
      </c>
      <c r="AD261" s="1">
        <f>IFERROR(__xludf.DUMMYFUNCTION("""COMPUTED_VALUE"""),315.0)</f>
        <v>315</v>
      </c>
      <c r="AE261" s="1">
        <f>IFERROR(__xludf.DUMMYFUNCTION("""COMPUTED_VALUE"""),15155.0)</f>
        <v>15155</v>
      </c>
      <c r="AF261" s="1">
        <f>IFERROR(__xludf.DUMMYFUNCTION("""COMPUTED_VALUE"""),298.799987792968)</f>
        <v>298.7999878</v>
      </c>
      <c r="AG261" s="1">
        <f>IFERROR(__xludf.DUMMYFUNCTION("""COMPUTED_VALUE"""),211.0)</f>
        <v>211</v>
      </c>
      <c r="AH261" s="1">
        <f>IFERROR(__xludf.DUMMYFUNCTION("""COMPUTED_VALUE"""),330.0)</f>
        <v>330</v>
      </c>
      <c r="AI261" s="1">
        <f>IFERROR(__xludf.DUMMYFUNCTION("""COMPUTED_VALUE"""),5225.0)</f>
        <v>5225</v>
      </c>
      <c r="AJ261" s="1"/>
      <c r="AK261" s="1"/>
      <c r="AL261" s="1">
        <f>IFERROR(__xludf.DUMMYFUNCTION("""COMPUTED_VALUE"""),0.0)</f>
        <v>0</v>
      </c>
      <c r="AM261" s="1">
        <f>IFERROR(__xludf.DUMMYFUNCTION("""COMPUTED_VALUE"""),315.0)</f>
        <v>315</v>
      </c>
      <c r="AN261" s="1">
        <f>IFERROR(__xludf.DUMMYFUNCTION("""COMPUTED_VALUE"""),94.0)</f>
        <v>94</v>
      </c>
      <c r="AO261" s="1">
        <f>IFERROR(__xludf.DUMMYFUNCTION("""COMPUTED_VALUE"""),315.0)</f>
        <v>315</v>
      </c>
      <c r="AP261" s="1">
        <f>IFERROR(__xludf.DUMMYFUNCTION("""COMPUTED_VALUE"""),38488.0)</f>
        <v>38488</v>
      </c>
      <c r="AQ261" s="1">
        <f>IFERROR(__xludf.DUMMYFUNCTION("""COMPUTED_VALUE"""),3.0)</f>
        <v>3</v>
      </c>
      <c r="AR261" s="1">
        <f>IFERROR(__xludf.DUMMYFUNCTION("""COMPUTED_VALUE"""),292.0)</f>
        <v>292</v>
      </c>
      <c r="AS261" s="1">
        <f>IFERROR(__xludf.DUMMYFUNCTION("""COMPUTED_VALUE"""),13840.0)</f>
        <v>13840</v>
      </c>
    </row>
    <row r="262">
      <c r="A262" s="1" t="str">
        <f>IFERROR(__xludf.DUMMYFUNCTION("""COMPUTED_VALUE"""),"QCR")</f>
        <v>QCR</v>
      </c>
      <c r="B262" s="1"/>
      <c r="C262" s="1"/>
      <c r="D262" s="1">
        <f>IFERROR(__xludf.DUMMYFUNCTION("""COMPUTED_VALUE"""),939000.0)</f>
        <v>939000</v>
      </c>
      <c r="E262" s="1">
        <f>IFERROR(__xludf.DUMMYFUNCTION("""COMPUTED_VALUE"""),1.0)</f>
        <v>1</v>
      </c>
      <c r="F262" s="1">
        <f>IFERROR(__xludf.DUMMYFUNCTION("""COMPUTED_VALUE"""),939000.0)</f>
        <v>939000</v>
      </c>
      <c r="G262" s="1">
        <f>IFERROR(__xludf.DUMMYFUNCTION("""COMPUTED_VALUE"""),14.0)</f>
        <v>14</v>
      </c>
      <c r="H262" s="1">
        <f>IFERROR(__xludf.DUMMYFUNCTION("""COMPUTED_VALUE"""),1.0)</f>
        <v>1</v>
      </c>
      <c r="I262" s="1">
        <f>IFERROR(__xludf.DUMMYFUNCTION("""COMPUTED_VALUE"""),700000.0)</f>
        <v>700000</v>
      </c>
      <c r="J262" s="1">
        <f>IFERROR(__xludf.DUMMYFUNCTION("""COMPUTED_VALUE"""),1.0)</f>
        <v>1</v>
      </c>
      <c r="K262" s="1">
        <f>IFERROR(__xludf.DUMMYFUNCTION("""COMPUTED_VALUE"""),850000.0)</f>
        <v>850000</v>
      </c>
      <c r="L262" s="1">
        <f>IFERROR(__xludf.DUMMYFUNCTION("""COMPUTED_VALUE"""),1.0)</f>
        <v>1</v>
      </c>
      <c r="M262" s="1">
        <f>IFERROR(__xludf.DUMMYFUNCTION("""COMPUTED_VALUE"""),859000.0)</f>
        <v>859000</v>
      </c>
      <c r="N262" s="1">
        <f>IFERROR(__xludf.DUMMYFUNCTION("""COMPUTED_VALUE"""),8.0)</f>
        <v>8</v>
      </c>
      <c r="O262" s="1">
        <f>IFERROR(__xludf.DUMMYFUNCTION("""COMPUTED_VALUE"""),1.0)</f>
        <v>1</v>
      </c>
      <c r="P262" s="1">
        <f>IFERROR(__xludf.DUMMYFUNCTION("""COMPUTED_VALUE"""),750000.0)</f>
        <v>750000</v>
      </c>
      <c r="Q262" s="1">
        <f>IFERROR(__xludf.DUMMYFUNCTION("""COMPUTED_VALUE"""),1.0)</f>
        <v>1</v>
      </c>
      <c r="R262" s="1">
        <f>IFERROR(__xludf.DUMMYFUNCTION("""COMPUTED_VALUE"""),850000.0)</f>
        <v>850000</v>
      </c>
      <c r="S262" s="1"/>
      <c r="T262" s="1"/>
      <c r="U262" s="1">
        <f>IFERROR(__xludf.DUMMYFUNCTION("""COMPUTED_VALUE"""),0.0)</f>
        <v>0</v>
      </c>
      <c r="V262" s="1"/>
      <c r="W262" s="1"/>
      <c r="X262" s="1">
        <f>IFERROR(__xludf.DUMMYFUNCTION("""COMPUTED_VALUE"""),0.0)</f>
        <v>0</v>
      </c>
      <c r="Y262" s="1">
        <f>IFERROR(__xludf.DUMMYFUNCTION("""COMPUTED_VALUE"""),919583.3125)</f>
        <v>919583.3125</v>
      </c>
      <c r="Z262" s="1">
        <f>IFERROR(__xludf.DUMMYFUNCTION("""COMPUTED_VALUE"""),1.0)</f>
        <v>1</v>
      </c>
      <c r="AA262" s="1">
        <f>IFERROR(__xludf.DUMMYFUNCTION("""COMPUTED_VALUE"""),1290000.0)</f>
        <v>1290000</v>
      </c>
      <c r="AB262" s="1">
        <f>IFERROR(__xludf.DUMMYFUNCTION("""COMPUTED_VALUE"""),3.0)</f>
        <v>3</v>
      </c>
      <c r="AC262" s="1">
        <f>IFERROR(__xludf.DUMMYFUNCTION("""COMPUTED_VALUE"""),1.0)</f>
        <v>1</v>
      </c>
      <c r="AD262" s="1">
        <f>IFERROR(__xludf.DUMMYFUNCTION("""COMPUTED_VALUE"""),750000.0)</f>
        <v>750000</v>
      </c>
      <c r="AE262" s="1">
        <f>IFERROR(__xludf.DUMMYFUNCTION("""COMPUTED_VALUE"""),1.0)</f>
        <v>1</v>
      </c>
      <c r="AF262" s="1">
        <f>IFERROR(__xludf.DUMMYFUNCTION("""COMPUTED_VALUE"""),363299.75)</f>
        <v>363299.75</v>
      </c>
      <c r="AG262" s="1"/>
      <c r="AH262" s="1"/>
      <c r="AI262" s="1">
        <f>IFERROR(__xludf.DUMMYFUNCTION("""COMPUTED_VALUE"""),0.0)</f>
        <v>0</v>
      </c>
      <c r="AJ262" s="1"/>
      <c r="AK262" s="1"/>
      <c r="AL262" s="1">
        <f>IFERROR(__xludf.DUMMYFUNCTION("""COMPUTED_VALUE"""),0.0)</f>
        <v>0</v>
      </c>
      <c r="AM262" s="1">
        <f>IFERROR(__xludf.DUMMYFUNCTION("""COMPUTED_VALUE"""),969000.0)</f>
        <v>969000</v>
      </c>
      <c r="AN262" s="1">
        <f>IFERROR(__xludf.DUMMYFUNCTION("""COMPUTED_VALUE"""),1.0)</f>
        <v>1</v>
      </c>
      <c r="AO262" s="1">
        <f>IFERROR(__xludf.DUMMYFUNCTION("""COMPUTED_VALUE"""),939000.0)</f>
        <v>939000</v>
      </c>
      <c r="AP262" s="1">
        <f>IFERROR(__xludf.DUMMYFUNCTION("""COMPUTED_VALUE"""),3.0)</f>
        <v>3</v>
      </c>
      <c r="AQ262" s="1">
        <f>IFERROR(__xludf.DUMMYFUNCTION("""COMPUTED_VALUE"""),1.0)</f>
        <v>1</v>
      </c>
      <c r="AR262" s="1">
        <f>IFERROR(__xludf.DUMMYFUNCTION("""COMPUTED_VALUE"""),500000.0)</f>
        <v>500000</v>
      </c>
      <c r="AS262" s="1">
        <f>IFERROR(__xludf.DUMMYFUNCTION("""COMPUTED_VALUE"""),1.0)</f>
        <v>1</v>
      </c>
    </row>
    <row r="263">
      <c r="A263" s="1" t="str">
        <f>IFERROR(__xludf.DUMMYFUNCTION("""COMPUTED_VALUE"""),"RAD")</f>
        <v>RAD</v>
      </c>
      <c r="B263" s="1"/>
      <c r="C263" s="1"/>
      <c r="D263" s="1">
        <f>IFERROR(__xludf.DUMMYFUNCTION("""COMPUTED_VALUE"""),15500.0)</f>
        <v>15500</v>
      </c>
      <c r="E263" s="1">
        <f>IFERROR(__xludf.DUMMYFUNCTION("""COMPUTED_VALUE"""),83.0)</f>
        <v>83</v>
      </c>
      <c r="F263" s="1">
        <f>IFERROR(__xludf.DUMMYFUNCTION("""COMPUTED_VALUE"""),17000.0)</f>
        <v>17000</v>
      </c>
      <c r="G263" s="1">
        <f>IFERROR(__xludf.DUMMYFUNCTION("""COMPUTED_VALUE"""),579.0)</f>
        <v>579</v>
      </c>
      <c r="H263" s="1">
        <f>IFERROR(__xludf.DUMMYFUNCTION("""COMPUTED_VALUE"""),5.0)</f>
        <v>5</v>
      </c>
      <c r="I263" s="1">
        <f>IFERROR(__xludf.DUMMYFUNCTION("""COMPUTED_VALUE"""),15500.0)</f>
        <v>15500</v>
      </c>
      <c r="J263" s="1">
        <f>IFERROR(__xludf.DUMMYFUNCTION("""COMPUTED_VALUE"""),393.0)</f>
        <v>393</v>
      </c>
      <c r="K263" s="1">
        <f>IFERROR(__xludf.DUMMYFUNCTION("""COMPUTED_VALUE"""),14100.0)</f>
        <v>14100</v>
      </c>
      <c r="L263" s="1"/>
      <c r="M263" s="1"/>
      <c r="N263" s="1">
        <f>IFERROR(__xludf.DUMMYFUNCTION("""COMPUTED_VALUE"""),0.0)</f>
        <v>0</v>
      </c>
      <c r="O263" s="1">
        <f>IFERROR(__xludf.DUMMYFUNCTION("""COMPUTED_VALUE"""),16.0)</f>
        <v>16</v>
      </c>
      <c r="P263" s="1">
        <f>IFERROR(__xludf.DUMMYFUNCTION("""COMPUTED_VALUE"""),15100.0)</f>
        <v>15100</v>
      </c>
      <c r="Q263" s="1">
        <f>IFERROR(__xludf.DUMMYFUNCTION("""COMPUTED_VALUE"""),76.0)</f>
        <v>76</v>
      </c>
      <c r="R263" s="1">
        <f>IFERROR(__xludf.DUMMYFUNCTION("""COMPUTED_VALUE"""),3698.6201171875)</f>
        <v>3698.620117</v>
      </c>
      <c r="S263" s="1"/>
      <c r="T263" s="1"/>
      <c r="U263" s="1">
        <f>IFERROR(__xludf.DUMMYFUNCTION("""COMPUTED_VALUE"""),0.0)</f>
        <v>0</v>
      </c>
      <c r="V263" s="1"/>
      <c r="W263" s="1"/>
      <c r="X263" s="1">
        <f>IFERROR(__xludf.DUMMYFUNCTION("""COMPUTED_VALUE"""),0.0)</f>
        <v>0</v>
      </c>
      <c r="Y263" s="1">
        <f>IFERROR(__xludf.DUMMYFUNCTION("""COMPUTED_VALUE"""),15500.0)</f>
        <v>15500</v>
      </c>
      <c r="Z263" s="1">
        <f>IFERROR(__xludf.DUMMYFUNCTION("""COMPUTED_VALUE"""),89.0)</f>
        <v>89</v>
      </c>
      <c r="AA263" s="1">
        <f>IFERROR(__xludf.DUMMYFUNCTION("""COMPUTED_VALUE"""),17800.0)</f>
        <v>17800</v>
      </c>
      <c r="AB263" s="1">
        <f>IFERROR(__xludf.DUMMYFUNCTION("""COMPUTED_VALUE"""),307.0)</f>
        <v>307</v>
      </c>
      <c r="AC263" s="1">
        <f>IFERROR(__xludf.DUMMYFUNCTION("""COMPUTED_VALUE"""),52.0)</f>
        <v>52</v>
      </c>
      <c r="AD263" s="1">
        <f>IFERROR(__xludf.DUMMYFUNCTION("""COMPUTED_VALUE"""),15500.0)</f>
        <v>15500</v>
      </c>
      <c r="AE263" s="1">
        <f>IFERROR(__xludf.DUMMYFUNCTION("""COMPUTED_VALUE"""),581.0)</f>
        <v>581</v>
      </c>
      <c r="AF263" s="1">
        <f>IFERROR(__xludf.DUMMYFUNCTION("""COMPUTED_VALUE"""),3698.6201171875)</f>
        <v>3698.620117</v>
      </c>
      <c r="AG263" s="1">
        <f>IFERROR(__xludf.DUMMYFUNCTION("""COMPUTED_VALUE"""),10.0)</f>
        <v>10</v>
      </c>
      <c r="AH263" s="1">
        <f>IFERROR(__xludf.DUMMYFUNCTION("""COMPUTED_VALUE"""),14500.0)</f>
        <v>14500</v>
      </c>
      <c r="AI263" s="1">
        <f>IFERROR(__xludf.DUMMYFUNCTION("""COMPUTED_VALUE"""),10.0)</f>
        <v>10</v>
      </c>
      <c r="AJ263" s="1"/>
      <c r="AK263" s="1"/>
      <c r="AL263" s="1">
        <f>IFERROR(__xludf.DUMMYFUNCTION("""COMPUTED_VALUE"""),0.0)</f>
        <v>0</v>
      </c>
      <c r="AM263" s="1">
        <f>IFERROR(__xludf.DUMMYFUNCTION("""COMPUTED_VALUE"""),17000.0)</f>
        <v>17000</v>
      </c>
      <c r="AN263" s="1">
        <f>IFERROR(__xludf.DUMMYFUNCTION("""COMPUTED_VALUE"""),64.0)</f>
        <v>64</v>
      </c>
      <c r="AO263" s="1">
        <f>IFERROR(__xludf.DUMMYFUNCTION("""COMPUTED_VALUE"""),19000.0)</f>
        <v>19000</v>
      </c>
      <c r="AP263" s="1">
        <f>IFERROR(__xludf.DUMMYFUNCTION("""COMPUTED_VALUE"""),64.0)</f>
        <v>64</v>
      </c>
      <c r="AQ263" s="1"/>
      <c r="AR263" s="1"/>
      <c r="AS263" s="1">
        <f>IFERROR(__xludf.DUMMYFUNCTION("""COMPUTED_VALUE"""),0.0)</f>
        <v>0</v>
      </c>
    </row>
    <row r="264">
      <c r="A264" s="1" t="str">
        <f>IFERROR(__xludf.DUMMYFUNCTION("""COMPUTED_VALUE"""),"RAG")</f>
        <v>RAG</v>
      </c>
      <c r="B264" s="1"/>
      <c r="C264" s="1"/>
      <c r="D264" s="1">
        <f>IFERROR(__xludf.DUMMYFUNCTION("""COMPUTED_VALUE"""),800000.0)</f>
        <v>800000</v>
      </c>
      <c r="E264" s="1">
        <f>IFERROR(__xludf.DUMMYFUNCTION("""COMPUTED_VALUE"""),1.0)</f>
        <v>1</v>
      </c>
      <c r="F264" s="1">
        <f>IFERROR(__xludf.DUMMYFUNCTION("""COMPUTED_VALUE"""),800000.0)</f>
        <v>800000</v>
      </c>
      <c r="G264" s="1">
        <f>IFERROR(__xludf.DUMMYFUNCTION("""COMPUTED_VALUE"""),1.0)</f>
        <v>1</v>
      </c>
      <c r="H264" s="1">
        <f>IFERROR(__xludf.DUMMYFUNCTION("""COMPUTED_VALUE"""),1.0)</f>
        <v>1</v>
      </c>
      <c r="I264" s="1">
        <f>IFERROR(__xludf.DUMMYFUNCTION("""COMPUTED_VALUE"""),510000.0)</f>
        <v>510000</v>
      </c>
      <c r="J264" s="1">
        <f>IFERROR(__xludf.DUMMYFUNCTION("""COMPUTED_VALUE"""),2.0)</f>
        <v>2</v>
      </c>
      <c r="K264" s="1">
        <f>IFERROR(__xludf.DUMMYFUNCTION("""COMPUTED_VALUE"""),600000.0)</f>
        <v>600000</v>
      </c>
      <c r="L264" s="1"/>
      <c r="M264" s="1"/>
      <c r="N264" s="1">
        <f>IFERROR(__xludf.DUMMYFUNCTION("""COMPUTED_VALUE"""),0.0)</f>
        <v>0</v>
      </c>
      <c r="O264" s="1">
        <f>IFERROR(__xludf.DUMMYFUNCTION("""COMPUTED_VALUE"""),1.0)</f>
        <v>1</v>
      </c>
      <c r="P264" s="1">
        <f>IFERROR(__xludf.DUMMYFUNCTION("""COMPUTED_VALUE"""),360000.0)</f>
        <v>360000</v>
      </c>
      <c r="Q264" s="1">
        <f>IFERROR(__xludf.DUMMYFUNCTION("""COMPUTED_VALUE"""),1.0)</f>
        <v>1</v>
      </c>
      <c r="R264" s="1">
        <f>IFERROR(__xludf.DUMMYFUNCTION("""COMPUTED_VALUE"""),258128.515625)</f>
        <v>258128.5156</v>
      </c>
      <c r="S264" s="1"/>
      <c r="T264" s="1"/>
      <c r="U264" s="1">
        <f>IFERROR(__xludf.DUMMYFUNCTION("""COMPUTED_VALUE"""),0.0)</f>
        <v>0</v>
      </c>
      <c r="V264" s="1"/>
      <c r="W264" s="1"/>
      <c r="X264" s="1">
        <f>IFERROR(__xludf.DUMMYFUNCTION("""COMPUTED_VALUE"""),0.0)</f>
        <v>0</v>
      </c>
      <c r="Y264" s="1">
        <f>IFERROR(__xludf.DUMMYFUNCTION("""COMPUTED_VALUE"""),537500.0)</f>
        <v>537500</v>
      </c>
      <c r="Z264" s="1">
        <f>IFERROR(__xludf.DUMMYFUNCTION("""COMPUTED_VALUE"""),1.0)</f>
        <v>1</v>
      </c>
      <c r="AA264" s="1">
        <f>IFERROR(__xludf.DUMMYFUNCTION("""COMPUTED_VALUE"""),900000.0)</f>
        <v>900000</v>
      </c>
      <c r="AB264" s="1">
        <f>IFERROR(__xludf.DUMMYFUNCTION("""COMPUTED_VALUE"""),1.0)</f>
        <v>1</v>
      </c>
      <c r="AC264" s="1"/>
      <c r="AD264" s="1"/>
      <c r="AE264" s="1">
        <f>IFERROR(__xludf.DUMMYFUNCTION("""COMPUTED_VALUE"""),0.0)</f>
        <v>0</v>
      </c>
      <c r="AF264" s="1">
        <f>IFERROR(__xludf.DUMMYFUNCTION("""COMPUTED_VALUE"""),258128.515625)</f>
        <v>258128.5156</v>
      </c>
      <c r="AG264" s="1"/>
      <c r="AH264" s="1"/>
      <c r="AI264" s="1">
        <f>IFERROR(__xludf.DUMMYFUNCTION("""COMPUTED_VALUE"""),0.0)</f>
        <v>0</v>
      </c>
      <c r="AJ264" s="1"/>
      <c r="AK264" s="1"/>
      <c r="AL264" s="1">
        <f>IFERROR(__xludf.DUMMYFUNCTION("""COMPUTED_VALUE"""),0.0)</f>
        <v>0</v>
      </c>
      <c r="AM264" s="1">
        <f>IFERROR(__xludf.DUMMYFUNCTION("""COMPUTED_VALUE"""),580000.0)</f>
        <v>580000</v>
      </c>
      <c r="AN264" s="1"/>
      <c r="AO264" s="1"/>
      <c r="AP264" s="1">
        <f>IFERROR(__xludf.DUMMYFUNCTION("""COMPUTED_VALUE"""),0.0)</f>
        <v>0</v>
      </c>
      <c r="AQ264" s="1"/>
      <c r="AR264" s="1"/>
      <c r="AS264" s="1">
        <f>IFERROR(__xludf.DUMMYFUNCTION("""COMPUTED_VALUE"""),0.0)</f>
        <v>0</v>
      </c>
    </row>
    <row r="265">
      <c r="A265" s="1" t="str">
        <f>IFERROR(__xludf.DUMMYFUNCTION("""COMPUTED_VALUE"""),"RAM")</f>
        <v>RAM</v>
      </c>
      <c r="B265" s="1"/>
      <c r="C265" s="1"/>
      <c r="D265" s="1">
        <f>IFERROR(__xludf.DUMMYFUNCTION("""COMPUTED_VALUE"""),2940.0)</f>
        <v>2940</v>
      </c>
      <c r="E265" s="1">
        <f>IFERROR(__xludf.DUMMYFUNCTION("""COMPUTED_VALUE"""),114.0)</f>
        <v>114</v>
      </c>
      <c r="F265" s="1">
        <f>IFERROR(__xludf.DUMMYFUNCTION("""COMPUTED_VALUE"""),2940.0)</f>
        <v>2940</v>
      </c>
      <c r="G265" s="1">
        <f>IFERROR(__xludf.DUMMYFUNCTION("""COMPUTED_VALUE"""),1603.0)</f>
        <v>1603</v>
      </c>
      <c r="H265" s="1">
        <f>IFERROR(__xludf.DUMMYFUNCTION("""COMPUTED_VALUE"""),1000.0)</f>
        <v>1000</v>
      </c>
      <c r="I265" s="1">
        <f>IFERROR(__xludf.DUMMYFUNCTION("""COMPUTED_VALUE"""),2600.0)</f>
        <v>2600</v>
      </c>
      <c r="J265" s="1">
        <f>IFERROR(__xludf.DUMMYFUNCTION("""COMPUTED_VALUE"""),2433.0)</f>
        <v>2433</v>
      </c>
      <c r="K265" s="1">
        <f>IFERROR(__xludf.DUMMYFUNCTION("""COMPUTED_VALUE"""),2500.0)</f>
        <v>2500</v>
      </c>
      <c r="L265" s="1">
        <f>IFERROR(__xludf.DUMMYFUNCTION("""COMPUTED_VALUE"""),100.0)</f>
        <v>100</v>
      </c>
      <c r="M265" s="1">
        <f>IFERROR(__xludf.DUMMYFUNCTION("""COMPUTED_VALUE"""),2500.0)</f>
        <v>2500</v>
      </c>
      <c r="N265" s="1">
        <f>IFERROR(__xludf.DUMMYFUNCTION("""COMPUTED_VALUE"""),316.0)</f>
        <v>316</v>
      </c>
      <c r="O265" s="1">
        <f>IFERROR(__xludf.DUMMYFUNCTION("""COMPUTED_VALUE"""),89.0)</f>
        <v>89</v>
      </c>
      <c r="P265" s="1">
        <f>IFERROR(__xludf.DUMMYFUNCTION("""COMPUTED_VALUE"""),2040.0)</f>
        <v>2040</v>
      </c>
      <c r="Q265" s="1">
        <f>IFERROR(__xludf.DUMMYFUNCTION("""COMPUTED_VALUE"""),110.0)</f>
        <v>110</v>
      </c>
      <c r="R265" s="1">
        <f>IFERROR(__xludf.DUMMYFUNCTION("""COMPUTED_VALUE"""),1237.08996582031)</f>
        <v>1237.089966</v>
      </c>
      <c r="S265" s="1"/>
      <c r="T265" s="1"/>
      <c r="U265" s="1">
        <f>IFERROR(__xludf.DUMMYFUNCTION("""COMPUTED_VALUE"""),0.0)</f>
        <v>0</v>
      </c>
      <c r="V265" s="1"/>
      <c r="W265" s="1"/>
      <c r="X265" s="1">
        <f>IFERROR(__xludf.DUMMYFUNCTION("""COMPUTED_VALUE"""),0.0)</f>
        <v>0</v>
      </c>
      <c r="Y265" s="1">
        <f>IFERROR(__xludf.DUMMYFUNCTION("""COMPUTED_VALUE"""),2550.0)</f>
        <v>2550</v>
      </c>
      <c r="Z265" s="1">
        <f>IFERROR(__xludf.DUMMYFUNCTION("""COMPUTED_VALUE"""),77.0)</f>
        <v>77</v>
      </c>
      <c r="AA265" s="1">
        <f>IFERROR(__xludf.DUMMYFUNCTION("""COMPUTED_VALUE"""),2940.0)</f>
        <v>2940</v>
      </c>
      <c r="AB265" s="1">
        <f>IFERROR(__xludf.DUMMYFUNCTION("""COMPUTED_VALUE"""),1641.0)</f>
        <v>1641</v>
      </c>
      <c r="AC265" s="1">
        <f>IFERROR(__xludf.DUMMYFUNCTION("""COMPUTED_VALUE"""),59.0)</f>
        <v>59</v>
      </c>
      <c r="AD265" s="1">
        <f>IFERROR(__xludf.DUMMYFUNCTION("""COMPUTED_VALUE"""),2550.0)</f>
        <v>2550</v>
      </c>
      <c r="AE265" s="1">
        <f>IFERROR(__xludf.DUMMYFUNCTION("""COMPUTED_VALUE"""),387.0)</f>
        <v>387</v>
      </c>
      <c r="AF265" s="1">
        <f>IFERROR(__xludf.DUMMYFUNCTION("""COMPUTED_VALUE"""),1600.0)</f>
        <v>1600</v>
      </c>
      <c r="AG265" s="1">
        <f>IFERROR(__xludf.DUMMYFUNCTION("""COMPUTED_VALUE"""),10.0)</f>
        <v>10</v>
      </c>
      <c r="AH265" s="1">
        <f>IFERROR(__xludf.DUMMYFUNCTION("""COMPUTED_VALUE"""),3000.0)</f>
        <v>3000</v>
      </c>
      <c r="AI265" s="1">
        <f>IFERROR(__xludf.DUMMYFUNCTION("""COMPUTED_VALUE"""),10.0)</f>
        <v>10</v>
      </c>
      <c r="AJ265" s="1"/>
      <c r="AK265" s="1"/>
      <c r="AL265" s="1">
        <f>IFERROR(__xludf.DUMMYFUNCTION("""COMPUTED_VALUE"""),0.0)</f>
        <v>0</v>
      </c>
      <c r="AM265" s="1">
        <f>IFERROR(__xludf.DUMMYFUNCTION("""COMPUTED_VALUE"""),2850.0)</f>
        <v>2850</v>
      </c>
      <c r="AN265" s="1">
        <f>IFERROR(__xludf.DUMMYFUNCTION("""COMPUTED_VALUE"""),720.0)</f>
        <v>720</v>
      </c>
      <c r="AO265" s="1">
        <f>IFERROR(__xludf.DUMMYFUNCTION("""COMPUTED_VALUE"""),2880.0)</f>
        <v>2880</v>
      </c>
      <c r="AP265" s="1">
        <f>IFERROR(__xludf.DUMMYFUNCTION("""COMPUTED_VALUE"""),1383.0)</f>
        <v>1383</v>
      </c>
      <c r="AQ265" s="1"/>
      <c r="AR265" s="1"/>
      <c r="AS265" s="1">
        <f>IFERROR(__xludf.DUMMYFUNCTION("""COMPUTED_VALUE"""),0.0)</f>
        <v>0</v>
      </c>
    </row>
    <row r="266">
      <c r="A266" s="1" t="str">
        <f>IFERROR(__xludf.DUMMYFUNCTION("""COMPUTED_VALUE"""),"RAT")</f>
        <v>RAT</v>
      </c>
      <c r="B266" s="1">
        <f>IFERROR(__xludf.DUMMYFUNCTION("""COMPUTED_VALUE"""),32.0)</f>
        <v>32</v>
      </c>
      <c r="C266" s="1">
        <f>IFERROR(__xludf.DUMMYFUNCTION("""COMPUTED_VALUE"""),176.0)</f>
        <v>176</v>
      </c>
      <c r="D266" s="1">
        <f>IFERROR(__xludf.DUMMYFUNCTION("""COMPUTED_VALUE"""),173.0)</f>
        <v>173</v>
      </c>
      <c r="E266" s="1">
        <f>IFERROR(__xludf.DUMMYFUNCTION("""COMPUTED_VALUE"""),10880.0)</f>
        <v>10880</v>
      </c>
      <c r="F266" s="1">
        <f>IFERROR(__xludf.DUMMYFUNCTION("""COMPUTED_VALUE"""),173.0)</f>
        <v>173</v>
      </c>
      <c r="G266" s="1">
        <f>IFERROR(__xludf.DUMMYFUNCTION("""COMPUTED_VALUE"""),182510.0)</f>
        <v>182510</v>
      </c>
      <c r="H266" s="1">
        <f>IFERROR(__xludf.DUMMYFUNCTION("""COMPUTED_VALUE"""),266.0)</f>
        <v>266</v>
      </c>
      <c r="I266" s="1">
        <f>IFERROR(__xludf.DUMMYFUNCTION("""COMPUTED_VALUE"""),172.0)</f>
        <v>172</v>
      </c>
      <c r="J266" s="1">
        <f>IFERROR(__xludf.DUMMYFUNCTION("""COMPUTED_VALUE"""),381710.0)</f>
        <v>381710</v>
      </c>
      <c r="K266" s="1">
        <f>IFERROR(__xludf.DUMMYFUNCTION("""COMPUTED_VALUE"""),176.0)</f>
        <v>176</v>
      </c>
      <c r="L266" s="1">
        <f>IFERROR(__xludf.DUMMYFUNCTION("""COMPUTED_VALUE"""),100.0)</f>
        <v>100</v>
      </c>
      <c r="M266" s="1">
        <f>IFERROR(__xludf.DUMMYFUNCTION("""COMPUTED_VALUE"""),176.0)</f>
        <v>176</v>
      </c>
      <c r="N266" s="1">
        <f>IFERROR(__xludf.DUMMYFUNCTION("""COMPUTED_VALUE"""),100.0)</f>
        <v>100</v>
      </c>
      <c r="O266" s="1">
        <f>IFERROR(__xludf.DUMMYFUNCTION("""COMPUTED_VALUE"""),400.0)</f>
        <v>400</v>
      </c>
      <c r="P266" s="1">
        <f>IFERROR(__xludf.DUMMYFUNCTION("""COMPUTED_VALUE"""),169.0)</f>
        <v>169</v>
      </c>
      <c r="Q266" s="1">
        <f>IFERROR(__xludf.DUMMYFUNCTION("""COMPUTED_VALUE"""),379063.0)</f>
        <v>379063</v>
      </c>
      <c r="R266" s="1">
        <f>IFERROR(__xludf.DUMMYFUNCTION("""COMPUTED_VALUE"""),175.0)</f>
        <v>175</v>
      </c>
      <c r="S266" s="1">
        <f>IFERROR(__xludf.DUMMYFUNCTION("""COMPUTED_VALUE"""),850.0)</f>
        <v>850</v>
      </c>
      <c r="T266" s="1">
        <f>IFERROR(__xludf.DUMMYFUNCTION("""COMPUTED_VALUE"""),175.0)</f>
        <v>175</v>
      </c>
      <c r="U266" s="1">
        <f>IFERROR(__xludf.DUMMYFUNCTION("""COMPUTED_VALUE"""),850.0)</f>
        <v>850</v>
      </c>
      <c r="V266" s="1">
        <f>IFERROR(__xludf.DUMMYFUNCTION("""COMPUTED_VALUE"""),40.0)</f>
        <v>40</v>
      </c>
      <c r="W266" s="1">
        <f>IFERROR(__xludf.DUMMYFUNCTION("""COMPUTED_VALUE"""),150.0)</f>
        <v>150</v>
      </c>
      <c r="X266" s="1">
        <f>IFERROR(__xludf.DUMMYFUNCTION("""COMPUTED_VALUE"""),15131.0)</f>
        <v>15131</v>
      </c>
      <c r="Y266" s="1">
        <f>IFERROR(__xludf.DUMMYFUNCTION("""COMPUTED_VALUE"""),174.0)</f>
        <v>174</v>
      </c>
      <c r="Z266" s="1">
        <f>IFERROR(__xludf.DUMMYFUNCTION("""COMPUTED_VALUE"""),12422.0)</f>
        <v>12422</v>
      </c>
      <c r="AA266" s="1">
        <f>IFERROR(__xludf.DUMMYFUNCTION("""COMPUTED_VALUE"""),174.0)</f>
        <v>174</v>
      </c>
      <c r="AB266" s="1">
        <f>IFERROR(__xludf.DUMMYFUNCTION("""COMPUTED_VALUE"""),227575.0)</f>
        <v>227575</v>
      </c>
      <c r="AC266" s="1">
        <f>IFERROR(__xludf.DUMMYFUNCTION("""COMPUTED_VALUE"""),20.0)</f>
        <v>20</v>
      </c>
      <c r="AD266" s="1">
        <f>IFERROR(__xludf.DUMMYFUNCTION("""COMPUTED_VALUE"""),132.0)</f>
        <v>132</v>
      </c>
      <c r="AE266" s="1">
        <f>IFERROR(__xludf.DUMMYFUNCTION("""COMPUTED_VALUE"""),714472.0)</f>
        <v>714472</v>
      </c>
      <c r="AF266" s="1">
        <f>IFERROR(__xludf.DUMMYFUNCTION("""COMPUTED_VALUE"""),145.0)</f>
        <v>145</v>
      </c>
      <c r="AG266" s="1">
        <f>IFERROR(__xludf.DUMMYFUNCTION("""COMPUTED_VALUE"""),450.0)</f>
        <v>450</v>
      </c>
      <c r="AH266" s="1">
        <f>IFERROR(__xludf.DUMMYFUNCTION("""COMPUTED_VALUE"""),145.0)</f>
        <v>145</v>
      </c>
      <c r="AI266" s="1">
        <f>IFERROR(__xludf.DUMMYFUNCTION("""COMPUTED_VALUE"""),7774.0)</f>
        <v>7774</v>
      </c>
      <c r="AJ266" s="1">
        <f>IFERROR(__xludf.DUMMYFUNCTION("""COMPUTED_VALUE"""),2564.0)</f>
        <v>2564</v>
      </c>
      <c r="AK266" s="1">
        <f>IFERROR(__xludf.DUMMYFUNCTION("""COMPUTED_VALUE"""),40.0)</f>
        <v>40</v>
      </c>
      <c r="AL266" s="1">
        <f>IFERROR(__xludf.DUMMYFUNCTION("""COMPUTED_VALUE"""),2564.0)</f>
        <v>2564</v>
      </c>
      <c r="AM266" s="1">
        <f>IFERROR(__xludf.DUMMYFUNCTION("""COMPUTED_VALUE"""),154.0)</f>
        <v>154</v>
      </c>
      <c r="AN266" s="1">
        <f>IFERROR(__xludf.DUMMYFUNCTION("""COMPUTED_VALUE"""),1859.0)</f>
        <v>1859</v>
      </c>
      <c r="AO266" s="1">
        <f>IFERROR(__xludf.DUMMYFUNCTION("""COMPUTED_VALUE"""),155.0)</f>
        <v>155</v>
      </c>
      <c r="AP266" s="1">
        <f>IFERROR(__xludf.DUMMYFUNCTION("""COMPUTED_VALUE"""),371792.0)</f>
        <v>371792</v>
      </c>
      <c r="AQ266" s="1">
        <f>IFERROR(__xludf.DUMMYFUNCTION("""COMPUTED_VALUE"""),23514.0)</f>
        <v>23514</v>
      </c>
      <c r="AR266" s="1">
        <f>IFERROR(__xludf.DUMMYFUNCTION("""COMPUTED_VALUE"""),154.0)</f>
        <v>154</v>
      </c>
      <c r="AS266" s="1">
        <f>IFERROR(__xludf.DUMMYFUNCTION("""COMPUTED_VALUE"""),500685.0)</f>
        <v>500685</v>
      </c>
    </row>
    <row r="267">
      <c r="A267" s="1" t="str">
        <f>IFERROR(__xludf.DUMMYFUNCTION("""COMPUTED_VALUE"""),"RBH")</f>
        <v>RBH</v>
      </c>
      <c r="B267" s="1"/>
      <c r="C267" s="1"/>
      <c r="D267" s="1">
        <f>IFERROR(__xludf.DUMMYFUNCTION("""COMPUTED_VALUE"""),16900.0)</f>
        <v>16900</v>
      </c>
      <c r="E267" s="1">
        <f>IFERROR(__xludf.DUMMYFUNCTION("""COMPUTED_VALUE"""),88.0)</f>
        <v>88</v>
      </c>
      <c r="F267" s="1">
        <f>IFERROR(__xludf.DUMMYFUNCTION("""COMPUTED_VALUE"""),16900.0)</f>
        <v>16900</v>
      </c>
      <c r="G267" s="1">
        <f>IFERROR(__xludf.DUMMYFUNCTION("""COMPUTED_VALUE"""),1120.0)</f>
        <v>1120</v>
      </c>
      <c r="H267" s="1">
        <f>IFERROR(__xludf.DUMMYFUNCTION("""COMPUTED_VALUE"""),1.0)</f>
        <v>1</v>
      </c>
      <c r="I267" s="1">
        <f>IFERROR(__xludf.DUMMYFUNCTION("""COMPUTED_VALUE"""),16000.0)</f>
        <v>16000</v>
      </c>
      <c r="J267" s="1">
        <f>IFERROR(__xludf.DUMMYFUNCTION("""COMPUTED_VALUE"""),1370.0)</f>
        <v>1370</v>
      </c>
      <c r="K267" s="1">
        <f>IFERROR(__xludf.DUMMYFUNCTION("""COMPUTED_VALUE"""),16500.0)</f>
        <v>16500</v>
      </c>
      <c r="L267" s="1">
        <f>IFERROR(__xludf.DUMMYFUNCTION("""COMPUTED_VALUE"""),7.0)</f>
        <v>7</v>
      </c>
      <c r="M267" s="1">
        <f>IFERROR(__xludf.DUMMYFUNCTION("""COMPUTED_VALUE"""),16500.0)</f>
        <v>16500</v>
      </c>
      <c r="N267" s="1">
        <f>IFERROR(__xludf.DUMMYFUNCTION("""COMPUTED_VALUE"""),290.0)</f>
        <v>290</v>
      </c>
      <c r="O267" s="1">
        <f>IFERROR(__xludf.DUMMYFUNCTION("""COMPUTED_VALUE"""),12.0)</f>
        <v>12</v>
      </c>
      <c r="P267" s="1">
        <f>IFERROR(__xludf.DUMMYFUNCTION("""COMPUTED_VALUE"""),15100.0)</f>
        <v>15100</v>
      </c>
      <c r="Q267" s="1">
        <f>IFERROR(__xludf.DUMMYFUNCTION("""COMPUTED_VALUE"""),211.0)</f>
        <v>211</v>
      </c>
      <c r="R267" s="1">
        <f>IFERROR(__xludf.DUMMYFUNCTION("""COMPUTED_VALUE"""),19500.0)</f>
        <v>19500</v>
      </c>
      <c r="S267" s="1">
        <f>IFERROR(__xludf.DUMMYFUNCTION("""COMPUTED_VALUE"""),1.0)</f>
        <v>1</v>
      </c>
      <c r="T267" s="1">
        <f>IFERROR(__xludf.DUMMYFUNCTION("""COMPUTED_VALUE"""),19500.0)</f>
        <v>19500</v>
      </c>
      <c r="U267" s="1">
        <f>IFERROR(__xludf.DUMMYFUNCTION("""COMPUTED_VALUE"""),11.0)</f>
        <v>11</v>
      </c>
      <c r="V267" s="1"/>
      <c r="W267" s="1"/>
      <c r="X267" s="1">
        <f>IFERROR(__xludf.DUMMYFUNCTION("""COMPUTED_VALUE"""),0.0)</f>
        <v>0</v>
      </c>
      <c r="Y267" s="1">
        <f>IFERROR(__xludf.DUMMYFUNCTION("""COMPUTED_VALUE"""),14145.0)</f>
        <v>14145</v>
      </c>
      <c r="Z267" s="1">
        <f>IFERROR(__xludf.DUMMYFUNCTION("""COMPUTED_VALUE"""),4.0)</f>
        <v>4</v>
      </c>
      <c r="AA267" s="1">
        <f>IFERROR(__xludf.DUMMYFUNCTION("""COMPUTED_VALUE"""),14900.0)</f>
        <v>14900</v>
      </c>
      <c r="AB267" s="1">
        <f>IFERROR(__xludf.DUMMYFUNCTION("""COMPUTED_VALUE"""),3522.0)</f>
        <v>3522</v>
      </c>
      <c r="AC267" s="1">
        <f>IFERROR(__xludf.DUMMYFUNCTION("""COMPUTED_VALUE"""),27.0)</f>
        <v>27</v>
      </c>
      <c r="AD267" s="1">
        <f>IFERROR(__xludf.DUMMYFUNCTION("""COMPUTED_VALUE"""),14100.0)</f>
        <v>14100</v>
      </c>
      <c r="AE267" s="1">
        <f>IFERROR(__xludf.DUMMYFUNCTION("""COMPUTED_VALUE"""),932.0)</f>
        <v>932</v>
      </c>
      <c r="AF267" s="1">
        <f>IFERROR(__xludf.DUMMYFUNCTION("""COMPUTED_VALUE"""),25000.0)</f>
        <v>25000</v>
      </c>
      <c r="AG267" s="1">
        <f>IFERROR(__xludf.DUMMYFUNCTION("""COMPUTED_VALUE"""),26.0)</f>
        <v>26</v>
      </c>
      <c r="AH267" s="1">
        <f>IFERROR(__xludf.DUMMYFUNCTION("""COMPUTED_VALUE"""),25000.0)</f>
        <v>25000</v>
      </c>
      <c r="AI267" s="1">
        <f>IFERROR(__xludf.DUMMYFUNCTION("""COMPUTED_VALUE"""),26.0)</f>
        <v>26</v>
      </c>
      <c r="AJ267" s="1"/>
      <c r="AK267" s="1"/>
      <c r="AL267" s="1">
        <f>IFERROR(__xludf.DUMMYFUNCTION("""COMPUTED_VALUE"""),0.0)</f>
        <v>0</v>
      </c>
      <c r="AM267" s="1">
        <f>IFERROR(__xludf.DUMMYFUNCTION("""COMPUTED_VALUE"""),17006.26953125)</f>
        <v>17006.26953</v>
      </c>
      <c r="AN267" s="1">
        <f>IFERROR(__xludf.DUMMYFUNCTION("""COMPUTED_VALUE"""),14.0)</f>
        <v>14</v>
      </c>
      <c r="AO267" s="1">
        <f>IFERROR(__xludf.DUMMYFUNCTION("""COMPUTED_VALUE"""),17300.0)</f>
        <v>17300</v>
      </c>
      <c r="AP267" s="1">
        <f>IFERROR(__xludf.DUMMYFUNCTION("""COMPUTED_VALUE"""),811.0)</f>
        <v>811</v>
      </c>
      <c r="AQ267" s="1">
        <f>IFERROR(__xludf.DUMMYFUNCTION("""COMPUTED_VALUE"""),40.0)</f>
        <v>40</v>
      </c>
      <c r="AR267" s="1">
        <f>IFERROR(__xludf.DUMMYFUNCTION("""COMPUTED_VALUE"""),14500.0)</f>
        <v>14500</v>
      </c>
      <c r="AS267" s="1">
        <f>IFERROR(__xludf.DUMMYFUNCTION("""COMPUTED_VALUE"""),340.0)</f>
        <v>340</v>
      </c>
    </row>
    <row r="268">
      <c r="A268" s="1" t="str">
        <f>IFERROR(__xludf.DUMMYFUNCTION("""COMPUTED_VALUE"""),"RCO")</f>
        <v>RCO</v>
      </c>
      <c r="B268" s="1">
        <f>IFERROR(__xludf.DUMMYFUNCTION("""COMPUTED_VALUE"""),400.0)</f>
        <v>400</v>
      </c>
      <c r="C268" s="1"/>
      <c r="D268" s="1">
        <f>IFERROR(__xludf.DUMMYFUNCTION("""COMPUTED_VALUE"""),1300.0)</f>
        <v>1300</v>
      </c>
      <c r="E268" s="1">
        <f>IFERROR(__xludf.DUMMYFUNCTION("""COMPUTED_VALUE"""),462.0)</f>
        <v>462</v>
      </c>
      <c r="F268" s="1">
        <f>IFERROR(__xludf.DUMMYFUNCTION("""COMPUTED_VALUE"""),1300.0)</f>
        <v>1300</v>
      </c>
      <c r="G268" s="1">
        <f>IFERROR(__xludf.DUMMYFUNCTION("""COMPUTED_VALUE"""),7633.0)</f>
        <v>7633</v>
      </c>
      <c r="H268" s="1">
        <f>IFERROR(__xludf.DUMMYFUNCTION("""COMPUTED_VALUE"""),600.0)</f>
        <v>600</v>
      </c>
      <c r="I268" s="1">
        <f>IFERROR(__xludf.DUMMYFUNCTION("""COMPUTED_VALUE"""),1200.0)</f>
        <v>1200</v>
      </c>
      <c r="J268" s="1">
        <f>IFERROR(__xludf.DUMMYFUNCTION("""COMPUTED_VALUE"""),5567.0)</f>
        <v>5567</v>
      </c>
      <c r="K268" s="1">
        <f>IFERROR(__xludf.DUMMYFUNCTION("""COMPUTED_VALUE"""),1351.06005859375)</f>
        <v>1351.060059</v>
      </c>
      <c r="L268" s="1">
        <f>IFERROR(__xludf.DUMMYFUNCTION("""COMPUTED_VALUE"""),109.0)</f>
        <v>109</v>
      </c>
      <c r="M268" s="1">
        <f>IFERROR(__xludf.DUMMYFUNCTION("""COMPUTED_VALUE"""),1440.0)</f>
        <v>1440</v>
      </c>
      <c r="N268" s="1">
        <f>IFERROR(__xludf.DUMMYFUNCTION("""COMPUTED_VALUE"""),1164.0)</f>
        <v>1164</v>
      </c>
      <c r="O268" s="1">
        <f>IFERROR(__xludf.DUMMYFUNCTION("""COMPUTED_VALUE"""),750.0)</f>
        <v>750</v>
      </c>
      <c r="P268" s="1">
        <f>IFERROR(__xludf.DUMMYFUNCTION("""COMPUTED_VALUE"""),1010.0)</f>
        <v>1010</v>
      </c>
      <c r="Q268" s="1">
        <f>IFERROR(__xludf.DUMMYFUNCTION("""COMPUTED_VALUE"""),4047.0)</f>
        <v>4047</v>
      </c>
      <c r="R268" s="1">
        <f>IFERROR(__xludf.DUMMYFUNCTION("""COMPUTED_VALUE"""),600.0)</f>
        <v>600</v>
      </c>
      <c r="S268" s="1"/>
      <c r="T268" s="1"/>
      <c r="U268" s="1">
        <f>IFERROR(__xludf.DUMMYFUNCTION("""COMPUTED_VALUE"""),0.0)</f>
        <v>0</v>
      </c>
      <c r="V268" s="1"/>
      <c r="W268" s="1"/>
      <c r="X268" s="1">
        <f>IFERROR(__xludf.DUMMYFUNCTION("""COMPUTED_VALUE"""),0.0)</f>
        <v>0</v>
      </c>
      <c r="Y268" s="1">
        <f>IFERROR(__xludf.DUMMYFUNCTION("""COMPUTED_VALUE"""),1100.0)</f>
        <v>1100</v>
      </c>
      <c r="Z268" s="1">
        <f>IFERROR(__xludf.DUMMYFUNCTION("""COMPUTED_VALUE"""),1460.0)</f>
        <v>1460</v>
      </c>
      <c r="AA268" s="1">
        <f>IFERROR(__xludf.DUMMYFUNCTION("""COMPUTED_VALUE"""),1100.0)</f>
        <v>1100</v>
      </c>
      <c r="AB268" s="1">
        <f>IFERROR(__xludf.DUMMYFUNCTION("""COMPUTED_VALUE"""),12224.0)</f>
        <v>12224</v>
      </c>
      <c r="AC268" s="1">
        <f>IFERROR(__xludf.DUMMYFUNCTION("""COMPUTED_VALUE"""),34.0)</f>
        <v>34</v>
      </c>
      <c r="AD268" s="1">
        <f>IFERROR(__xludf.DUMMYFUNCTION("""COMPUTED_VALUE"""),1010.0)</f>
        <v>1010</v>
      </c>
      <c r="AE268" s="1">
        <f>IFERROR(__xludf.DUMMYFUNCTION("""COMPUTED_VALUE"""),3400.0)</f>
        <v>3400</v>
      </c>
      <c r="AF268" s="1">
        <f>IFERROR(__xludf.DUMMYFUNCTION("""COMPUTED_VALUE"""),920.0)</f>
        <v>920</v>
      </c>
      <c r="AG268" s="1">
        <f>IFERROR(__xludf.DUMMYFUNCTION("""COMPUTED_VALUE"""),65.0)</f>
        <v>65</v>
      </c>
      <c r="AH268" s="1">
        <f>IFERROR(__xludf.DUMMYFUNCTION("""COMPUTED_VALUE"""),1300.0)</f>
        <v>1300</v>
      </c>
      <c r="AI268" s="1">
        <f>IFERROR(__xludf.DUMMYFUNCTION("""COMPUTED_VALUE"""),65.0)</f>
        <v>65</v>
      </c>
      <c r="AJ268" s="1">
        <f>IFERROR(__xludf.DUMMYFUNCTION("""COMPUTED_VALUE"""),85.0)</f>
        <v>85</v>
      </c>
      <c r="AK268" s="1">
        <f>IFERROR(__xludf.DUMMYFUNCTION("""COMPUTED_VALUE"""),920.0)</f>
        <v>920</v>
      </c>
      <c r="AL268" s="1">
        <f>IFERROR(__xludf.DUMMYFUNCTION("""COMPUTED_VALUE"""),994.0)</f>
        <v>994</v>
      </c>
      <c r="AM268" s="1">
        <f>IFERROR(__xludf.DUMMYFUNCTION("""COMPUTED_VALUE"""),1000.0)</f>
        <v>1000</v>
      </c>
      <c r="AN268" s="1">
        <f>IFERROR(__xludf.DUMMYFUNCTION("""COMPUTED_VALUE"""),179.0)</f>
        <v>179</v>
      </c>
      <c r="AO268" s="1">
        <f>IFERROR(__xludf.DUMMYFUNCTION("""COMPUTED_VALUE"""),1100.0)</f>
        <v>1100</v>
      </c>
      <c r="AP268" s="1">
        <f>IFERROR(__xludf.DUMMYFUNCTION("""COMPUTED_VALUE"""),5128.0)</f>
        <v>5128</v>
      </c>
      <c r="AQ268" s="1">
        <f>IFERROR(__xludf.DUMMYFUNCTION("""COMPUTED_VALUE"""),8.0)</f>
        <v>8</v>
      </c>
      <c r="AR268" s="1">
        <f>IFERROR(__xludf.DUMMYFUNCTION("""COMPUTED_VALUE"""),1000.0)</f>
        <v>1000</v>
      </c>
      <c r="AS268" s="1">
        <f>IFERROR(__xludf.DUMMYFUNCTION("""COMPUTED_VALUE"""),1556.0)</f>
        <v>1556</v>
      </c>
    </row>
    <row r="269">
      <c r="A269" s="1" t="str">
        <f>IFERROR(__xludf.DUMMYFUNCTION("""COMPUTED_VALUE"""),"RCS")</f>
        <v>RCS</v>
      </c>
      <c r="B269" s="1"/>
      <c r="C269" s="1"/>
      <c r="D269" s="1">
        <f>IFERROR(__xludf.DUMMYFUNCTION("""COMPUTED_VALUE"""),170000.0)</f>
        <v>170000</v>
      </c>
      <c r="E269" s="1">
        <f>IFERROR(__xludf.DUMMYFUNCTION("""COMPUTED_VALUE"""),2.0)</f>
        <v>2</v>
      </c>
      <c r="F269" s="1">
        <f>IFERROR(__xludf.DUMMYFUNCTION("""COMPUTED_VALUE"""),170000.0)</f>
        <v>170000</v>
      </c>
      <c r="G269" s="1">
        <f>IFERROR(__xludf.DUMMYFUNCTION("""COMPUTED_VALUE"""),5.0)</f>
        <v>5</v>
      </c>
      <c r="H269" s="1">
        <f>IFERROR(__xludf.DUMMYFUNCTION("""COMPUTED_VALUE"""),6.0)</f>
        <v>6</v>
      </c>
      <c r="I269" s="1">
        <f>IFERROR(__xludf.DUMMYFUNCTION("""COMPUTED_VALUE"""),160000.0)</f>
        <v>160000</v>
      </c>
      <c r="J269" s="1">
        <f>IFERROR(__xludf.DUMMYFUNCTION("""COMPUTED_VALUE"""),6.0)</f>
        <v>6</v>
      </c>
      <c r="K269" s="1">
        <f>IFERROR(__xludf.DUMMYFUNCTION("""COMPUTED_VALUE"""),195000.0)</f>
        <v>195000</v>
      </c>
      <c r="L269" s="1">
        <f>IFERROR(__xludf.DUMMYFUNCTION("""COMPUTED_VALUE"""),1.0)</f>
        <v>1</v>
      </c>
      <c r="M269" s="1">
        <f>IFERROR(__xludf.DUMMYFUNCTION("""COMPUTED_VALUE"""),400000.0)</f>
        <v>400000</v>
      </c>
      <c r="N269" s="1">
        <f>IFERROR(__xludf.DUMMYFUNCTION("""COMPUTED_VALUE"""),1.0)</f>
        <v>1</v>
      </c>
      <c r="O269" s="1">
        <f>IFERROR(__xludf.DUMMYFUNCTION("""COMPUTED_VALUE"""),1.0)</f>
        <v>1</v>
      </c>
      <c r="P269" s="1">
        <f>IFERROR(__xludf.DUMMYFUNCTION("""COMPUTED_VALUE"""),120000.0)</f>
        <v>120000</v>
      </c>
      <c r="Q269" s="1">
        <f>IFERROR(__xludf.DUMMYFUNCTION("""COMPUTED_VALUE"""),1.0)</f>
        <v>1</v>
      </c>
      <c r="R269" s="1">
        <f>IFERROR(__xludf.DUMMYFUNCTION("""COMPUTED_VALUE"""),93545.6015625)</f>
        <v>93545.60156</v>
      </c>
      <c r="S269" s="1"/>
      <c r="T269" s="1"/>
      <c r="U269" s="1">
        <f>IFERROR(__xludf.DUMMYFUNCTION("""COMPUTED_VALUE"""),0.0)</f>
        <v>0</v>
      </c>
      <c r="V269" s="1"/>
      <c r="W269" s="1"/>
      <c r="X269" s="1">
        <f>IFERROR(__xludf.DUMMYFUNCTION("""COMPUTED_VALUE"""),0.0)</f>
        <v>0</v>
      </c>
      <c r="Y269" s="1">
        <f>IFERROR(__xludf.DUMMYFUNCTION("""COMPUTED_VALUE"""),180000.0)</f>
        <v>180000</v>
      </c>
      <c r="Z269" s="1"/>
      <c r="AA269" s="1"/>
      <c r="AB269" s="1">
        <f>IFERROR(__xludf.DUMMYFUNCTION("""COMPUTED_VALUE"""),0.0)</f>
        <v>0</v>
      </c>
      <c r="AC269" s="1">
        <f>IFERROR(__xludf.DUMMYFUNCTION("""COMPUTED_VALUE"""),10.0)</f>
        <v>10</v>
      </c>
      <c r="AD269" s="1">
        <f>IFERROR(__xludf.DUMMYFUNCTION("""COMPUTED_VALUE"""),150000.0)</f>
        <v>150000</v>
      </c>
      <c r="AE269" s="1">
        <f>IFERROR(__xludf.DUMMYFUNCTION("""COMPUTED_VALUE"""),10.0)</f>
        <v>10</v>
      </c>
      <c r="AF269" s="1">
        <f>IFERROR(__xludf.DUMMYFUNCTION("""COMPUTED_VALUE"""),93545.6015625)</f>
        <v>93545.60156</v>
      </c>
      <c r="AG269" s="1"/>
      <c r="AH269" s="1"/>
      <c r="AI269" s="1">
        <f>IFERROR(__xludf.DUMMYFUNCTION("""COMPUTED_VALUE"""),0.0)</f>
        <v>0</v>
      </c>
      <c r="AJ269" s="1"/>
      <c r="AK269" s="1"/>
      <c r="AL269" s="1">
        <f>IFERROR(__xludf.DUMMYFUNCTION("""COMPUTED_VALUE"""),0.0)</f>
        <v>0</v>
      </c>
      <c r="AM269" s="1">
        <f>IFERROR(__xludf.DUMMYFUNCTION("""COMPUTED_VALUE"""),210000.0)</f>
        <v>210000</v>
      </c>
      <c r="AN269" s="1"/>
      <c r="AO269" s="1"/>
      <c r="AP269" s="1">
        <f>IFERROR(__xludf.DUMMYFUNCTION("""COMPUTED_VALUE"""),0.0)</f>
        <v>0</v>
      </c>
      <c r="AQ269" s="1"/>
      <c r="AR269" s="1"/>
      <c r="AS269" s="1">
        <f>IFERROR(__xludf.DUMMYFUNCTION("""COMPUTED_VALUE"""),0.0)</f>
        <v>0</v>
      </c>
    </row>
    <row r="270">
      <c r="A270" s="1" t="str">
        <f>IFERROR(__xludf.DUMMYFUNCTION("""COMPUTED_VALUE"""),"RCT")</f>
        <v>RCT</v>
      </c>
      <c r="B270" s="1"/>
      <c r="C270" s="1"/>
      <c r="D270" s="1">
        <f>IFERROR(__xludf.DUMMYFUNCTION("""COMPUTED_VALUE"""),729000.0)</f>
        <v>729000</v>
      </c>
      <c r="E270" s="1">
        <f>IFERROR(__xludf.DUMMYFUNCTION("""COMPUTED_VALUE"""),1.0)</f>
        <v>1</v>
      </c>
      <c r="F270" s="1">
        <f>IFERROR(__xludf.DUMMYFUNCTION("""COMPUTED_VALUE"""),729000.0)</f>
        <v>729000</v>
      </c>
      <c r="G270" s="1">
        <f>IFERROR(__xludf.DUMMYFUNCTION("""COMPUTED_VALUE"""),5.0)</f>
        <v>5</v>
      </c>
      <c r="H270" s="1"/>
      <c r="I270" s="1"/>
      <c r="J270" s="1">
        <f>IFERROR(__xludf.DUMMYFUNCTION("""COMPUTED_VALUE"""),0.0)</f>
        <v>0</v>
      </c>
      <c r="K270" s="1">
        <f>IFERROR(__xludf.DUMMYFUNCTION("""COMPUTED_VALUE"""),750000.0)</f>
        <v>750000</v>
      </c>
      <c r="L270" s="1">
        <f>IFERROR(__xludf.DUMMYFUNCTION("""COMPUTED_VALUE"""),1.0)</f>
        <v>1</v>
      </c>
      <c r="M270" s="1">
        <f>IFERROR(__xludf.DUMMYFUNCTION("""COMPUTED_VALUE"""),750000.0)</f>
        <v>750000</v>
      </c>
      <c r="N270" s="1">
        <f>IFERROR(__xludf.DUMMYFUNCTION("""COMPUTED_VALUE"""),3.0)</f>
        <v>3</v>
      </c>
      <c r="O270" s="1">
        <f>IFERROR(__xludf.DUMMYFUNCTION("""COMPUTED_VALUE"""),1.0)</f>
        <v>1</v>
      </c>
      <c r="P270" s="1">
        <f>IFERROR(__xludf.DUMMYFUNCTION("""COMPUTED_VALUE"""),500000.0)</f>
        <v>500000</v>
      </c>
      <c r="Q270" s="1">
        <f>IFERROR(__xludf.DUMMYFUNCTION("""COMPUTED_VALUE"""),3.0)</f>
        <v>3</v>
      </c>
      <c r="R270" s="1">
        <f>IFERROR(__xludf.DUMMYFUNCTION("""COMPUTED_VALUE"""),1000000.0)</f>
        <v>1000000</v>
      </c>
      <c r="S270" s="1"/>
      <c r="T270" s="1"/>
      <c r="U270" s="1">
        <f>IFERROR(__xludf.DUMMYFUNCTION("""COMPUTED_VALUE"""),0.0)</f>
        <v>0</v>
      </c>
      <c r="V270" s="1"/>
      <c r="W270" s="1"/>
      <c r="X270" s="1">
        <f>IFERROR(__xludf.DUMMYFUNCTION("""COMPUTED_VALUE"""),0.0)</f>
        <v>0</v>
      </c>
      <c r="Y270" s="1">
        <f>IFERROR(__xludf.DUMMYFUNCTION("""COMPUTED_VALUE"""),979000.0)</f>
        <v>979000</v>
      </c>
      <c r="Z270" s="1">
        <f>IFERROR(__xludf.DUMMYFUNCTION("""COMPUTED_VALUE"""),1.0)</f>
        <v>1</v>
      </c>
      <c r="AA270" s="1">
        <f>IFERROR(__xludf.DUMMYFUNCTION("""COMPUTED_VALUE"""),979000.0)</f>
        <v>979000</v>
      </c>
      <c r="AB270" s="1">
        <f>IFERROR(__xludf.DUMMYFUNCTION("""COMPUTED_VALUE"""),4.0)</f>
        <v>4</v>
      </c>
      <c r="AC270" s="1"/>
      <c r="AD270" s="1"/>
      <c r="AE270" s="1">
        <f>IFERROR(__xludf.DUMMYFUNCTION("""COMPUTED_VALUE"""),0.0)</f>
        <v>0</v>
      </c>
      <c r="AF270" s="1">
        <f>IFERROR(__xludf.DUMMYFUNCTION("""COMPUTED_VALUE"""),354702.8125)</f>
        <v>354702.8125</v>
      </c>
      <c r="AG270" s="1"/>
      <c r="AH270" s="1"/>
      <c r="AI270" s="1">
        <f>IFERROR(__xludf.DUMMYFUNCTION("""COMPUTED_VALUE"""),0.0)</f>
        <v>0</v>
      </c>
      <c r="AJ270" s="1"/>
      <c r="AK270" s="1"/>
      <c r="AL270" s="1">
        <f>IFERROR(__xludf.DUMMYFUNCTION("""COMPUTED_VALUE"""),0.0)</f>
        <v>0</v>
      </c>
      <c r="AM270" s="1">
        <f>IFERROR(__xludf.DUMMYFUNCTION("""COMPUTED_VALUE"""),900000.0)</f>
        <v>900000</v>
      </c>
      <c r="AN270" s="1">
        <f>IFERROR(__xludf.DUMMYFUNCTION("""COMPUTED_VALUE"""),1.0)</f>
        <v>1</v>
      </c>
      <c r="AO270" s="1">
        <f>IFERROR(__xludf.DUMMYFUNCTION("""COMPUTED_VALUE"""),1190000.0)</f>
        <v>1190000</v>
      </c>
      <c r="AP270" s="1">
        <f>IFERROR(__xludf.DUMMYFUNCTION("""COMPUTED_VALUE"""),2.0)</f>
        <v>2</v>
      </c>
      <c r="AQ270" s="1"/>
      <c r="AR270" s="1"/>
      <c r="AS270" s="1">
        <f>IFERROR(__xludf.DUMMYFUNCTION("""COMPUTED_VALUE"""),0.0)</f>
        <v>0</v>
      </c>
    </row>
    <row r="271">
      <c r="A271" s="1" t="str">
        <f>IFERROR(__xludf.DUMMYFUNCTION("""COMPUTED_VALUE"""),"RDE")</f>
        <v>RDE</v>
      </c>
      <c r="B271" s="1"/>
      <c r="C271" s="1"/>
      <c r="D271" s="1">
        <f>IFERROR(__xludf.DUMMYFUNCTION("""COMPUTED_VALUE"""),30000.0)</f>
        <v>30000</v>
      </c>
      <c r="E271" s="1">
        <f>IFERROR(__xludf.DUMMYFUNCTION("""COMPUTED_VALUE"""),20.0)</f>
        <v>20</v>
      </c>
      <c r="F271" s="1">
        <f>IFERROR(__xludf.DUMMYFUNCTION("""COMPUTED_VALUE"""),30000.0)</f>
        <v>30000</v>
      </c>
      <c r="G271" s="1">
        <f>IFERROR(__xludf.DUMMYFUNCTION("""COMPUTED_VALUE"""),1125.0)</f>
        <v>1125</v>
      </c>
      <c r="H271" s="1">
        <f>IFERROR(__xludf.DUMMYFUNCTION("""COMPUTED_VALUE"""),4.0)</f>
        <v>4</v>
      </c>
      <c r="I271" s="1">
        <f>IFERROR(__xludf.DUMMYFUNCTION("""COMPUTED_VALUE"""),26500.0)</f>
        <v>26500</v>
      </c>
      <c r="J271" s="1">
        <f>IFERROR(__xludf.DUMMYFUNCTION("""COMPUTED_VALUE"""),216.0)</f>
        <v>216</v>
      </c>
      <c r="K271" s="1">
        <f>IFERROR(__xludf.DUMMYFUNCTION("""COMPUTED_VALUE"""),32000.0)</f>
        <v>32000</v>
      </c>
      <c r="L271" s="1">
        <f>IFERROR(__xludf.DUMMYFUNCTION("""COMPUTED_VALUE"""),40.0)</f>
        <v>40</v>
      </c>
      <c r="M271" s="1">
        <f>IFERROR(__xludf.DUMMYFUNCTION("""COMPUTED_VALUE"""),31800.0)</f>
        <v>31800</v>
      </c>
      <c r="N271" s="1">
        <f>IFERROR(__xludf.DUMMYFUNCTION("""COMPUTED_VALUE"""),566.0)</f>
        <v>566</v>
      </c>
      <c r="O271" s="1">
        <f>IFERROR(__xludf.DUMMYFUNCTION("""COMPUTED_VALUE"""),16.0)</f>
        <v>16</v>
      </c>
      <c r="P271" s="1">
        <f>IFERROR(__xludf.DUMMYFUNCTION("""COMPUTED_VALUE"""),30000.0)</f>
        <v>30000</v>
      </c>
      <c r="Q271" s="1">
        <f>IFERROR(__xludf.DUMMYFUNCTION("""COMPUTED_VALUE"""),104.0)</f>
        <v>104</v>
      </c>
      <c r="R271" s="1">
        <f>IFERROR(__xludf.DUMMYFUNCTION("""COMPUTED_VALUE"""),27000.0)</f>
        <v>27000</v>
      </c>
      <c r="S271" s="1">
        <f>IFERROR(__xludf.DUMMYFUNCTION("""COMPUTED_VALUE"""),14.0)</f>
        <v>14</v>
      </c>
      <c r="T271" s="1">
        <f>IFERROR(__xludf.DUMMYFUNCTION("""COMPUTED_VALUE"""),32500.0)</f>
        <v>32500</v>
      </c>
      <c r="U271" s="1">
        <f>IFERROR(__xludf.DUMMYFUNCTION("""COMPUTED_VALUE"""),14.0)</f>
        <v>14</v>
      </c>
      <c r="V271" s="1"/>
      <c r="W271" s="1"/>
      <c r="X271" s="1">
        <f>IFERROR(__xludf.DUMMYFUNCTION("""COMPUTED_VALUE"""),0.0)</f>
        <v>0</v>
      </c>
      <c r="Y271" s="1">
        <f>IFERROR(__xludf.DUMMYFUNCTION("""COMPUTED_VALUE"""),30700.0)</f>
        <v>30700</v>
      </c>
      <c r="Z271" s="1">
        <f>IFERROR(__xludf.DUMMYFUNCTION("""COMPUTED_VALUE"""),13.0)</f>
        <v>13</v>
      </c>
      <c r="AA271" s="1">
        <f>IFERROR(__xludf.DUMMYFUNCTION("""COMPUTED_VALUE"""),30700.0)</f>
        <v>30700</v>
      </c>
      <c r="AB271" s="1">
        <f>IFERROR(__xludf.DUMMYFUNCTION("""COMPUTED_VALUE"""),1745.0)</f>
        <v>1745</v>
      </c>
      <c r="AC271" s="1">
        <f>IFERROR(__xludf.DUMMYFUNCTION("""COMPUTED_VALUE"""),8.0)</f>
        <v>8</v>
      </c>
      <c r="AD271" s="1">
        <f>IFERROR(__xludf.DUMMYFUNCTION("""COMPUTED_VALUE"""),25700.0)</f>
        <v>25700</v>
      </c>
      <c r="AE271" s="1">
        <f>IFERROR(__xludf.DUMMYFUNCTION("""COMPUTED_VALUE"""),761.0)</f>
        <v>761</v>
      </c>
      <c r="AF271" s="1">
        <f>IFERROR(__xludf.DUMMYFUNCTION("""COMPUTED_VALUE"""),35000.0)</f>
        <v>35000</v>
      </c>
      <c r="AG271" s="1">
        <f>IFERROR(__xludf.DUMMYFUNCTION("""COMPUTED_VALUE"""),20.0)</f>
        <v>20</v>
      </c>
      <c r="AH271" s="1">
        <f>IFERROR(__xludf.DUMMYFUNCTION("""COMPUTED_VALUE"""),35000.0)</f>
        <v>35000</v>
      </c>
      <c r="AI271" s="1">
        <f>IFERROR(__xludf.DUMMYFUNCTION("""COMPUTED_VALUE"""),20.0)</f>
        <v>20</v>
      </c>
      <c r="AJ271" s="1"/>
      <c r="AK271" s="1"/>
      <c r="AL271" s="1">
        <f>IFERROR(__xludf.DUMMYFUNCTION("""COMPUTED_VALUE"""),0.0)</f>
        <v>0</v>
      </c>
      <c r="AM271" s="1">
        <f>IFERROR(__xludf.DUMMYFUNCTION("""COMPUTED_VALUE"""),31900.0)</f>
        <v>31900</v>
      </c>
      <c r="AN271" s="1">
        <f>IFERROR(__xludf.DUMMYFUNCTION("""COMPUTED_VALUE"""),18.0)</f>
        <v>18</v>
      </c>
      <c r="AO271" s="1">
        <f>IFERROR(__xludf.DUMMYFUNCTION("""COMPUTED_VALUE"""),31200.0)</f>
        <v>31200</v>
      </c>
      <c r="AP271" s="1">
        <f>IFERROR(__xludf.DUMMYFUNCTION("""COMPUTED_VALUE"""),649.0)</f>
        <v>649</v>
      </c>
      <c r="AQ271" s="1">
        <f>IFERROR(__xludf.DUMMYFUNCTION("""COMPUTED_VALUE"""),8.0)</f>
        <v>8</v>
      </c>
      <c r="AR271" s="1">
        <f>IFERROR(__xludf.DUMMYFUNCTION("""COMPUTED_VALUE"""),25000.0)</f>
        <v>25000</v>
      </c>
      <c r="AS271" s="1">
        <f>IFERROR(__xludf.DUMMYFUNCTION("""COMPUTED_VALUE"""),169.0)</f>
        <v>169</v>
      </c>
    </row>
    <row r="272">
      <c r="A272" s="1" t="str">
        <f>IFERROR(__xludf.DUMMYFUNCTION("""COMPUTED_VALUE"""),"RDL")</f>
        <v>RDL</v>
      </c>
      <c r="B272" s="1"/>
      <c r="C272" s="1"/>
      <c r="D272" s="1">
        <f>IFERROR(__xludf.DUMMYFUNCTION("""COMPUTED_VALUE"""),1120000.0)</f>
        <v>1120000</v>
      </c>
      <c r="E272" s="1">
        <f>IFERROR(__xludf.DUMMYFUNCTION("""COMPUTED_VALUE"""),1.0)</f>
        <v>1</v>
      </c>
      <c r="F272" s="1">
        <f>IFERROR(__xludf.DUMMYFUNCTION("""COMPUTED_VALUE"""),1120000.0)</f>
        <v>1120000</v>
      </c>
      <c r="G272" s="1">
        <f>IFERROR(__xludf.DUMMYFUNCTION("""COMPUTED_VALUE"""),4.0)</f>
        <v>4</v>
      </c>
      <c r="H272" s="1">
        <f>IFERROR(__xludf.DUMMYFUNCTION("""COMPUTED_VALUE"""),5.0)</f>
        <v>5</v>
      </c>
      <c r="I272" s="1">
        <f>IFERROR(__xludf.DUMMYFUNCTION("""COMPUTED_VALUE"""),400000.0)</f>
        <v>400000</v>
      </c>
      <c r="J272" s="1">
        <f>IFERROR(__xludf.DUMMYFUNCTION("""COMPUTED_VALUE"""),5.0)</f>
        <v>5</v>
      </c>
      <c r="K272" s="1">
        <f>IFERROR(__xludf.DUMMYFUNCTION("""COMPUTED_VALUE"""),1220000.0)</f>
        <v>1220000</v>
      </c>
      <c r="L272" s="1">
        <f>IFERROR(__xludf.DUMMYFUNCTION("""COMPUTED_VALUE"""),1.0)</f>
        <v>1</v>
      </c>
      <c r="M272" s="1">
        <f>IFERROR(__xludf.DUMMYFUNCTION("""COMPUTED_VALUE"""),1260000.0)</f>
        <v>1260000</v>
      </c>
      <c r="N272" s="1">
        <f>IFERROR(__xludf.DUMMYFUNCTION("""COMPUTED_VALUE"""),6.0)</f>
        <v>6</v>
      </c>
      <c r="O272" s="1"/>
      <c r="P272" s="1"/>
      <c r="Q272" s="1">
        <f>IFERROR(__xludf.DUMMYFUNCTION("""COMPUTED_VALUE"""),0.0)</f>
        <v>0</v>
      </c>
      <c r="R272" s="1">
        <f>IFERROR(__xludf.DUMMYFUNCTION("""COMPUTED_VALUE"""),376820.125)</f>
        <v>376820.125</v>
      </c>
      <c r="S272" s="1"/>
      <c r="T272" s="1"/>
      <c r="U272" s="1">
        <f>IFERROR(__xludf.DUMMYFUNCTION("""COMPUTED_VALUE"""),0.0)</f>
        <v>0</v>
      </c>
      <c r="V272" s="1"/>
      <c r="W272" s="1"/>
      <c r="X272" s="1">
        <f>IFERROR(__xludf.DUMMYFUNCTION("""COMPUTED_VALUE"""),0.0)</f>
        <v>0</v>
      </c>
      <c r="Y272" s="1">
        <f>IFERROR(__xludf.DUMMYFUNCTION("""COMPUTED_VALUE"""),1500000.0)</f>
        <v>1500000</v>
      </c>
      <c r="Z272" s="1">
        <f>IFERROR(__xludf.DUMMYFUNCTION("""COMPUTED_VALUE"""),1.0)</f>
        <v>1</v>
      </c>
      <c r="AA272" s="1">
        <f>IFERROR(__xludf.DUMMYFUNCTION("""COMPUTED_VALUE"""),1500000.0)</f>
        <v>1500000</v>
      </c>
      <c r="AB272" s="1">
        <f>IFERROR(__xludf.DUMMYFUNCTION("""COMPUTED_VALUE"""),1.0)</f>
        <v>1</v>
      </c>
      <c r="AC272" s="1"/>
      <c r="AD272" s="1"/>
      <c r="AE272" s="1">
        <f>IFERROR(__xludf.DUMMYFUNCTION("""COMPUTED_VALUE"""),0.0)</f>
        <v>0</v>
      </c>
      <c r="AF272" s="1">
        <f>IFERROR(__xludf.DUMMYFUNCTION("""COMPUTED_VALUE"""),376820.125)</f>
        <v>376820.125</v>
      </c>
      <c r="AG272" s="1"/>
      <c r="AH272" s="1"/>
      <c r="AI272" s="1">
        <f>IFERROR(__xludf.DUMMYFUNCTION("""COMPUTED_VALUE"""),0.0)</f>
        <v>0</v>
      </c>
      <c r="AJ272" s="1"/>
      <c r="AK272" s="1"/>
      <c r="AL272" s="1">
        <f>IFERROR(__xludf.DUMMYFUNCTION("""COMPUTED_VALUE"""),0.0)</f>
        <v>0</v>
      </c>
      <c r="AM272" s="1">
        <f>IFERROR(__xludf.DUMMYFUNCTION("""COMPUTED_VALUE"""),610000.0)</f>
        <v>610000</v>
      </c>
      <c r="AN272" s="1">
        <f>IFERROR(__xludf.DUMMYFUNCTION("""COMPUTED_VALUE"""),1.0)</f>
        <v>1</v>
      </c>
      <c r="AO272" s="1">
        <f>IFERROR(__xludf.DUMMYFUNCTION("""COMPUTED_VALUE"""),1500000.0)</f>
        <v>1500000</v>
      </c>
      <c r="AP272" s="1">
        <f>IFERROR(__xludf.DUMMYFUNCTION("""COMPUTED_VALUE"""),1.0)</f>
        <v>1</v>
      </c>
      <c r="AQ272" s="1"/>
      <c r="AR272" s="1"/>
      <c r="AS272" s="1">
        <f>IFERROR(__xludf.DUMMYFUNCTION("""COMPUTED_VALUE"""),0.0)</f>
        <v>0</v>
      </c>
    </row>
    <row r="273">
      <c r="A273" s="1" t="str">
        <f>IFERROR(__xludf.DUMMYFUNCTION("""COMPUTED_VALUE"""),"RDS")</f>
        <v>RDS</v>
      </c>
      <c r="B273" s="1"/>
      <c r="C273" s="1"/>
      <c r="D273" s="1">
        <f>IFERROR(__xludf.DUMMYFUNCTION("""COMPUTED_VALUE"""),310000.0)</f>
        <v>310000</v>
      </c>
      <c r="E273" s="1">
        <f>IFERROR(__xludf.DUMMYFUNCTION("""COMPUTED_VALUE"""),1.0)</f>
        <v>1</v>
      </c>
      <c r="F273" s="1">
        <f>IFERROR(__xludf.DUMMYFUNCTION("""COMPUTED_VALUE"""),800000.0)</f>
        <v>800000</v>
      </c>
      <c r="G273" s="1">
        <f>IFERROR(__xludf.DUMMYFUNCTION("""COMPUTED_VALUE"""),1.0)</f>
        <v>1</v>
      </c>
      <c r="H273" s="1"/>
      <c r="I273" s="1"/>
      <c r="J273" s="1">
        <f>IFERROR(__xludf.DUMMYFUNCTION("""COMPUTED_VALUE"""),0.0)</f>
        <v>0</v>
      </c>
      <c r="K273" s="1">
        <f>IFERROR(__xludf.DUMMYFUNCTION("""COMPUTED_VALUE"""),775000.0)</f>
        <v>775000</v>
      </c>
      <c r="L273" s="1">
        <f>IFERROR(__xludf.DUMMYFUNCTION("""COMPUTED_VALUE"""),1.0)</f>
        <v>1</v>
      </c>
      <c r="M273" s="1">
        <f>IFERROR(__xludf.DUMMYFUNCTION("""COMPUTED_VALUE"""),800000.0)</f>
        <v>800000</v>
      </c>
      <c r="N273" s="1">
        <f>IFERROR(__xludf.DUMMYFUNCTION("""COMPUTED_VALUE"""),1.0)</f>
        <v>1</v>
      </c>
      <c r="O273" s="1"/>
      <c r="P273" s="1"/>
      <c r="Q273" s="1">
        <f>IFERROR(__xludf.DUMMYFUNCTION("""COMPUTED_VALUE"""),0.0)</f>
        <v>0</v>
      </c>
      <c r="R273" s="1">
        <f>IFERROR(__xludf.DUMMYFUNCTION("""COMPUTED_VALUE"""),207009.0625)</f>
        <v>207009.0625</v>
      </c>
      <c r="S273" s="1"/>
      <c r="T273" s="1"/>
      <c r="U273" s="1">
        <f>IFERROR(__xludf.DUMMYFUNCTION("""COMPUTED_VALUE"""),0.0)</f>
        <v>0</v>
      </c>
      <c r="V273" s="1"/>
      <c r="W273" s="1"/>
      <c r="X273" s="1">
        <f>IFERROR(__xludf.DUMMYFUNCTION("""COMPUTED_VALUE"""),0.0)</f>
        <v>0</v>
      </c>
      <c r="Y273" s="1">
        <f>IFERROR(__xludf.DUMMYFUNCTION("""COMPUTED_VALUE"""),300000.0)</f>
        <v>300000</v>
      </c>
      <c r="Z273" s="1">
        <f>IFERROR(__xludf.DUMMYFUNCTION("""COMPUTED_VALUE"""),1.0)</f>
        <v>1</v>
      </c>
      <c r="AA273" s="1">
        <f>IFERROR(__xludf.DUMMYFUNCTION("""COMPUTED_VALUE"""),800000.0)</f>
        <v>800000</v>
      </c>
      <c r="AB273" s="1">
        <f>IFERROR(__xludf.DUMMYFUNCTION("""COMPUTED_VALUE"""),1.0)</f>
        <v>1</v>
      </c>
      <c r="AC273" s="1"/>
      <c r="AD273" s="1"/>
      <c r="AE273" s="1">
        <f>IFERROR(__xludf.DUMMYFUNCTION("""COMPUTED_VALUE"""),0.0)</f>
        <v>0</v>
      </c>
      <c r="AF273" s="1">
        <f>IFERROR(__xludf.DUMMYFUNCTION("""COMPUTED_VALUE"""),207009.0625)</f>
        <v>207009.0625</v>
      </c>
      <c r="AG273" s="1"/>
      <c r="AH273" s="1"/>
      <c r="AI273" s="1">
        <f>IFERROR(__xludf.DUMMYFUNCTION("""COMPUTED_VALUE"""),0.0)</f>
        <v>0</v>
      </c>
      <c r="AJ273" s="1"/>
      <c r="AK273" s="1"/>
      <c r="AL273" s="1">
        <f>IFERROR(__xludf.DUMMYFUNCTION("""COMPUTED_VALUE"""),0.0)</f>
        <v>0</v>
      </c>
      <c r="AM273" s="1">
        <f>IFERROR(__xludf.DUMMYFUNCTION("""COMPUTED_VALUE"""),310000.0)</f>
        <v>310000</v>
      </c>
      <c r="AN273" s="1">
        <f>IFERROR(__xludf.DUMMYFUNCTION("""COMPUTED_VALUE"""),1.0)</f>
        <v>1</v>
      </c>
      <c r="AO273" s="1">
        <f>IFERROR(__xludf.DUMMYFUNCTION("""COMPUTED_VALUE"""),800000.0)</f>
        <v>800000</v>
      </c>
      <c r="AP273" s="1">
        <f>IFERROR(__xludf.DUMMYFUNCTION("""COMPUTED_VALUE"""),1.0)</f>
        <v>1</v>
      </c>
      <c r="AQ273" s="1"/>
      <c r="AR273" s="1"/>
      <c r="AS273" s="1">
        <f>IFERROR(__xludf.DUMMYFUNCTION("""COMPUTED_VALUE"""),0.0)</f>
        <v>0</v>
      </c>
    </row>
    <row r="274">
      <c r="A274" s="1" t="str">
        <f>IFERROR(__xludf.DUMMYFUNCTION("""COMPUTED_VALUE"""),"RE")</f>
        <v>RE</v>
      </c>
      <c r="B274" s="1"/>
      <c r="C274" s="1"/>
      <c r="D274" s="1">
        <f>IFERROR(__xludf.DUMMYFUNCTION("""COMPUTED_VALUE"""),3500.0)</f>
        <v>3500</v>
      </c>
      <c r="E274" s="1"/>
      <c r="F274" s="1"/>
      <c r="G274" s="1">
        <f>IFERROR(__xludf.DUMMYFUNCTION("""COMPUTED_VALUE"""),0.0)</f>
        <v>0</v>
      </c>
      <c r="H274" s="1">
        <f>IFERROR(__xludf.DUMMYFUNCTION("""COMPUTED_VALUE"""),12.0)</f>
        <v>12</v>
      </c>
      <c r="I274" s="1">
        <f>IFERROR(__xludf.DUMMYFUNCTION("""COMPUTED_VALUE"""),5000.0)</f>
        <v>5000</v>
      </c>
      <c r="J274" s="1">
        <f>IFERROR(__xludf.DUMMYFUNCTION("""COMPUTED_VALUE"""),13.0)</f>
        <v>13</v>
      </c>
      <c r="K274" s="1">
        <f>IFERROR(__xludf.DUMMYFUNCTION("""COMPUTED_VALUE"""),632.599975585937)</f>
        <v>632.5999756</v>
      </c>
      <c r="L274" s="1"/>
      <c r="M274" s="1"/>
      <c r="N274" s="1">
        <f>IFERROR(__xludf.DUMMYFUNCTION("""COMPUTED_VALUE"""),0.0)</f>
        <v>0</v>
      </c>
      <c r="O274" s="1">
        <f>IFERROR(__xludf.DUMMYFUNCTION("""COMPUTED_VALUE"""),12.0)</f>
        <v>12</v>
      </c>
      <c r="P274" s="1">
        <f>IFERROR(__xludf.DUMMYFUNCTION("""COMPUTED_VALUE"""),5000.0)</f>
        <v>5000</v>
      </c>
      <c r="Q274" s="1">
        <f>IFERROR(__xludf.DUMMYFUNCTION("""COMPUTED_VALUE"""),13.0)</f>
        <v>13</v>
      </c>
      <c r="R274" s="1">
        <f>IFERROR(__xludf.DUMMYFUNCTION("""COMPUTED_VALUE"""),632.599975585937)</f>
        <v>632.5999756</v>
      </c>
      <c r="S274" s="1"/>
      <c r="T274" s="1"/>
      <c r="U274" s="1">
        <f>IFERROR(__xludf.DUMMYFUNCTION("""COMPUTED_VALUE"""),0.0)</f>
        <v>0</v>
      </c>
      <c r="V274" s="1">
        <f>IFERROR(__xludf.DUMMYFUNCTION("""COMPUTED_VALUE"""),12.0)</f>
        <v>12</v>
      </c>
      <c r="W274" s="1">
        <f>IFERROR(__xludf.DUMMYFUNCTION("""COMPUTED_VALUE"""),3000.0)</f>
        <v>3000</v>
      </c>
      <c r="X274" s="1">
        <f>IFERROR(__xludf.DUMMYFUNCTION("""COMPUTED_VALUE"""),12.0)</f>
        <v>12</v>
      </c>
      <c r="Y274" s="1">
        <f>IFERROR(__xludf.DUMMYFUNCTION("""COMPUTED_VALUE"""),632.599975585937)</f>
        <v>632.5999756</v>
      </c>
      <c r="Z274" s="1"/>
      <c r="AA274" s="1"/>
      <c r="AB274" s="1">
        <f>IFERROR(__xludf.DUMMYFUNCTION("""COMPUTED_VALUE"""),0.0)</f>
        <v>0</v>
      </c>
      <c r="AC274" s="1">
        <f>IFERROR(__xludf.DUMMYFUNCTION("""COMPUTED_VALUE"""),40.0)</f>
        <v>40</v>
      </c>
      <c r="AD274" s="1">
        <f>IFERROR(__xludf.DUMMYFUNCTION("""COMPUTED_VALUE"""),8000.0)</f>
        <v>8000</v>
      </c>
      <c r="AE274" s="1">
        <f>IFERROR(__xludf.DUMMYFUNCTION("""COMPUTED_VALUE"""),41.0)</f>
        <v>41</v>
      </c>
      <c r="AF274" s="1">
        <f>IFERROR(__xludf.DUMMYFUNCTION("""COMPUTED_VALUE"""),632.599975585937)</f>
        <v>632.5999756</v>
      </c>
      <c r="AG274" s="1"/>
      <c r="AH274" s="1"/>
      <c r="AI274" s="1">
        <f>IFERROR(__xludf.DUMMYFUNCTION("""COMPUTED_VALUE"""),0.0)</f>
        <v>0</v>
      </c>
      <c r="AJ274" s="1">
        <f>IFERROR(__xludf.DUMMYFUNCTION("""COMPUTED_VALUE"""),12.0)</f>
        <v>12</v>
      </c>
      <c r="AK274" s="1">
        <f>IFERROR(__xludf.DUMMYFUNCTION("""COMPUTED_VALUE"""),5000.0)</f>
        <v>5000</v>
      </c>
      <c r="AL274" s="1">
        <f>IFERROR(__xludf.DUMMYFUNCTION("""COMPUTED_VALUE"""),12.0)</f>
        <v>12</v>
      </c>
      <c r="AM274" s="1">
        <f>IFERROR(__xludf.DUMMYFUNCTION("""COMPUTED_VALUE"""),632.599975585937)</f>
        <v>632.5999756</v>
      </c>
      <c r="AN274" s="1"/>
      <c r="AO274" s="1"/>
      <c r="AP274" s="1">
        <f>IFERROR(__xludf.DUMMYFUNCTION("""COMPUTED_VALUE"""),0.0)</f>
        <v>0</v>
      </c>
      <c r="AQ274" s="1">
        <f>IFERROR(__xludf.DUMMYFUNCTION("""COMPUTED_VALUE"""),12.0)</f>
        <v>12</v>
      </c>
      <c r="AR274" s="1">
        <f>IFERROR(__xludf.DUMMYFUNCTION("""COMPUTED_VALUE"""),5000.0)</f>
        <v>5000</v>
      </c>
      <c r="AS274" s="1">
        <f>IFERROR(__xludf.DUMMYFUNCTION("""COMPUTED_VALUE"""),13.0)</f>
        <v>13</v>
      </c>
    </row>
    <row r="275">
      <c r="A275" s="1" t="str">
        <f>IFERROR(__xludf.DUMMYFUNCTION("""COMPUTED_VALUE"""),"REA")</f>
        <v>REA</v>
      </c>
      <c r="B275" s="1"/>
      <c r="C275" s="1"/>
      <c r="D275" s="1">
        <f>IFERROR(__xludf.DUMMYFUNCTION("""COMPUTED_VALUE"""),1100.0)</f>
        <v>1100</v>
      </c>
      <c r="E275" s="1">
        <f>IFERROR(__xludf.DUMMYFUNCTION("""COMPUTED_VALUE"""),40.0)</f>
        <v>40</v>
      </c>
      <c r="F275" s="1">
        <f>IFERROR(__xludf.DUMMYFUNCTION("""COMPUTED_VALUE"""),816.0)</f>
        <v>816</v>
      </c>
      <c r="G275" s="1">
        <f>IFERROR(__xludf.DUMMYFUNCTION("""COMPUTED_VALUE"""),32124.0)</f>
        <v>32124</v>
      </c>
      <c r="H275" s="1">
        <f>IFERROR(__xludf.DUMMYFUNCTION("""COMPUTED_VALUE"""),1000.0)</f>
        <v>1000</v>
      </c>
      <c r="I275" s="1">
        <f>IFERROR(__xludf.DUMMYFUNCTION("""COMPUTED_VALUE"""),716.0)</f>
        <v>716</v>
      </c>
      <c r="J275" s="1">
        <f>IFERROR(__xludf.DUMMYFUNCTION("""COMPUTED_VALUE"""),10502.0)</f>
        <v>10502</v>
      </c>
      <c r="K275" s="1">
        <f>IFERROR(__xludf.DUMMYFUNCTION("""COMPUTED_VALUE"""),700.0)</f>
        <v>700</v>
      </c>
      <c r="L275" s="1">
        <f>IFERROR(__xludf.DUMMYFUNCTION("""COMPUTED_VALUE"""),176.0)</f>
        <v>176</v>
      </c>
      <c r="M275" s="1">
        <f>IFERROR(__xludf.DUMMYFUNCTION("""COMPUTED_VALUE"""),1300.0)</f>
        <v>1300</v>
      </c>
      <c r="N275" s="1">
        <f>IFERROR(__xludf.DUMMYFUNCTION("""COMPUTED_VALUE"""),5589.0)</f>
        <v>5589</v>
      </c>
      <c r="O275" s="1">
        <f>IFERROR(__xludf.DUMMYFUNCTION("""COMPUTED_VALUE"""),1050.0)</f>
        <v>1050</v>
      </c>
      <c r="P275" s="1">
        <f>IFERROR(__xludf.DUMMYFUNCTION("""COMPUTED_VALUE"""),700.0)</f>
        <v>700</v>
      </c>
      <c r="Q275" s="1">
        <f>IFERROR(__xludf.DUMMYFUNCTION("""COMPUTED_VALUE"""),1971.0)</f>
        <v>1971</v>
      </c>
      <c r="R275" s="1">
        <f>IFERROR(__xludf.DUMMYFUNCTION("""COMPUTED_VALUE"""),500.0)</f>
        <v>500</v>
      </c>
      <c r="S275" s="1">
        <f>IFERROR(__xludf.DUMMYFUNCTION("""COMPUTED_VALUE"""),100.0)</f>
        <v>100</v>
      </c>
      <c r="T275" s="1">
        <f>IFERROR(__xludf.DUMMYFUNCTION("""COMPUTED_VALUE"""),1000.0)</f>
        <v>1000</v>
      </c>
      <c r="U275" s="1">
        <f>IFERROR(__xludf.DUMMYFUNCTION("""COMPUTED_VALUE"""),117.0)</f>
        <v>117</v>
      </c>
      <c r="V275" s="1">
        <f>IFERROR(__xludf.DUMMYFUNCTION("""COMPUTED_VALUE"""),14.0)</f>
        <v>14</v>
      </c>
      <c r="W275" s="1">
        <f>IFERROR(__xludf.DUMMYFUNCTION("""COMPUTED_VALUE"""),500.0)</f>
        <v>500</v>
      </c>
      <c r="X275" s="1">
        <f>IFERROR(__xludf.DUMMYFUNCTION("""COMPUTED_VALUE"""),14.0)</f>
        <v>14</v>
      </c>
      <c r="Y275" s="1">
        <f>IFERROR(__xludf.DUMMYFUNCTION("""COMPUTED_VALUE"""),749.429992675781)</f>
        <v>749.4299927</v>
      </c>
      <c r="Z275" s="1">
        <f>IFERROR(__xludf.DUMMYFUNCTION("""COMPUTED_VALUE"""),181.0)</f>
        <v>181</v>
      </c>
      <c r="AA275" s="1">
        <f>IFERROR(__xludf.DUMMYFUNCTION("""COMPUTED_VALUE"""),1220.0)</f>
        <v>1220</v>
      </c>
      <c r="AB275" s="1">
        <f>IFERROR(__xludf.DUMMYFUNCTION("""COMPUTED_VALUE"""),663.0)</f>
        <v>663</v>
      </c>
      <c r="AC275" s="1">
        <f>IFERROR(__xludf.DUMMYFUNCTION("""COMPUTED_VALUE"""),1630.0)</f>
        <v>1630</v>
      </c>
      <c r="AD275" s="1">
        <f>IFERROR(__xludf.DUMMYFUNCTION("""COMPUTED_VALUE"""),710.0)</f>
        <v>710</v>
      </c>
      <c r="AE275" s="1">
        <f>IFERROR(__xludf.DUMMYFUNCTION("""COMPUTED_VALUE"""),5979.0)</f>
        <v>5979</v>
      </c>
      <c r="AF275" s="1">
        <f>IFERROR(__xludf.DUMMYFUNCTION("""COMPUTED_VALUE"""),300.0)</f>
        <v>300</v>
      </c>
      <c r="AG275" s="1">
        <f>IFERROR(__xludf.DUMMYFUNCTION("""COMPUTED_VALUE"""),600.0)</f>
        <v>600</v>
      </c>
      <c r="AH275" s="1">
        <f>IFERROR(__xludf.DUMMYFUNCTION("""COMPUTED_VALUE"""),900.0)</f>
        <v>900</v>
      </c>
      <c r="AI275" s="1">
        <f>IFERROR(__xludf.DUMMYFUNCTION("""COMPUTED_VALUE"""),600.0)</f>
        <v>600</v>
      </c>
      <c r="AJ275" s="1"/>
      <c r="AK275" s="1"/>
      <c r="AL275" s="1">
        <f>IFERROR(__xludf.DUMMYFUNCTION("""COMPUTED_VALUE"""),0.0)</f>
        <v>0</v>
      </c>
      <c r="AM275" s="1">
        <f>IFERROR(__xludf.DUMMYFUNCTION("""COMPUTED_VALUE"""),720.0)</f>
        <v>720</v>
      </c>
      <c r="AN275" s="1">
        <f>IFERROR(__xludf.DUMMYFUNCTION("""COMPUTED_VALUE"""),1591.0)</f>
        <v>1591</v>
      </c>
      <c r="AO275" s="1">
        <f>IFERROR(__xludf.DUMMYFUNCTION("""COMPUTED_VALUE"""),1190.0)</f>
        <v>1190</v>
      </c>
      <c r="AP275" s="1">
        <f>IFERROR(__xludf.DUMMYFUNCTION("""COMPUTED_VALUE"""),1591.0)</f>
        <v>1591</v>
      </c>
      <c r="AQ275" s="1">
        <f>IFERROR(__xludf.DUMMYFUNCTION("""COMPUTED_VALUE"""),982.0)</f>
        <v>982</v>
      </c>
      <c r="AR275" s="1">
        <f>IFERROR(__xludf.DUMMYFUNCTION("""COMPUTED_VALUE"""),720.0)</f>
        <v>720</v>
      </c>
      <c r="AS275" s="1">
        <f>IFERROR(__xludf.DUMMYFUNCTION("""COMPUTED_VALUE"""),2408.0)</f>
        <v>2408</v>
      </c>
    </row>
    <row r="276">
      <c r="A276" s="1" t="str">
        <f>IFERROR(__xludf.DUMMYFUNCTION("""COMPUTED_VALUE"""),"RED")</f>
        <v>RED</v>
      </c>
      <c r="B276" s="1">
        <f>IFERROR(__xludf.DUMMYFUNCTION("""COMPUTED_VALUE"""),60000.0)</f>
        <v>60000</v>
      </c>
      <c r="C276" s="1"/>
      <c r="D276" s="1">
        <f>IFERROR(__xludf.DUMMYFUNCTION("""COMPUTED_VALUE"""),60000.0)</f>
        <v>60000</v>
      </c>
      <c r="E276" s="1">
        <f>IFERROR(__xludf.DUMMYFUNCTION("""COMPUTED_VALUE"""),10.0)</f>
        <v>10</v>
      </c>
      <c r="F276" s="1">
        <f>IFERROR(__xludf.DUMMYFUNCTION("""COMPUTED_VALUE"""),70000.0)</f>
        <v>70000</v>
      </c>
      <c r="G276" s="1">
        <f>IFERROR(__xludf.DUMMYFUNCTION("""COMPUTED_VALUE"""),10.0)</f>
        <v>10</v>
      </c>
      <c r="H276" s="1">
        <f>IFERROR(__xludf.DUMMYFUNCTION("""COMPUTED_VALUE"""),100.0)</f>
        <v>100</v>
      </c>
      <c r="I276" s="1">
        <f>IFERROR(__xludf.DUMMYFUNCTION("""COMPUTED_VALUE"""),60000.0)</f>
        <v>60000</v>
      </c>
      <c r="J276" s="1">
        <f>IFERROR(__xludf.DUMMYFUNCTION("""COMPUTED_VALUE"""),100.0)</f>
        <v>100</v>
      </c>
      <c r="K276" s="1">
        <f>IFERROR(__xludf.DUMMYFUNCTION("""COMPUTED_VALUE"""),60000.0)</f>
        <v>60000</v>
      </c>
      <c r="L276" s="1">
        <f>IFERROR(__xludf.DUMMYFUNCTION("""COMPUTED_VALUE"""),5.0)</f>
        <v>5</v>
      </c>
      <c r="M276" s="1">
        <f>IFERROR(__xludf.DUMMYFUNCTION("""COMPUTED_VALUE"""),70000.0)</f>
        <v>70000</v>
      </c>
      <c r="N276" s="1">
        <f>IFERROR(__xludf.DUMMYFUNCTION("""COMPUTED_VALUE"""),5.0)</f>
        <v>5</v>
      </c>
      <c r="O276" s="1">
        <f>IFERROR(__xludf.DUMMYFUNCTION("""COMPUTED_VALUE"""),100.0)</f>
        <v>100</v>
      </c>
      <c r="P276" s="1">
        <f>IFERROR(__xludf.DUMMYFUNCTION("""COMPUTED_VALUE"""),60000.0)</f>
        <v>60000</v>
      </c>
      <c r="Q276" s="1">
        <f>IFERROR(__xludf.DUMMYFUNCTION("""COMPUTED_VALUE"""),100.0)</f>
        <v>100</v>
      </c>
      <c r="R276" s="1">
        <f>IFERROR(__xludf.DUMMYFUNCTION("""COMPUTED_VALUE"""),22411.30078125)</f>
        <v>22411.30078</v>
      </c>
      <c r="S276" s="1"/>
      <c r="T276" s="1"/>
      <c r="U276" s="1">
        <f>IFERROR(__xludf.DUMMYFUNCTION("""COMPUTED_VALUE"""),0.0)</f>
        <v>0</v>
      </c>
      <c r="V276" s="1"/>
      <c r="W276" s="1"/>
      <c r="X276" s="1">
        <f>IFERROR(__xludf.DUMMYFUNCTION("""COMPUTED_VALUE"""),0.0)</f>
        <v>0</v>
      </c>
      <c r="Y276" s="1">
        <f>IFERROR(__xludf.DUMMYFUNCTION("""COMPUTED_VALUE"""),60000.0)</f>
        <v>60000</v>
      </c>
      <c r="Z276" s="1">
        <f>IFERROR(__xludf.DUMMYFUNCTION("""COMPUTED_VALUE"""),9.0)</f>
        <v>9</v>
      </c>
      <c r="AA276" s="1">
        <f>IFERROR(__xludf.DUMMYFUNCTION("""COMPUTED_VALUE"""),61000.0)</f>
        <v>61000</v>
      </c>
      <c r="AB276" s="1">
        <f>IFERROR(__xludf.DUMMYFUNCTION("""COMPUTED_VALUE"""),56.0)</f>
        <v>56</v>
      </c>
      <c r="AC276" s="1">
        <f>IFERROR(__xludf.DUMMYFUNCTION("""COMPUTED_VALUE"""),100.0)</f>
        <v>100</v>
      </c>
      <c r="AD276" s="1">
        <f>IFERROR(__xludf.DUMMYFUNCTION("""COMPUTED_VALUE"""),60000.0)</f>
        <v>60000</v>
      </c>
      <c r="AE276" s="1">
        <f>IFERROR(__xludf.DUMMYFUNCTION("""COMPUTED_VALUE"""),100.0)</f>
        <v>100</v>
      </c>
      <c r="AF276" s="1">
        <f>IFERROR(__xludf.DUMMYFUNCTION("""COMPUTED_VALUE"""),22411.30078125)</f>
        <v>22411.30078</v>
      </c>
      <c r="AG276" s="1"/>
      <c r="AH276" s="1"/>
      <c r="AI276" s="1">
        <f>IFERROR(__xludf.DUMMYFUNCTION("""COMPUTED_VALUE"""),0.0)</f>
        <v>0</v>
      </c>
      <c r="AJ276" s="1"/>
      <c r="AK276" s="1"/>
      <c r="AL276" s="1">
        <f>IFERROR(__xludf.DUMMYFUNCTION("""COMPUTED_VALUE"""),0.0)</f>
        <v>0</v>
      </c>
      <c r="AM276" s="1">
        <f>IFERROR(__xludf.DUMMYFUNCTION("""COMPUTED_VALUE"""),60000.0)</f>
        <v>60000</v>
      </c>
      <c r="AN276" s="1"/>
      <c r="AO276" s="1"/>
      <c r="AP276" s="1">
        <f>IFERROR(__xludf.DUMMYFUNCTION("""COMPUTED_VALUE"""),0.0)</f>
        <v>0</v>
      </c>
      <c r="AQ276" s="1">
        <f>IFERROR(__xludf.DUMMYFUNCTION("""COMPUTED_VALUE"""),100.0)</f>
        <v>100</v>
      </c>
      <c r="AR276" s="1">
        <f>IFERROR(__xludf.DUMMYFUNCTION("""COMPUTED_VALUE"""),60000.0)</f>
        <v>60000</v>
      </c>
      <c r="AS276" s="1">
        <f>IFERROR(__xludf.DUMMYFUNCTION("""COMPUTED_VALUE"""),100.0)</f>
        <v>100</v>
      </c>
    </row>
    <row r="277">
      <c r="A277" s="1" t="str">
        <f>IFERROR(__xludf.DUMMYFUNCTION("""COMPUTED_VALUE"""),"REO")</f>
        <v>REO</v>
      </c>
      <c r="B277" s="1"/>
      <c r="C277" s="1"/>
      <c r="D277" s="1">
        <f>IFERROR(__xludf.DUMMYFUNCTION("""COMPUTED_VALUE"""),164.570007324218)</f>
        <v>164.5700073</v>
      </c>
      <c r="E277" s="1"/>
      <c r="F277" s="1"/>
      <c r="G277" s="1">
        <f>IFERROR(__xludf.DUMMYFUNCTION("""COMPUTED_VALUE"""),0.0)</f>
        <v>0</v>
      </c>
      <c r="H277" s="1">
        <f>IFERROR(__xludf.DUMMYFUNCTION("""COMPUTED_VALUE"""),24.0)</f>
        <v>24</v>
      </c>
      <c r="I277" s="1">
        <f>IFERROR(__xludf.DUMMYFUNCTION("""COMPUTED_VALUE"""),2000.0)</f>
        <v>2000</v>
      </c>
      <c r="J277" s="1">
        <f>IFERROR(__xludf.DUMMYFUNCTION("""COMPUTED_VALUE"""),144.0)</f>
        <v>144</v>
      </c>
      <c r="K277" s="1">
        <f>IFERROR(__xludf.DUMMYFUNCTION("""COMPUTED_VALUE"""),164.570007324218)</f>
        <v>164.5700073</v>
      </c>
      <c r="L277" s="1"/>
      <c r="M277" s="1"/>
      <c r="N277" s="1">
        <f>IFERROR(__xludf.DUMMYFUNCTION("""COMPUTED_VALUE"""),0.0)</f>
        <v>0</v>
      </c>
      <c r="O277" s="1">
        <f>IFERROR(__xludf.DUMMYFUNCTION("""COMPUTED_VALUE"""),24.0)</f>
        <v>24</v>
      </c>
      <c r="P277" s="1">
        <f>IFERROR(__xludf.DUMMYFUNCTION("""COMPUTED_VALUE"""),2000.0)</f>
        <v>2000</v>
      </c>
      <c r="Q277" s="1">
        <f>IFERROR(__xludf.DUMMYFUNCTION("""COMPUTED_VALUE"""),24.0)</f>
        <v>24</v>
      </c>
      <c r="R277" s="1">
        <f>IFERROR(__xludf.DUMMYFUNCTION("""COMPUTED_VALUE"""),164.570007324218)</f>
        <v>164.5700073</v>
      </c>
      <c r="S277" s="1"/>
      <c r="T277" s="1"/>
      <c r="U277" s="1">
        <f>IFERROR(__xludf.DUMMYFUNCTION("""COMPUTED_VALUE"""),0.0)</f>
        <v>0</v>
      </c>
      <c r="V277" s="1">
        <f>IFERROR(__xludf.DUMMYFUNCTION("""COMPUTED_VALUE"""),24.0)</f>
        <v>24</v>
      </c>
      <c r="W277" s="1">
        <f>IFERROR(__xludf.DUMMYFUNCTION("""COMPUTED_VALUE"""),1000.0)</f>
        <v>1000</v>
      </c>
      <c r="X277" s="1">
        <f>IFERROR(__xludf.DUMMYFUNCTION("""COMPUTED_VALUE"""),24.0)</f>
        <v>24</v>
      </c>
      <c r="Y277" s="1">
        <f>IFERROR(__xludf.DUMMYFUNCTION("""COMPUTED_VALUE"""),1000.0)</f>
        <v>1000</v>
      </c>
      <c r="Z277" s="1"/>
      <c r="AA277" s="1"/>
      <c r="AB277" s="1">
        <f>IFERROR(__xludf.DUMMYFUNCTION("""COMPUTED_VALUE"""),0.0)</f>
        <v>0</v>
      </c>
      <c r="AC277" s="1">
        <f>IFERROR(__xludf.DUMMYFUNCTION("""COMPUTED_VALUE"""),80.0)</f>
        <v>80</v>
      </c>
      <c r="AD277" s="1">
        <f>IFERROR(__xludf.DUMMYFUNCTION("""COMPUTED_VALUE"""),3000.0)</f>
        <v>3000</v>
      </c>
      <c r="AE277" s="1">
        <f>IFERROR(__xludf.DUMMYFUNCTION("""COMPUTED_VALUE"""),1034.0)</f>
        <v>1034</v>
      </c>
      <c r="AF277" s="1">
        <f>IFERROR(__xludf.DUMMYFUNCTION("""COMPUTED_VALUE"""),164.570007324218)</f>
        <v>164.5700073</v>
      </c>
      <c r="AG277" s="1"/>
      <c r="AH277" s="1"/>
      <c r="AI277" s="1">
        <f>IFERROR(__xludf.DUMMYFUNCTION("""COMPUTED_VALUE"""),0.0)</f>
        <v>0</v>
      </c>
      <c r="AJ277" s="1">
        <f>IFERROR(__xludf.DUMMYFUNCTION("""COMPUTED_VALUE"""),48.0)</f>
        <v>48</v>
      </c>
      <c r="AK277" s="1">
        <f>IFERROR(__xludf.DUMMYFUNCTION("""COMPUTED_VALUE"""),2000.0)</f>
        <v>2000</v>
      </c>
      <c r="AL277" s="1">
        <f>IFERROR(__xludf.DUMMYFUNCTION("""COMPUTED_VALUE"""),48.0)</f>
        <v>48</v>
      </c>
      <c r="AM277" s="1">
        <f>IFERROR(__xludf.DUMMYFUNCTION("""COMPUTED_VALUE"""),164.570007324218)</f>
        <v>164.5700073</v>
      </c>
      <c r="AN277" s="1"/>
      <c r="AO277" s="1"/>
      <c r="AP277" s="1">
        <f>IFERROR(__xludf.DUMMYFUNCTION("""COMPUTED_VALUE"""),0.0)</f>
        <v>0</v>
      </c>
      <c r="AQ277" s="1">
        <f>IFERROR(__xludf.DUMMYFUNCTION("""COMPUTED_VALUE"""),24.0)</f>
        <v>24</v>
      </c>
      <c r="AR277" s="1">
        <f>IFERROR(__xludf.DUMMYFUNCTION("""COMPUTED_VALUE"""),2000.0)</f>
        <v>2000</v>
      </c>
      <c r="AS277" s="1">
        <f>IFERROR(__xludf.DUMMYFUNCTION("""COMPUTED_VALUE"""),24.0)</f>
        <v>24</v>
      </c>
    </row>
    <row r="278">
      <c r="A278" s="1" t="str">
        <f>IFERROR(__xludf.DUMMYFUNCTION("""COMPUTED_VALUE"""),"REP")</f>
        <v>REP</v>
      </c>
      <c r="B278" s="1"/>
      <c r="C278" s="1"/>
      <c r="D278" s="1">
        <f>IFERROR(__xludf.DUMMYFUNCTION("""COMPUTED_VALUE"""),730.0)</f>
        <v>730</v>
      </c>
      <c r="E278" s="1">
        <f>IFERROR(__xludf.DUMMYFUNCTION("""COMPUTED_VALUE"""),278.0)</f>
        <v>278</v>
      </c>
      <c r="F278" s="1">
        <f>IFERROR(__xludf.DUMMYFUNCTION("""COMPUTED_VALUE"""),730.0)</f>
        <v>730</v>
      </c>
      <c r="G278" s="1">
        <f>IFERROR(__xludf.DUMMYFUNCTION("""COMPUTED_VALUE"""),20942.0)</f>
        <v>20942</v>
      </c>
      <c r="H278" s="1">
        <f>IFERROR(__xludf.DUMMYFUNCTION("""COMPUTED_VALUE"""),12.0)</f>
        <v>12</v>
      </c>
      <c r="I278" s="1">
        <f>IFERROR(__xludf.DUMMYFUNCTION("""COMPUTED_VALUE"""),729.0)</f>
        <v>729</v>
      </c>
      <c r="J278" s="1">
        <f>IFERROR(__xludf.DUMMYFUNCTION("""COMPUTED_VALUE"""),8885.0)</f>
        <v>8885</v>
      </c>
      <c r="K278" s="1">
        <f>IFERROR(__xludf.DUMMYFUNCTION("""COMPUTED_VALUE"""),719.0)</f>
        <v>719</v>
      </c>
      <c r="L278" s="1">
        <f>IFERROR(__xludf.DUMMYFUNCTION("""COMPUTED_VALUE"""),385.0)</f>
        <v>385</v>
      </c>
      <c r="M278" s="1">
        <f>IFERROR(__xludf.DUMMYFUNCTION("""COMPUTED_VALUE"""),719.0)</f>
        <v>719</v>
      </c>
      <c r="N278" s="1">
        <f>IFERROR(__xludf.DUMMYFUNCTION("""COMPUTED_VALUE"""),10770.0)</f>
        <v>10770</v>
      </c>
      <c r="O278" s="1">
        <f>IFERROR(__xludf.DUMMYFUNCTION("""COMPUTED_VALUE"""),15.0)</f>
        <v>15</v>
      </c>
      <c r="P278" s="1">
        <f>IFERROR(__xludf.DUMMYFUNCTION("""COMPUTED_VALUE"""),625.0)</f>
        <v>625</v>
      </c>
      <c r="Q278" s="1">
        <f>IFERROR(__xludf.DUMMYFUNCTION("""COMPUTED_VALUE"""),863.0)</f>
        <v>863</v>
      </c>
      <c r="R278" s="1">
        <f>IFERROR(__xludf.DUMMYFUNCTION("""COMPUTED_VALUE"""),700.0)</f>
        <v>700</v>
      </c>
      <c r="S278" s="1">
        <f>IFERROR(__xludf.DUMMYFUNCTION("""COMPUTED_VALUE"""),65.0)</f>
        <v>65</v>
      </c>
      <c r="T278" s="1">
        <f>IFERROR(__xludf.DUMMYFUNCTION("""COMPUTED_VALUE"""),700.0)</f>
        <v>700</v>
      </c>
      <c r="U278" s="1">
        <f>IFERROR(__xludf.DUMMYFUNCTION("""COMPUTED_VALUE"""),715.0)</f>
        <v>715</v>
      </c>
      <c r="V278" s="1"/>
      <c r="W278" s="1"/>
      <c r="X278" s="1">
        <f>IFERROR(__xludf.DUMMYFUNCTION("""COMPUTED_VALUE"""),0.0)</f>
        <v>0</v>
      </c>
      <c r="Y278" s="1">
        <f>IFERROR(__xludf.DUMMYFUNCTION("""COMPUTED_VALUE"""),744.0)</f>
        <v>744</v>
      </c>
      <c r="Z278" s="1">
        <f>IFERROR(__xludf.DUMMYFUNCTION("""COMPUTED_VALUE"""),162.0)</f>
        <v>162</v>
      </c>
      <c r="AA278" s="1">
        <f>IFERROR(__xludf.DUMMYFUNCTION("""COMPUTED_VALUE"""),744.0)</f>
        <v>744</v>
      </c>
      <c r="AB278" s="1">
        <f>IFERROR(__xludf.DUMMYFUNCTION("""COMPUTED_VALUE"""),20941.0)</f>
        <v>20941</v>
      </c>
      <c r="AC278" s="1">
        <f>IFERROR(__xludf.DUMMYFUNCTION("""COMPUTED_VALUE"""),10.0)</f>
        <v>10</v>
      </c>
      <c r="AD278" s="1">
        <f>IFERROR(__xludf.DUMMYFUNCTION("""COMPUTED_VALUE"""),722.0)</f>
        <v>722</v>
      </c>
      <c r="AE278" s="1">
        <f>IFERROR(__xludf.DUMMYFUNCTION("""COMPUTED_VALUE"""),7285.0)</f>
        <v>7285</v>
      </c>
      <c r="AF278" s="1">
        <f>IFERROR(__xludf.DUMMYFUNCTION("""COMPUTED_VALUE"""),800.0)</f>
        <v>800</v>
      </c>
      <c r="AG278" s="1">
        <f>IFERROR(__xludf.DUMMYFUNCTION("""COMPUTED_VALUE"""),44.0)</f>
        <v>44</v>
      </c>
      <c r="AH278" s="1">
        <f>IFERROR(__xludf.DUMMYFUNCTION("""COMPUTED_VALUE"""),800.0)</f>
        <v>800</v>
      </c>
      <c r="AI278" s="1">
        <f>IFERROR(__xludf.DUMMYFUNCTION("""COMPUTED_VALUE"""),1044.0)</f>
        <v>1044</v>
      </c>
      <c r="AJ278" s="1">
        <f>IFERROR(__xludf.DUMMYFUNCTION("""COMPUTED_VALUE"""),43.0)</f>
        <v>43</v>
      </c>
      <c r="AK278" s="1">
        <f>IFERROR(__xludf.DUMMYFUNCTION("""COMPUTED_VALUE"""),600.0)</f>
        <v>600</v>
      </c>
      <c r="AL278" s="1">
        <f>IFERROR(__xludf.DUMMYFUNCTION("""COMPUTED_VALUE"""),43.0)</f>
        <v>43</v>
      </c>
      <c r="AM278" s="1">
        <f>IFERROR(__xludf.DUMMYFUNCTION("""COMPUTED_VALUE"""),748.0)</f>
        <v>748</v>
      </c>
      <c r="AN278" s="1">
        <f>IFERROR(__xludf.DUMMYFUNCTION("""COMPUTED_VALUE"""),436.0)</f>
        <v>436</v>
      </c>
      <c r="AO278" s="1">
        <f>IFERROR(__xludf.DUMMYFUNCTION("""COMPUTED_VALUE"""),748.0)</f>
        <v>748</v>
      </c>
      <c r="AP278" s="1">
        <f>IFERROR(__xludf.DUMMYFUNCTION("""COMPUTED_VALUE"""),16728.0)</f>
        <v>16728</v>
      </c>
      <c r="AQ278" s="1">
        <f>IFERROR(__xludf.DUMMYFUNCTION("""COMPUTED_VALUE"""),3.0)</f>
        <v>3</v>
      </c>
      <c r="AR278" s="1">
        <f>IFERROR(__xludf.DUMMYFUNCTION("""COMPUTED_VALUE"""),695.0)</f>
        <v>695</v>
      </c>
      <c r="AS278" s="1">
        <f>IFERROR(__xludf.DUMMYFUNCTION("""COMPUTED_VALUE"""),3690.0)</f>
        <v>3690</v>
      </c>
    </row>
    <row r="279">
      <c r="A279" s="1" t="str">
        <f>IFERROR(__xludf.DUMMYFUNCTION("""COMPUTED_VALUE"""),"RG")</f>
        <v>RG</v>
      </c>
      <c r="B279" s="1"/>
      <c r="C279" s="1"/>
      <c r="D279" s="1">
        <f>IFERROR(__xludf.DUMMYFUNCTION("""COMPUTED_VALUE"""),1647.65002441406)</f>
        <v>1647.650024</v>
      </c>
      <c r="E279" s="1">
        <f>IFERROR(__xludf.DUMMYFUNCTION("""COMPUTED_VALUE"""),500.0)</f>
        <v>500</v>
      </c>
      <c r="F279" s="1">
        <f>IFERROR(__xludf.DUMMYFUNCTION("""COMPUTED_VALUE"""),1500.0)</f>
        <v>1500</v>
      </c>
      <c r="G279" s="1">
        <f>IFERROR(__xludf.DUMMYFUNCTION("""COMPUTED_VALUE"""),3899.0)</f>
        <v>3899</v>
      </c>
      <c r="H279" s="1">
        <f>IFERROR(__xludf.DUMMYFUNCTION("""COMPUTED_VALUE"""),500.0)</f>
        <v>500</v>
      </c>
      <c r="I279" s="1">
        <f>IFERROR(__xludf.DUMMYFUNCTION("""COMPUTED_VALUE"""),1240.0)</f>
        <v>1240</v>
      </c>
      <c r="J279" s="1">
        <f>IFERROR(__xludf.DUMMYFUNCTION("""COMPUTED_VALUE"""),11122.0)</f>
        <v>11122</v>
      </c>
      <c r="K279" s="1">
        <f>IFERROR(__xludf.DUMMYFUNCTION("""COMPUTED_VALUE"""),2250.0)</f>
        <v>2250</v>
      </c>
      <c r="L279" s="1">
        <f>IFERROR(__xludf.DUMMYFUNCTION("""COMPUTED_VALUE"""),3555.0)</f>
        <v>3555</v>
      </c>
      <c r="M279" s="1">
        <f>IFERROR(__xludf.DUMMYFUNCTION("""COMPUTED_VALUE"""),2250.0)</f>
        <v>2250</v>
      </c>
      <c r="N279" s="1">
        <f>IFERROR(__xludf.DUMMYFUNCTION("""COMPUTED_VALUE"""),3672.0)</f>
        <v>3672</v>
      </c>
      <c r="O279" s="1">
        <f>IFERROR(__xludf.DUMMYFUNCTION("""COMPUTED_VALUE"""),12.0)</f>
        <v>12</v>
      </c>
      <c r="P279" s="1">
        <f>IFERROR(__xludf.DUMMYFUNCTION("""COMPUTED_VALUE"""),1600.0)</f>
        <v>1600</v>
      </c>
      <c r="Q279" s="1">
        <f>IFERROR(__xludf.DUMMYFUNCTION("""COMPUTED_VALUE"""),1027.0)</f>
        <v>1027</v>
      </c>
      <c r="R279" s="1">
        <f>IFERROR(__xludf.DUMMYFUNCTION("""COMPUTED_VALUE"""),1200.0)</f>
        <v>1200</v>
      </c>
      <c r="S279" s="1"/>
      <c r="T279" s="1"/>
      <c r="U279" s="1">
        <f>IFERROR(__xludf.DUMMYFUNCTION("""COMPUTED_VALUE"""),0.0)</f>
        <v>0</v>
      </c>
      <c r="V279" s="1"/>
      <c r="W279" s="1"/>
      <c r="X279" s="1">
        <f>IFERROR(__xludf.DUMMYFUNCTION("""COMPUTED_VALUE"""),0.0)</f>
        <v>0</v>
      </c>
      <c r="Y279" s="1">
        <f>IFERROR(__xludf.DUMMYFUNCTION("""COMPUTED_VALUE"""),1300.0)</f>
        <v>1300</v>
      </c>
      <c r="Z279" s="1">
        <f>IFERROR(__xludf.DUMMYFUNCTION("""COMPUTED_VALUE"""),135.0)</f>
        <v>135</v>
      </c>
      <c r="AA279" s="1">
        <f>IFERROR(__xludf.DUMMYFUNCTION("""COMPUTED_VALUE"""),1300.0)</f>
        <v>1300</v>
      </c>
      <c r="AB279" s="1">
        <f>IFERROR(__xludf.DUMMYFUNCTION("""COMPUTED_VALUE"""),21992.0)</f>
        <v>21992</v>
      </c>
      <c r="AC279" s="1">
        <f>IFERROR(__xludf.DUMMYFUNCTION("""COMPUTED_VALUE"""),500.0)</f>
        <v>500</v>
      </c>
      <c r="AD279" s="1">
        <f>IFERROR(__xludf.DUMMYFUNCTION("""COMPUTED_VALUE"""),1170.0)</f>
        <v>1170</v>
      </c>
      <c r="AE279" s="1">
        <f>IFERROR(__xludf.DUMMYFUNCTION("""COMPUTED_VALUE"""),10562.0)</f>
        <v>10562</v>
      </c>
      <c r="AF279" s="1">
        <f>IFERROR(__xludf.DUMMYFUNCTION("""COMPUTED_VALUE"""),863.190002441406)</f>
        <v>863.1900024</v>
      </c>
      <c r="AG279" s="1">
        <f>IFERROR(__xludf.DUMMYFUNCTION("""COMPUTED_VALUE"""),160.0)</f>
        <v>160</v>
      </c>
      <c r="AH279" s="1">
        <f>IFERROR(__xludf.DUMMYFUNCTION("""COMPUTED_VALUE"""),900.0)</f>
        <v>900</v>
      </c>
      <c r="AI279" s="1">
        <f>IFERROR(__xludf.DUMMYFUNCTION("""COMPUTED_VALUE"""),520.0)</f>
        <v>520</v>
      </c>
      <c r="AJ279" s="1"/>
      <c r="AK279" s="1"/>
      <c r="AL279" s="1">
        <f>IFERROR(__xludf.DUMMYFUNCTION("""COMPUTED_VALUE"""),0.0)</f>
        <v>0</v>
      </c>
      <c r="AM279" s="1">
        <f>IFERROR(__xludf.DUMMYFUNCTION("""COMPUTED_VALUE"""),1400.0)</f>
        <v>1400</v>
      </c>
      <c r="AN279" s="1">
        <f>IFERROR(__xludf.DUMMYFUNCTION("""COMPUTED_VALUE"""),10.0)</f>
        <v>10</v>
      </c>
      <c r="AO279" s="1">
        <f>IFERROR(__xludf.DUMMYFUNCTION("""COMPUTED_VALUE"""),1300.0)</f>
        <v>1300</v>
      </c>
      <c r="AP279" s="1">
        <f>IFERROR(__xludf.DUMMYFUNCTION("""COMPUTED_VALUE"""),4872.0)</f>
        <v>4872</v>
      </c>
      <c r="AQ279" s="1">
        <f>IFERROR(__xludf.DUMMYFUNCTION("""COMPUTED_VALUE"""),386.0)</f>
        <v>386</v>
      </c>
      <c r="AR279" s="1">
        <f>IFERROR(__xludf.DUMMYFUNCTION("""COMPUTED_VALUE"""),1150.0)</f>
        <v>1150</v>
      </c>
      <c r="AS279" s="1">
        <f>IFERROR(__xludf.DUMMYFUNCTION("""COMPUTED_VALUE"""),1874.0)</f>
        <v>1874</v>
      </c>
    </row>
    <row r="280">
      <c r="A280" s="1" t="str">
        <f>IFERROR(__xludf.DUMMYFUNCTION("""COMPUTED_VALUE"""),"RGO")</f>
        <v>RGO</v>
      </c>
      <c r="B280" s="1"/>
      <c r="C280" s="1"/>
      <c r="D280" s="1">
        <f>IFERROR(__xludf.DUMMYFUNCTION("""COMPUTED_VALUE"""),2490.0)</f>
        <v>2490</v>
      </c>
      <c r="E280" s="1">
        <f>IFERROR(__xludf.DUMMYFUNCTION("""COMPUTED_VALUE"""),2.0)</f>
        <v>2</v>
      </c>
      <c r="F280" s="1">
        <f>IFERROR(__xludf.DUMMYFUNCTION("""COMPUTED_VALUE"""),2480.0)</f>
        <v>2480</v>
      </c>
      <c r="G280" s="1">
        <f>IFERROR(__xludf.DUMMYFUNCTION("""COMPUTED_VALUE"""),169.0)</f>
        <v>169</v>
      </c>
      <c r="H280" s="1">
        <f>IFERROR(__xludf.DUMMYFUNCTION("""COMPUTED_VALUE"""),315.0)</f>
        <v>315</v>
      </c>
      <c r="I280" s="1">
        <f>IFERROR(__xludf.DUMMYFUNCTION("""COMPUTED_VALUE"""),1800.0)</f>
        <v>1800</v>
      </c>
      <c r="J280" s="1">
        <f>IFERROR(__xludf.DUMMYFUNCTION("""COMPUTED_VALUE"""),365.0)</f>
        <v>365</v>
      </c>
      <c r="K280" s="1">
        <f>IFERROR(__xludf.DUMMYFUNCTION("""COMPUTED_VALUE"""),2240.0)</f>
        <v>2240</v>
      </c>
      <c r="L280" s="1">
        <f>IFERROR(__xludf.DUMMYFUNCTION("""COMPUTED_VALUE"""),183.0)</f>
        <v>183</v>
      </c>
      <c r="M280" s="1">
        <f>IFERROR(__xludf.DUMMYFUNCTION("""COMPUTED_VALUE"""),2240.0)</f>
        <v>2240</v>
      </c>
      <c r="N280" s="1">
        <f>IFERROR(__xludf.DUMMYFUNCTION("""COMPUTED_VALUE"""),313.0)</f>
        <v>313</v>
      </c>
      <c r="O280" s="1">
        <f>IFERROR(__xludf.DUMMYFUNCTION("""COMPUTED_VALUE"""),100.0)</f>
        <v>100</v>
      </c>
      <c r="P280" s="1">
        <f>IFERROR(__xludf.DUMMYFUNCTION("""COMPUTED_VALUE"""),1210.0)</f>
        <v>1210</v>
      </c>
      <c r="Q280" s="1">
        <f>IFERROR(__xludf.DUMMYFUNCTION("""COMPUTED_VALUE"""),554.0)</f>
        <v>554</v>
      </c>
      <c r="R280" s="1">
        <f>IFERROR(__xludf.DUMMYFUNCTION("""COMPUTED_VALUE"""),794.650024414062)</f>
        <v>794.6500244</v>
      </c>
      <c r="S280" s="1"/>
      <c r="T280" s="1"/>
      <c r="U280" s="1">
        <f>IFERROR(__xludf.DUMMYFUNCTION("""COMPUTED_VALUE"""),0.0)</f>
        <v>0</v>
      </c>
      <c r="V280" s="1"/>
      <c r="W280" s="1"/>
      <c r="X280" s="1">
        <f>IFERROR(__xludf.DUMMYFUNCTION("""COMPUTED_VALUE"""),0.0)</f>
        <v>0</v>
      </c>
      <c r="Y280" s="1">
        <f>IFERROR(__xludf.DUMMYFUNCTION("""COMPUTED_VALUE"""),1600.0)</f>
        <v>1600</v>
      </c>
      <c r="Z280" s="1">
        <f>IFERROR(__xludf.DUMMYFUNCTION("""COMPUTED_VALUE"""),25.0)</f>
        <v>25</v>
      </c>
      <c r="AA280" s="1">
        <f>IFERROR(__xludf.DUMMYFUNCTION("""COMPUTED_VALUE"""),2000.0)</f>
        <v>2000</v>
      </c>
      <c r="AB280" s="1">
        <f>IFERROR(__xludf.DUMMYFUNCTION("""COMPUTED_VALUE"""),4035.0)</f>
        <v>4035</v>
      </c>
      <c r="AC280" s="1">
        <f>IFERROR(__xludf.DUMMYFUNCTION("""COMPUTED_VALUE"""),190.0)</f>
        <v>190</v>
      </c>
      <c r="AD280" s="1">
        <f>IFERROR(__xludf.DUMMYFUNCTION("""COMPUTED_VALUE"""),1600.0)</f>
        <v>1600</v>
      </c>
      <c r="AE280" s="1">
        <f>IFERROR(__xludf.DUMMYFUNCTION("""COMPUTED_VALUE"""),489.0)</f>
        <v>489</v>
      </c>
      <c r="AF280" s="1">
        <f>IFERROR(__xludf.DUMMYFUNCTION("""COMPUTED_VALUE"""),794.650024414062)</f>
        <v>794.6500244</v>
      </c>
      <c r="AG280" s="1"/>
      <c r="AH280" s="1"/>
      <c r="AI280" s="1">
        <f>IFERROR(__xludf.DUMMYFUNCTION("""COMPUTED_VALUE"""),0.0)</f>
        <v>0</v>
      </c>
      <c r="AJ280" s="1"/>
      <c r="AK280" s="1"/>
      <c r="AL280" s="1">
        <f>IFERROR(__xludf.DUMMYFUNCTION("""COMPUTED_VALUE"""),0.0)</f>
        <v>0</v>
      </c>
      <c r="AM280" s="1">
        <f>IFERROR(__xludf.DUMMYFUNCTION("""COMPUTED_VALUE"""),1800.0)</f>
        <v>1800</v>
      </c>
      <c r="AN280" s="1">
        <f>IFERROR(__xludf.DUMMYFUNCTION("""COMPUTED_VALUE"""),39.0)</f>
        <v>39</v>
      </c>
      <c r="AO280" s="1">
        <f>IFERROR(__xludf.DUMMYFUNCTION("""COMPUTED_VALUE"""),1800.0)</f>
        <v>1800</v>
      </c>
      <c r="AP280" s="1">
        <f>IFERROR(__xludf.DUMMYFUNCTION("""COMPUTED_VALUE"""),172.0)</f>
        <v>172</v>
      </c>
      <c r="AQ280" s="1">
        <f>IFERROR(__xludf.DUMMYFUNCTION("""COMPUTED_VALUE"""),100.0)</f>
        <v>100</v>
      </c>
      <c r="AR280" s="1">
        <f>IFERROR(__xludf.DUMMYFUNCTION("""COMPUTED_VALUE"""),1010.0)</f>
        <v>1010</v>
      </c>
      <c r="AS280" s="1">
        <f>IFERROR(__xludf.DUMMYFUNCTION("""COMPUTED_VALUE"""),177.0)</f>
        <v>177</v>
      </c>
    </row>
    <row r="281">
      <c r="A281" s="1" t="str">
        <f>IFERROR(__xludf.DUMMYFUNCTION("""COMPUTED_VALUE"""),"RHP")</f>
        <v>RHP</v>
      </c>
      <c r="B281" s="1"/>
      <c r="C281" s="1"/>
      <c r="D281" s="1">
        <f>IFERROR(__xludf.DUMMYFUNCTION("""COMPUTED_VALUE"""),3400.0)</f>
        <v>3400</v>
      </c>
      <c r="E281" s="1">
        <f>IFERROR(__xludf.DUMMYFUNCTION("""COMPUTED_VALUE"""),20.0)</f>
        <v>20</v>
      </c>
      <c r="F281" s="1">
        <f>IFERROR(__xludf.DUMMYFUNCTION("""COMPUTED_VALUE"""),4490.0)</f>
        <v>4490</v>
      </c>
      <c r="G281" s="1">
        <f>IFERROR(__xludf.DUMMYFUNCTION("""COMPUTED_VALUE"""),620.0)</f>
        <v>620</v>
      </c>
      <c r="H281" s="1"/>
      <c r="I281" s="1"/>
      <c r="J281" s="1">
        <f>IFERROR(__xludf.DUMMYFUNCTION("""COMPUTED_VALUE"""),0.0)</f>
        <v>0</v>
      </c>
      <c r="K281" s="1">
        <f>IFERROR(__xludf.DUMMYFUNCTION("""COMPUTED_VALUE"""),4650.0)</f>
        <v>4650</v>
      </c>
      <c r="L281" s="1">
        <f>IFERROR(__xludf.DUMMYFUNCTION("""COMPUTED_VALUE"""),21.0)</f>
        <v>21</v>
      </c>
      <c r="M281" s="1">
        <f>IFERROR(__xludf.DUMMYFUNCTION("""COMPUTED_VALUE"""),4650.0)</f>
        <v>4650</v>
      </c>
      <c r="N281" s="1">
        <f>IFERROR(__xludf.DUMMYFUNCTION("""COMPUTED_VALUE"""),377.0)</f>
        <v>377</v>
      </c>
      <c r="O281" s="1"/>
      <c r="P281" s="1"/>
      <c r="Q281" s="1">
        <f>IFERROR(__xludf.DUMMYFUNCTION("""COMPUTED_VALUE"""),0.0)</f>
        <v>0</v>
      </c>
      <c r="R281" s="1">
        <f>IFERROR(__xludf.DUMMYFUNCTION("""COMPUTED_VALUE"""),2691.98999023437)</f>
        <v>2691.98999</v>
      </c>
      <c r="S281" s="1"/>
      <c r="T281" s="1"/>
      <c r="U281" s="1">
        <f>IFERROR(__xludf.DUMMYFUNCTION("""COMPUTED_VALUE"""),0.0)</f>
        <v>0</v>
      </c>
      <c r="V281" s="1"/>
      <c r="W281" s="1"/>
      <c r="X281" s="1">
        <f>IFERROR(__xludf.DUMMYFUNCTION("""COMPUTED_VALUE"""),0.0)</f>
        <v>0</v>
      </c>
      <c r="Y281" s="1">
        <f>IFERROR(__xludf.DUMMYFUNCTION("""COMPUTED_VALUE"""),6400.0)</f>
        <v>6400</v>
      </c>
      <c r="Z281" s="1">
        <f>IFERROR(__xludf.DUMMYFUNCTION("""COMPUTED_VALUE"""),80.0)</f>
        <v>80</v>
      </c>
      <c r="AA281" s="1">
        <f>IFERROR(__xludf.DUMMYFUNCTION("""COMPUTED_VALUE"""),5400.0)</f>
        <v>5400</v>
      </c>
      <c r="AB281" s="1">
        <f>IFERROR(__xludf.DUMMYFUNCTION("""COMPUTED_VALUE"""),389.0)</f>
        <v>389</v>
      </c>
      <c r="AC281" s="1"/>
      <c r="AD281" s="1"/>
      <c r="AE281" s="1">
        <f>IFERROR(__xludf.DUMMYFUNCTION("""COMPUTED_VALUE"""),0.0)</f>
        <v>0</v>
      </c>
      <c r="AF281" s="1">
        <f>IFERROR(__xludf.DUMMYFUNCTION("""COMPUTED_VALUE"""),2691.98999023437)</f>
        <v>2691.98999</v>
      </c>
      <c r="AG281" s="1"/>
      <c r="AH281" s="1"/>
      <c r="AI281" s="1">
        <f>IFERROR(__xludf.DUMMYFUNCTION("""COMPUTED_VALUE"""),0.0)</f>
        <v>0</v>
      </c>
      <c r="AJ281" s="1"/>
      <c r="AK281" s="1"/>
      <c r="AL281" s="1">
        <f>IFERROR(__xludf.DUMMYFUNCTION("""COMPUTED_VALUE"""),0.0)</f>
        <v>0</v>
      </c>
      <c r="AM281" s="1">
        <f>IFERROR(__xludf.DUMMYFUNCTION("""COMPUTED_VALUE"""),5800.0)</f>
        <v>5800</v>
      </c>
      <c r="AN281" s="1">
        <f>IFERROR(__xludf.DUMMYFUNCTION("""COMPUTED_VALUE"""),102.0)</f>
        <v>102</v>
      </c>
      <c r="AO281" s="1">
        <f>IFERROR(__xludf.DUMMYFUNCTION("""COMPUTED_VALUE"""),5800.0)</f>
        <v>5800</v>
      </c>
      <c r="AP281" s="1">
        <f>IFERROR(__xludf.DUMMYFUNCTION("""COMPUTED_VALUE"""),220.0)</f>
        <v>220</v>
      </c>
      <c r="AQ281" s="1"/>
      <c r="AR281" s="1"/>
      <c r="AS281" s="1">
        <f>IFERROR(__xludf.DUMMYFUNCTION("""COMPUTED_VALUE"""),0.0)</f>
        <v>0</v>
      </c>
    </row>
    <row r="282">
      <c r="A282" s="1" t="str">
        <f>IFERROR(__xludf.DUMMYFUNCTION("""COMPUTED_VALUE"""),"ROM")</f>
        <v>ROM</v>
      </c>
      <c r="B282" s="1"/>
      <c r="C282" s="1"/>
      <c r="D282" s="1">
        <f>IFERROR(__xludf.DUMMYFUNCTION("""COMPUTED_VALUE"""),4300.0)</f>
        <v>4300</v>
      </c>
      <c r="E282" s="1">
        <f>IFERROR(__xludf.DUMMYFUNCTION("""COMPUTED_VALUE"""),40.0)</f>
        <v>40</v>
      </c>
      <c r="F282" s="1">
        <f>IFERROR(__xludf.DUMMYFUNCTION("""COMPUTED_VALUE"""),4590.0)</f>
        <v>4590</v>
      </c>
      <c r="G282" s="1">
        <f>IFERROR(__xludf.DUMMYFUNCTION("""COMPUTED_VALUE"""),1911.0)</f>
        <v>1911</v>
      </c>
      <c r="H282" s="1">
        <f>IFERROR(__xludf.DUMMYFUNCTION("""COMPUTED_VALUE"""),5.0)</f>
        <v>5</v>
      </c>
      <c r="I282" s="1">
        <f>IFERROR(__xludf.DUMMYFUNCTION("""COMPUTED_VALUE"""),4300.0)</f>
        <v>4300</v>
      </c>
      <c r="J282" s="1">
        <f>IFERROR(__xludf.DUMMYFUNCTION("""COMPUTED_VALUE"""),1083.0)</f>
        <v>1083</v>
      </c>
      <c r="K282" s="1">
        <f>IFERROR(__xludf.DUMMYFUNCTION("""COMPUTED_VALUE"""),4700.0)</f>
        <v>4700</v>
      </c>
      <c r="L282" s="1">
        <f>IFERROR(__xludf.DUMMYFUNCTION("""COMPUTED_VALUE"""),500.0)</f>
        <v>500</v>
      </c>
      <c r="M282" s="1">
        <f>IFERROR(__xludf.DUMMYFUNCTION("""COMPUTED_VALUE"""),4750.0)</f>
        <v>4750</v>
      </c>
      <c r="N282" s="1">
        <f>IFERROR(__xludf.DUMMYFUNCTION("""COMPUTED_VALUE"""),500.0)</f>
        <v>500</v>
      </c>
      <c r="O282" s="1">
        <f>IFERROR(__xludf.DUMMYFUNCTION("""COMPUTED_VALUE"""),55.0)</f>
        <v>55</v>
      </c>
      <c r="P282" s="1">
        <f>IFERROR(__xludf.DUMMYFUNCTION("""COMPUTED_VALUE"""),4700.0)</f>
        <v>4700</v>
      </c>
      <c r="Q282" s="1">
        <f>IFERROR(__xludf.DUMMYFUNCTION("""COMPUTED_VALUE"""),225.0)</f>
        <v>225</v>
      </c>
      <c r="R282" s="1">
        <f>IFERROR(__xludf.DUMMYFUNCTION("""COMPUTED_VALUE"""),1901.5400390625)</f>
        <v>1901.540039</v>
      </c>
      <c r="S282" s="1"/>
      <c r="T282" s="1"/>
      <c r="U282" s="1">
        <f>IFERROR(__xludf.DUMMYFUNCTION("""COMPUTED_VALUE"""),0.0)</f>
        <v>0</v>
      </c>
      <c r="V282" s="1"/>
      <c r="W282" s="1"/>
      <c r="X282" s="1">
        <f>IFERROR(__xludf.DUMMYFUNCTION("""COMPUTED_VALUE"""),0.0)</f>
        <v>0</v>
      </c>
      <c r="Y282" s="1">
        <f>IFERROR(__xludf.DUMMYFUNCTION("""COMPUTED_VALUE"""),4390.0)</f>
        <v>4390</v>
      </c>
      <c r="Z282" s="1">
        <f>IFERROR(__xludf.DUMMYFUNCTION("""COMPUTED_VALUE"""),117.0)</f>
        <v>117</v>
      </c>
      <c r="AA282" s="1">
        <f>IFERROR(__xludf.DUMMYFUNCTION("""COMPUTED_VALUE"""),4390.0)</f>
        <v>4390</v>
      </c>
      <c r="AB282" s="1">
        <f>IFERROR(__xludf.DUMMYFUNCTION("""COMPUTED_VALUE"""),1371.0)</f>
        <v>1371</v>
      </c>
      <c r="AC282" s="1">
        <f>IFERROR(__xludf.DUMMYFUNCTION("""COMPUTED_VALUE"""),40.0)</f>
        <v>40</v>
      </c>
      <c r="AD282" s="1">
        <f>IFERROR(__xludf.DUMMYFUNCTION("""COMPUTED_VALUE"""),4040.0)</f>
        <v>4040</v>
      </c>
      <c r="AE282" s="1">
        <f>IFERROR(__xludf.DUMMYFUNCTION("""COMPUTED_VALUE"""),1239.0)</f>
        <v>1239</v>
      </c>
      <c r="AF282" s="1">
        <f>IFERROR(__xludf.DUMMYFUNCTION("""COMPUTED_VALUE"""),1901.5400390625)</f>
        <v>1901.540039</v>
      </c>
      <c r="AG282" s="1">
        <f>IFERROR(__xludf.DUMMYFUNCTION("""COMPUTED_VALUE"""),10.0)</f>
        <v>10</v>
      </c>
      <c r="AH282" s="1">
        <f>IFERROR(__xludf.DUMMYFUNCTION("""COMPUTED_VALUE"""),4500.0)</f>
        <v>4500</v>
      </c>
      <c r="AI282" s="1">
        <f>IFERROR(__xludf.DUMMYFUNCTION("""COMPUTED_VALUE"""),40.0)</f>
        <v>40</v>
      </c>
      <c r="AJ282" s="1"/>
      <c r="AK282" s="1"/>
      <c r="AL282" s="1">
        <f>IFERROR(__xludf.DUMMYFUNCTION("""COMPUTED_VALUE"""),0.0)</f>
        <v>0</v>
      </c>
      <c r="AM282" s="1">
        <f>IFERROR(__xludf.DUMMYFUNCTION("""COMPUTED_VALUE"""),7000.0)</f>
        <v>7000</v>
      </c>
      <c r="AN282" s="1">
        <f>IFERROR(__xludf.DUMMYFUNCTION("""COMPUTED_VALUE"""),33.0)</f>
        <v>33</v>
      </c>
      <c r="AO282" s="1">
        <f>IFERROR(__xludf.DUMMYFUNCTION("""COMPUTED_VALUE"""),5000.0)</f>
        <v>5000</v>
      </c>
      <c r="AP282" s="1">
        <f>IFERROR(__xludf.DUMMYFUNCTION("""COMPUTED_VALUE"""),335.0)</f>
        <v>335</v>
      </c>
      <c r="AQ282" s="1"/>
      <c r="AR282" s="1"/>
      <c r="AS282" s="1">
        <f>IFERROR(__xludf.DUMMYFUNCTION("""COMPUTED_VALUE"""),0.0)</f>
        <v>0</v>
      </c>
    </row>
    <row r="283">
      <c r="A283" s="1" t="str">
        <f>IFERROR(__xludf.DUMMYFUNCTION("""COMPUTED_VALUE"""),"RSE")</f>
        <v>RSE</v>
      </c>
      <c r="B283" s="1"/>
      <c r="C283" s="1"/>
      <c r="D283" s="1">
        <f>IFERROR(__xludf.DUMMYFUNCTION("""COMPUTED_VALUE"""),26000.0)</f>
        <v>26000</v>
      </c>
      <c r="E283" s="1">
        <f>IFERROR(__xludf.DUMMYFUNCTION("""COMPUTED_VALUE"""),23.0)</f>
        <v>23</v>
      </c>
      <c r="F283" s="1">
        <f>IFERROR(__xludf.DUMMYFUNCTION("""COMPUTED_VALUE"""),26000.0)</f>
        <v>26000</v>
      </c>
      <c r="G283" s="1">
        <f>IFERROR(__xludf.DUMMYFUNCTION("""COMPUTED_VALUE"""),2419.0)</f>
        <v>2419</v>
      </c>
      <c r="H283" s="1">
        <f>IFERROR(__xludf.DUMMYFUNCTION("""COMPUTED_VALUE"""),4.0)</f>
        <v>4</v>
      </c>
      <c r="I283" s="1">
        <f>IFERROR(__xludf.DUMMYFUNCTION("""COMPUTED_VALUE"""),24500.0)</f>
        <v>24500</v>
      </c>
      <c r="J283" s="1">
        <f>IFERROR(__xludf.DUMMYFUNCTION("""COMPUTED_VALUE"""),757.0)</f>
        <v>757</v>
      </c>
      <c r="K283" s="1">
        <f>IFERROR(__xludf.DUMMYFUNCTION("""COMPUTED_VALUE"""),25700.0)</f>
        <v>25700</v>
      </c>
      <c r="L283" s="1">
        <f>IFERROR(__xludf.DUMMYFUNCTION("""COMPUTED_VALUE"""),133.0)</f>
        <v>133</v>
      </c>
      <c r="M283" s="1">
        <f>IFERROR(__xludf.DUMMYFUNCTION("""COMPUTED_VALUE"""),25400.0)</f>
        <v>25400</v>
      </c>
      <c r="N283" s="1">
        <f>IFERROR(__xludf.DUMMYFUNCTION("""COMPUTED_VALUE"""),742.0)</f>
        <v>742</v>
      </c>
      <c r="O283" s="1">
        <f>IFERROR(__xludf.DUMMYFUNCTION("""COMPUTED_VALUE"""),17.0)</f>
        <v>17</v>
      </c>
      <c r="P283" s="1">
        <f>IFERROR(__xludf.DUMMYFUNCTION("""COMPUTED_VALUE"""),24000.0)</f>
        <v>24000</v>
      </c>
      <c r="Q283" s="1">
        <f>IFERROR(__xludf.DUMMYFUNCTION("""COMPUTED_VALUE"""),227.0)</f>
        <v>227</v>
      </c>
      <c r="R283" s="1">
        <f>IFERROR(__xludf.DUMMYFUNCTION("""COMPUTED_VALUE"""),25000.0)</f>
        <v>25000</v>
      </c>
      <c r="S283" s="1"/>
      <c r="T283" s="1"/>
      <c r="U283" s="1">
        <f>IFERROR(__xludf.DUMMYFUNCTION("""COMPUTED_VALUE"""),0.0)</f>
        <v>0</v>
      </c>
      <c r="V283" s="1"/>
      <c r="W283" s="1"/>
      <c r="X283" s="1">
        <f>IFERROR(__xludf.DUMMYFUNCTION("""COMPUTED_VALUE"""),0.0)</f>
        <v>0</v>
      </c>
      <c r="Y283" s="1">
        <f>IFERROR(__xludf.DUMMYFUNCTION("""COMPUTED_VALUE"""),25000.0)</f>
        <v>25000</v>
      </c>
      <c r="Z283" s="1">
        <f>IFERROR(__xludf.DUMMYFUNCTION("""COMPUTED_VALUE"""),4.0)</f>
        <v>4</v>
      </c>
      <c r="AA283" s="1">
        <f>IFERROR(__xludf.DUMMYFUNCTION("""COMPUTED_VALUE"""),24900.0)</f>
        <v>24900</v>
      </c>
      <c r="AB283" s="1">
        <f>IFERROR(__xludf.DUMMYFUNCTION("""COMPUTED_VALUE"""),994.0)</f>
        <v>994</v>
      </c>
      <c r="AC283" s="1">
        <f>IFERROR(__xludf.DUMMYFUNCTION("""COMPUTED_VALUE"""),4.0)</f>
        <v>4</v>
      </c>
      <c r="AD283" s="1">
        <f>IFERROR(__xludf.DUMMYFUNCTION("""COMPUTED_VALUE"""),23600.0)</f>
        <v>23600</v>
      </c>
      <c r="AE283" s="1">
        <f>IFERROR(__xludf.DUMMYFUNCTION("""COMPUTED_VALUE"""),898.0)</f>
        <v>898</v>
      </c>
      <c r="AF283" s="1">
        <f>IFERROR(__xludf.DUMMYFUNCTION("""COMPUTED_VALUE"""),31500.0)</f>
        <v>31500</v>
      </c>
      <c r="AG283" s="1">
        <f>IFERROR(__xludf.DUMMYFUNCTION("""COMPUTED_VALUE"""),48.0)</f>
        <v>48</v>
      </c>
      <c r="AH283" s="1">
        <f>IFERROR(__xludf.DUMMYFUNCTION("""COMPUTED_VALUE"""),35000.0)</f>
        <v>35000</v>
      </c>
      <c r="AI283" s="1">
        <f>IFERROR(__xludf.DUMMYFUNCTION("""COMPUTED_VALUE"""),48.0)</f>
        <v>48</v>
      </c>
      <c r="AJ283" s="1"/>
      <c r="AK283" s="1"/>
      <c r="AL283" s="1">
        <f>IFERROR(__xludf.DUMMYFUNCTION("""COMPUTED_VALUE"""),0.0)</f>
        <v>0</v>
      </c>
      <c r="AM283" s="1">
        <f>IFERROR(__xludf.DUMMYFUNCTION("""COMPUTED_VALUE"""),24800.0)</f>
        <v>24800</v>
      </c>
      <c r="AN283" s="1">
        <f>IFERROR(__xludf.DUMMYFUNCTION("""COMPUTED_VALUE"""),27.0)</f>
        <v>27</v>
      </c>
      <c r="AO283" s="1">
        <f>IFERROR(__xludf.DUMMYFUNCTION("""COMPUTED_VALUE"""),24800.0)</f>
        <v>24800</v>
      </c>
      <c r="AP283" s="1">
        <f>IFERROR(__xludf.DUMMYFUNCTION("""COMPUTED_VALUE"""),712.0)</f>
        <v>712</v>
      </c>
      <c r="AQ283" s="1">
        <f>IFERROR(__xludf.DUMMYFUNCTION("""COMPUTED_VALUE"""),2.0)</f>
        <v>2</v>
      </c>
      <c r="AR283" s="1">
        <f>IFERROR(__xludf.DUMMYFUNCTION("""COMPUTED_VALUE"""),23400.0)</f>
        <v>23400</v>
      </c>
      <c r="AS283" s="1">
        <f>IFERROR(__xludf.DUMMYFUNCTION("""COMPUTED_VALUE"""),574.0)</f>
        <v>574</v>
      </c>
    </row>
    <row r="284">
      <c r="A284" s="1" t="str">
        <f>IFERROR(__xludf.DUMMYFUNCTION("""COMPUTED_VALUE"""),"RSH")</f>
        <v>RSH</v>
      </c>
      <c r="B284" s="1"/>
      <c r="C284" s="1"/>
      <c r="D284" s="1">
        <f>IFERROR(__xludf.DUMMYFUNCTION("""COMPUTED_VALUE"""),30356.3203125)</f>
        <v>30356.32031</v>
      </c>
      <c r="E284" s="1">
        <f>IFERROR(__xludf.DUMMYFUNCTION("""COMPUTED_VALUE"""),15.0)</f>
        <v>15</v>
      </c>
      <c r="F284" s="1">
        <f>IFERROR(__xludf.DUMMYFUNCTION("""COMPUTED_VALUE"""),34800.0)</f>
        <v>34800</v>
      </c>
      <c r="G284" s="1">
        <f>IFERROR(__xludf.DUMMYFUNCTION("""COMPUTED_VALUE"""),143.0)</f>
        <v>143</v>
      </c>
      <c r="H284" s="1"/>
      <c r="I284" s="1"/>
      <c r="J284" s="1">
        <f>IFERROR(__xludf.DUMMYFUNCTION("""COMPUTED_VALUE"""),0.0)</f>
        <v>0</v>
      </c>
      <c r="K284" s="1">
        <f>IFERROR(__xludf.DUMMYFUNCTION("""COMPUTED_VALUE"""),27400.0)</f>
        <v>27400</v>
      </c>
      <c r="L284" s="1">
        <f>IFERROR(__xludf.DUMMYFUNCTION("""COMPUTED_VALUE"""),9.0)</f>
        <v>9</v>
      </c>
      <c r="M284" s="1">
        <f>IFERROR(__xludf.DUMMYFUNCTION("""COMPUTED_VALUE"""),27400.0)</f>
        <v>27400</v>
      </c>
      <c r="N284" s="1">
        <f>IFERROR(__xludf.DUMMYFUNCTION("""COMPUTED_VALUE"""),41.0)</f>
        <v>41</v>
      </c>
      <c r="O284" s="1"/>
      <c r="P284" s="1"/>
      <c r="Q284" s="1">
        <f>IFERROR(__xludf.DUMMYFUNCTION("""COMPUTED_VALUE"""),0.0)</f>
        <v>0</v>
      </c>
      <c r="R284" s="1">
        <f>IFERROR(__xludf.DUMMYFUNCTION("""COMPUTED_VALUE"""),17252.720703125)</f>
        <v>17252.7207</v>
      </c>
      <c r="S284" s="1"/>
      <c r="T284" s="1"/>
      <c r="U284" s="1">
        <f>IFERROR(__xludf.DUMMYFUNCTION("""COMPUTED_VALUE"""),0.0)</f>
        <v>0</v>
      </c>
      <c r="V284" s="1"/>
      <c r="W284" s="1"/>
      <c r="X284" s="1">
        <f>IFERROR(__xludf.DUMMYFUNCTION("""COMPUTED_VALUE"""),0.0)</f>
        <v>0</v>
      </c>
      <c r="Y284" s="1">
        <f>IFERROR(__xludf.DUMMYFUNCTION("""COMPUTED_VALUE"""),29052.83984375)</f>
        <v>29052.83984</v>
      </c>
      <c r="Z284" s="1">
        <f>IFERROR(__xludf.DUMMYFUNCTION("""COMPUTED_VALUE"""),31.0)</f>
        <v>31</v>
      </c>
      <c r="AA284" s="1">
        <f>IFERROR(__xludf.DUMMYFUNCTION("""COMPUTED_VALUE"""),35000.0)</f>
        <v>35000</v>
      </c>
      <c r="AB284" s="1">
        <f>IFERROR(__xludf.DUMMYFUNCTION("""COMPUTED_VALUE"""),31.0)</f>
        <v>31</v>
      </c>
      <c r="AC284" s="1"/>
      <c r="AD284" s="1"/>
      <c r="AE284" s="1">
        <f>IFERROR(__xludf.DUMMYFUNCTION("""COMPUTED_VALUE"""),0.0)</f>
        <v>0</v>
      </c>
      <c r="AF284" s="1">
        <f>IFERROR(__xludf.DUMMYFUNCTION("""COMPUTED_VALUE"""),17252.720703125)</f>
        <v>17252.7207</v>
      </c>
      <c r="AG284" s="1">
        <f>IFERROR(__xludf.DUMMYFUNCTION("""COMPUTED_VALUE"""),38.0)</f>
        <v>38</v>
      </c>
      <c r="AH284" s="1">
        <f>IFERROR(__xludf.DUMMYFUNCTION("""COMPUTED_VALUE"""),40000.0)</f>
        <v>40000</v>
      </c>
      <c r="AI284" s="1">
        <f>IFERROR(__xludf.DUMMYFUNCTION("""COMPUTED_VALUE"""),38.0)</f>
        <v>38</v>
      </c>
      <c r="AJ284" s="1"/>
      <c r="AK284" s="1"/>
      <c r="AL284" s="1">
        <f>IFERROR(__xludf.DUMMYFUNCTION("""COMPUTED_VALUE"""),0.0)</f>
        <v>0</v>
      </c>
      <c r="AM284" s="1">
        <f>IFERROR(__xludf.DUMMYFUNCTION("""COMPUTED_VALUE"""),43000.0)</f>
        <v>43000</v>
      </c>
      <c r="AN284" s="1">
        <f>IFERROR(__xludf.DUMMYFUNCTION("""COMPUTED_VALUE"""),18.0)</f>
        <v>18</v>
      </c>
      <c r="AO284" s="1">
        <f>IFERROR(__xludf.DUMMYFUNCTION("""COMPUTED_VALUE"""),39000.0)</f>
        <v>39000</v>
      </c>
      <c r="AP284" s="1">
        <f>IFERROR(__xludf.DUMMYFUNCTION("""COMPUTED_VALUE"""),48.0)</f>
        <v>48</v>
      </c>
      <c r="AQ284" s="1"/>
      <c r="AR284" s="1"/>
      <c r="AS284" s="1">
        <f>IFERROR(__xludf.DUMMYFUNCTION("""COMPUTED_VALUE"""),0.0)</f>
        <v>0</v>
      </c>
    </row>
    <row r="285">
      <c r="A285" s="1" t="str">
        <f>IFERROR(__xludf.DUMMYFUNCTION("""COMPUTED_VALUE"""),"RSI")</f>
        <v>RSI</v>
      </c>
      <c r="B285" s="1"/>
      <c r="C285" s="1"/>
      <c r="D285" s="1">
        <f>IFERROR(__xludf.DUMMYFUNCTION("""COMPUTED_VALUE"""),1620.0)</f>
        <v>1620</v>
      </c>
      <c r="E285" s="1">
        <f>IFERROR(__xludf.DUMMYFUNCTION("""COMPUTED_VALUE"""),62.0)</f>
        <v>62</v>
      </c>
      <c r="F285" s="1">
        <f>IFERROR(__xludf.DUMMYFUNCTION("""COMPUTED_VALUE"""),1620.0)</f>
        <v>1620</v>
      </c>
      <c r="G285" s="1">
        <f>IFERROR(__xludf.DUMMYFUNCTION("""COMPUTED_VALUE"""),1215.0)</f>
        <v>1215</v>
      </c>
      <c r="H285" s="1"/>
      <c r="I285" s="1"/>
      <c r="J285" s="1">
        <f>IFERROR(__xludf.DUMMYFUNCTION("""COMPUTED_VALUE"""),0.0)</f>
        <v>0</v>
      </c>
      <c r="K285" s="1">
        <f>IFERROR(__xludf.DUMMYFUNCTION("""COMPUTED_VALUE"""),1000.0)</f>
        <v>1000</v>
      </c>
      <c r="L285" s="1">
        <f>IFERROR(__xludf.DUMMYFUNCTION("""COMPUTED_VALUE"""),458.0)</f>
        <v>458</v>
      </c>
      <c r="M285" s="1">
        <f>IFERROR(__xludf.DUMMYFUNCTION("""COMPUTED_VALUE"""),1000.0)</f>
        <v>1000</v>
      </c>
      <c r="N285" s="1">
        <f>IFERROR(__xludf.DUMMYFUNCTION("""COMPUTED_VALUE"""),478.0)</f>
        <v>478</v>
      </c>
      <c r="O285" s="1"/>
      <c r="P285" s="1"/>
      <c r="Q285" s="1">
        <f>IFERROR(__xludf.DUMMYFUNCTION("""COMPUTED_VALUE"""),0.0)</f>
        <v>0</v>
      </c>
      <c r="R285" s="1">
        <f>IFERROR(__xludf.DUMMYFUNCTION("""COMPUTED_VALUE"""),681.440002441406)</f>
        <v>681.4400024</v>
      </c>
      <c r="S285" s="1"/>
      <c r="T285" s="1"/>
      <c r="U285" s="1">
        <f>IFERROR(__xludf.DUMMYFUNCTION("""COMPUTED_VALUE"""),0.0)</f>
        <v>0</v>
      </c>
      <c r="V285" s="1"/>
      <c r="W285" s="1"/>
      <c r="X285" s="1">
        <f>IFERROR(__xludf.DUMMYFUNCTION("""COMPUTED_VALUE"""),0.0)</f>
        <v>0</v>
      </c>
      <c r="Y285" s="1">
        <f>IFERROR(__xludf.DUMMYFUNCTION("""COMPUTED_VALUE"""),1180.0)</f>
        <v>1180</v>
      </c>
      <c r="Z285" s="1">
        <f>IFERROR(__xludf.DUMMYFUNCTION("""COMPUTED_VALUE"""),24.0)</f>
        <v>24</v>
      </c>
      <c r="AA285" s="1">
        <f>IFERROR(__xludf.DUMMYFUNCTION("""COMPUTED_VALUE"""),1170.0)</f>
        <v>1170</v>
      </c>
      <c r="AB285" s="1">
        <f>IFERROR(__xludf.DUMMYFUNCTION("""COMPUTED_VALUE"""),5840.0)</f>
        <v>5840</v>
      </c>
      <c r="AC285" s="1">
        <f>IFERROR(__xludf.DUMMYFUNCTION("""COMPUTED_VALUE"""),2.0)</f>
        <v>2</v>
      </c>
      <c r="AD285" s="1">
        <f>IFERROR(__xludf.DUMMYFUNCTION("""COMPUTED_VALUE"""),511.0)</f>
        <v>511</v>
      </c>
      <c r="AE285" s="1">
        <f>IFERROR(__xludf.DUMMYFUNCTION("""COMPUTED_VALUE"""),1161.0)</f>
        <v>1161</v>
      </c>
      <c r="AF285" s="1">
        <f>IFERROR(__xludf.DUMMYFUNCTION("""COMPUTED_VALUE"""),681.440002441406)</f>
        <v>681.4400024</v>
      </c>
      <c r="AG285" s="1"/>
      <c r="AH285" s="1"/>
      <c r="AI285" s="1">
        <f>IFERROR(__xludf.DUMMYFUNCTION("""COMPUTED_VALUE"""),0.0)</f>
        <v>0</v>
      </c>
      <c r="AJ285" s="1"/>
      <c r="AK285" s="1"/>
      <c r="AL285" s="1">
        <f>IFERROR(__xludf.DUMMYFUNCTION("""COMPUTED_VALUE"""),0.0)</f>
        <v>0</v>
      </c>
      <c r="AM285" s="1">
        <f>IFERROR(__xludf.DUMMYFUNCTION("""COMPUTED_VALUE"""),850.0)</f>
        <v>850</v>
      </c>
      <c r="AN285" s="1">
        <f>IFERROR(__xludf.DUMMYFUNCTION("""COMPUTED_VALUE"""),174.0)</f>
        <v>174</v>
      </c>
      <c r="AO285" s="1">
        <f>IFERROR(__xludf.DUMMYFUNCTION("""COMPUTED_VALUE"""),850.0)</f>
        <v>850</v>
      </c>
      <c r="AP285" s="1">
        <f>IFERROR(__xludf.DUMMYFUNCTION("""COMPUTED_VALUE"""),1882.0)</f>
        <v>1882</v>
      </c>
      <c r="AQ285" s="1"/>
      <c r="AR285" s="1"/>
      <c r="AS285" s="1">
        <f>IFERROR(__xludf.DUMMYFUNCTION("""COMPUTED_VALUE"""),0.0)</f>
        <v>0</v>
      </c>
    </row>
    <row r="286">
      <c r="A286" s="1" t="str">
        <f>IFERROR(__xludf.DUMMYFUNCTION("""COMPUTED_VALUE"""),"RTA")</f>
        <v>RTA</v>
      </c>
      <c r="B286" s="1"/>
      <c r="C286" s="1"/>
      <c r="D286" s="1">
        <f>IFERROR(__xludf.DUMMYFUNCTION("""COMPUTED_VALUE"""),15900.0)</f>
        <v>15900</v>
      </c>
      <c r="E286" s="1">
        <f>IFERROR(__xludf.DUMMYFUNCTION("""COMPUTED_VALUE"""),23.0)</f>
        <v>23</v>
      </c>
      <c r="F286" s="1">
        <f>IFERROR(__xludf.DUMMYFUNCTION("""COMPUTED_VALUE"""),15900.0)</f>
        <v>15900</v>
      </c>
      <c r="G286" s="1">
        <f>IFERROR(__xludf.DUMMYFUNCTION("""COMPUTED_VALUE"""),1291.0)</f>
        <v>1291</v>
      </c>
      <c r="H286" s="1">
        <f>IFERROR(__xludf.DUMMYFUNCTION("""COMPUTED_VALUE"""),2.0)</f>
        <v>2</v>
      </c>
      <c r="I286" s="1">
        <f>IFERROR(__xludf.DUMMYFUNCTION("""COMPUTED_VALUE"""),14500.0)</f>
        <v>14500</v>
      </c>
      <c r="J286" s="1">
        <f>IFERROR(__xludf.DUMMYFUNCTION("""COMPUTED_VALUE"""),654.0)</f>
        <v>654</v>
      </c>
      <c r="K286" s="1">
        <f>IFERROR(__xludf.DUMMYFUNCTION("""COMPUTED_VALUE"""),17000.0)</f>
        <v>17000</v>
      </c>
      <c r="L286" s="1">
        <f>IFERROR(__xludf.DUMMYFUNCTION("""COMPUTED_VALUE"""),28.0)</f>
        <v>28</v>
      </c>
      <c r="M286" s="1">
        <f>IFERROR(__xludf.DUMMYFUNCTION("""COMPUTED_VALUE"""),16900.0)</f>
        <v>16900</v>
      </c>
      <c r="N286" s="1">
        <f>IFERROR(__xludf.DUMMYFUNCTION("""COMPUTED_VALUE"""),302.0)</f>
        <v>302</v>
      </c>
      <c r="O286" s="1">
        <f>IFERROR(__xludf.DUMMYFUNCTION("""COMPUTED_VALUE"""),20.0)</f>
        <v>20</v>
      </c>
      <c r="P286" s="1">
        <f>IFERROR(__xludf.DUMMYFUNCTION("""COMPUTED_VALUE"""),14100.0)</f>
        <v>14100</v>
      </c>
      <c r="Q286" s="1">
        <f>IFERROR(__xludf.DUMMYFUNCTION("""COMPUTED_VALUE"""),284.0)</f>
        <v>284</v>
      </c>
      <c r="R286" s="1">
        <f>IFERROR(__xludf.DUMMYFUNCTION("""COMPUTED_VALUE"""),17300.0)</f>
        <v>17300</v>
      </c>
      <c r="S286" s="1">
        <f>IFERROR(__xludf.DUMMYFUNCTION("""COMPUTED_VALUE"""),4.0)</f>
        <v>4</v>
      </c>
      <c r="T286" s="1">
        <f>IFERROR(__xludf.DUMMYFUNCTION("""COMPUTED_VALUE"""),17300.0)</f>
        <v>17300</v>
      </c>
      <c r="U286" s="1">
        <f>IFERROR(__xludf.DUMMYFUNCTION("""COMPUTED_VALUE"""),4.0)</f>
        <v>4</v>
      </c>
      <c r="V286" s="1"/>
      <c r="W286" s="1"/>
      <c r="X286" s="1">
        <f>IFERROR(__xludf.DUMMYFUNCTION("""COMPUTED_VALUE"""),0.0)</f>
        <v>0</v>
      </c>
      <c r="Y286" s="1">
        <f>IFERROR(__xludf.DUMMYFUNCTION("""COMPUTED_VALUE"""),16700.0)</f>
        <v>16700</v>
      </c>
      <c r="Z286" s="1">
        <f>IFERROR(__xludf.DUMMYFUNCTION("""COMPUTED_VALUE"""),26.0)</f>
        <v>26</v>
      </c>
      <c r="AA286" s="1">
        <f>IFERROR(__xludf.DUMMYFUNCTION("""COMPUTED_VALUE"""),16700.0)</f>
        <v>16700</v>
      </c>
      <c r="AB286" s="1">
        <f>IFERROR(__xludf.DUMMYFUNCTION("""COMPUTED_VALUE"""),1495.0)</f>
        <v>1495</v>
      </c>
      <c r="AC286" s="1">
        <f>IFERROR(__xludf.DUMMYFUNCTION("""COMPUTED_VALUE"""),4.0)</f>
        <v>4</v>
      </c>
      <c r="AD286" s="1">
        <f>IFERROR(__xludf.DUMMYFUNCTION("""COMPUTED_VALUE"""),13900.0)</f>
        <v>13900</v>
      </c>
      <c r="AE286" s="1">
        <f>IFERROR(__xludf.DUMMYFUNCTION("""COMPUTED_VALUE"""),1410.0)</f>
        <v>1410</v>
      </c>
      <c r="AF286" s="1">
        <f>IFERROR(__xludf.DUMMYFUNCTION("""COMPUTED_VALUE"""),20000.0)</f>
        <v>20000</v>
      </c>
      <c r="AG286" s="1">
        <f>IFERROR(__xludf.DUMMYFUNCTION("""COMPUTED_VALUE"""),30.0)</f>
        <v>30</v>
      </c>
      <c r="AH286" s="1">
        <f>IFERROR(__xludf.DUMMYFUNCTION("""COMPUTED_VALUE"""),20000.0)</f>
        <v>20000</v>
      </c>
      <c r="AI286" s="1">
        <f>IFERROR(__xludf.DUMMYFUNCTION("""COMPUTED_VALUE"""),30.0)</f>
        <v>30</v>
      </c>
      <c r="AJ286" s="1"/>
      <c r="AK286" s="1"/>
      <c r="AL286" s="1">
        <f>IFERROR(__xludf.DUMMYFUNCTION("""COMPUTED_VALUE"""),0.0)</f>
        <v>0</v>
      </c>
      <c r="AM286" s="1">
        <f>IFERROR(__xludf.DUMMYFUNCTION("""COMPUTED_VALUE"""),14800.0)</f>
        <v>14800</v>
      </c>
      <c r="AN286" s="1">
        <f>IFERROR(__xludf.DUMMYFUNCTION("""COMPUTED_VALUE"""),1.0)</f>
        <v>1</v>
      </c>
      <c r="AO286" s="1">
        <f>IFERROR(__xludf.DUMMYFUNCTION("""COMPUTED_VALUE"""),14600.0)</f>
        <v>14600</v>
      </c>
      <c r="AP286" s="1">
        <f>IFERROR(__xludf.DUMMYFUNCTION("""COMPUTED_VALUE"""),988.0)</f>
        <v>988</v>
      </c>
      <c r="AQ286" s="1">
        <f>IFERROR(__xludf.DUMMYFUNCTION("""COMPUTED_VALUE"""),100.0)</f>
        <v>100</v>
      </c>
      <c r="AR286" s="1">
        <f>IFERROR(__xludf.DUMMYFUNCTION("""COMPUTED_VALUE"""),14000.0)</f>
        <v>14000</v>
      </c>
      <c r="AS286" s="1">
        <f>IFERROR(__xludf.DUMMYFUNCTION("""COMPUTED_VALUE"""),431.0)</f>
        <v>431</v>
      </c>
    </row>
    <row r="287">
      <c r="A287" s="1" t="str">
        <f>IFERROR(__xludf.DUMMYFUNCTION("""COMPUTED_VALUE"""),"S")</f>
        <v>S</v>
      </c>
      <c r="B287" s="1"/>
      <c r="C287" s="1"/>
      <c r="D287" s="1">
        <f>IFERROR(__xludf.DUMMYFUNCTION("""COMPUTED_VALUE"""),120.0)</f>
        <v>120</v>
      </c>
      <c r="E287" s="1">
        <f>IFERROR(__xludf.DUMMYFUNCTION("""COMPUTED_VALUE"""),988.0)</f>
        <v>988</v>
      </c>
      <c r="F287" s="1">
        <f>IFERROR(__xludf.DUMMYFUNCTION("""COMPUTED_VALUE"""),223.0)</f>
        <v>223</v>
      </c>
      <c r="G287" s="1">
        <f>IFERROR(__xludf.DUMMYFUNCTION("""COMPUTED_VALUE"""),15309.0)</f>
        <v>15309</v>
      </c>
      <c r="H287" s="1">
        <f>IFERROR(__xludf.DUMMYFUNCTION("""COMPUTED_VALUE"""),559.0)</f>
        <v>559</v>
      </c>
      <c r="I287" s="1">
        <f>IFERROR(__xludf.DUMMYFUNCTION("""COMPUTED_VALUE"""),120.0)</f>
        <v>120</v>
      </c>
      <c r="J287" s="1">
        <f>IFERROR(__xludf.DUMMYFUNCTION("""COMPUTED_VALUE"""),3500.0)</f>
        <v>3500</v>
      </c>
      <c r="K287" s="1">
        <f>IFERROR(__xludf.DUMMYFUNCTION("""COMPUTED_VALUE"""),150.0)</f>
        <v>150</v>
      </c>
      <c r="L287" s="1">
        <f>IFERROR(__xludf.DUMMYFUNCTION("""COMPUTED_VALUE"""),299.0)</f>
        <v>299</v>
      </c>
      <c r="M287" s="1">
        <f>IFERROR(__xludf.DUMMYFUNCTION("""COMPUTED_VALUE"""),150.0)</f>
        <v>150</v>
      </c>
      <c r="N287" s="1">
        <f>IFERROR(__xludf.DUMMYFUNCTION("""COMPUTED_VALUE"""),4220.0)</f>
        <v>4220</v>
      </c>
      <c r="O287" s="1">
        <f>IFERROR(__xludf.DUMMYFUNCTION("""COMPUTED_VALUE"""),5.0)</f>
        <v>5</v>
      </c>
      <c r="P287" s="1">
        <f>IFERROR(__xludf.DUMMYFUNCTION("""COMPUTED_VALUE"""),100.0)</f>
        <v>100</v>
      </c>
      <c r="Q287" s="1">
        <f>IFERROR(__xludf.DUMMYFUNCTION("""COMPUTED_VALUE"""),5.0)</f>
        <v>5</v>
      </c>
      <c r="R287" s="1">
        <f>IFERROR(__xludf.DUMMYFUNCTION("""COMPUTED_VALUE"""),250.0)</f>
        <v>250</v>
      </c>
      <c r="S287" s="1">
        <f>IFERROR(__xludf.DUMMYFUNCTION("""COMPUTED_VALUE"""),120.0)</f>
        <v>120</v>
      </c>
      <c r="T287" s="1">
        <f>IFERROR(__xludf.DUMMYFUNCTION("""COMPUTED_VALUE"""),250.0)</f>
        <v>250</v>
      </c>
      <c r="U287" s="1">
        <f>IFERROR(__xludf.DUMMYFUNCTION("""COMPUTED_VALUE"""),320.0)</f>
        <v>320</v>
      </c>
      <c r="V287" s="1"/>
      <c r="W287" s="1"/>
      <c r="X287" s="1">
        <f>IFERROR(__xludf.DUMMYFUNCTION("""COMPUTED_VALUE"""),0.0)</f>
        <v>0</v>
      </c>
      <c r="Y287" s="1">
        <f>IFERROR(__xludf.DUMMYFUNCTION("""COMPUTED_VALUE"""),189.690002441406)</f>
        <v>189.6900024</v>
      </c>
      <c r="Z287" s="1">
        <f>IFERROR(__xludf.DUMMYFUNCTION("""COMPUTED_VALUE"""),1198.0)</f>
        <v>1198</v>
      </c>
      <c r="AA287" s="1">
        <f>IFERROR(__xludf.DUMMYFUNCTION("""COMPUTED_VALUE"""),190.0)</f>
        <v>190</v>
      </c>
      <c r="AB287" s="1">
        <f>IFERROR(__xludf.DUMMYFUNCTION("""COMPUTED_VALUE"""),30771.0)</f>
        <v>30771</v>
      </c>
      <c r="AC287" s="1">
        <f>IFERROR(__xludf.DUMMYFUNCTION("""COMPUTED_VALUE"""),508.0)</f>
        <v>508</v>
      </c>
      <c r="AD287" s="1">
        <f>IFERROR(__xludf.DUMMYFUNCTION("""COMPUTED_VALUE"""),142.0)</f>
        <v>142</v>
      </c>
      <c r="AE287" s="1">
        <f>IFERROR(__xludf.DUMMYFUNCTION("""COMPUTED_VALUE"""),3508.0)</f>
        <v>3508</v>
      </c>
      <c r="AF287" s="1">
        <f>IFERROR(__xludf.DUMMYFUNCTION("""COMPUTED_VALUE"""),145.0)</f>
        <v>145</v>
      </c>
      <c r="AG287" s="1">
        <f>IFERROR(__xludf.DUMMYFUNCTION("""COMPUTED_VALUE"""),100.0)</f>
        <v>100</v>
      </c>
      <c r="AH287" s="1">
        <f>IFERROR(__xludf.DUMMYFUNCTION("""COMPUTED_VALUE"""),190.0)</f>
        <v>190</v>
      </c>
      <c r="AI287" s="1">
        <f>IFERROR(__xludf.DUMMYFUNCTION("""COMPUTED_VALUE"""),100.0)</f>
        <v>100</v>
      </c>
      <c r="AJ287" s="1">
        <f>IFERROR(__xludf.DUMMYFUNCTION("""COMPUTED_VALUE"""),100.0)</f>
        <v>100</v>
      </c>
      <c r="AK287" s="1">
        <f>IFERROR(__xludf.DUMMYFUNCTION("""COMPUTED_VALUE"""),145.0)</f>
        <v>145</v>
      </c>
      <c r="AL287" s="1">
        <f>IFERROR(__xludf.DUMMYFUNCTION("""COMPUTED_VALUE"""),100.0)</f>
        <v>100</v>
      </c>
      <c r="AM287" s="1">
        <f>IFERROR(__xludf.DUMMYFUNCTION("""COMPUTED_VALUE"""),200.0)</f>
        <v>200</v>
      </c>
      <c r="AN287" s="1">
        <f>IFERROR(__xludf.DUMMYFUNCTION("""COMPUTED_VALUE"""),988.0)</f>
        <v>988</v>
      </c>
      <c r="AO287" s="1">
        <f>IFERROR(__xludf.DUMMYFUNCTION("""COMPUTED_VALUE"""),300.0)</f>
        <v>300</v>
      </c>
      <c r="AP287" s="1">
        <f>IFERROR(__xludf.DUMMYFUNCTION("""COMPUTED_VALUE"""),988.0)</f>
        <v>988</v>
      </c>
      <c r="AQ287" s="1">
        <f>IFERROR(__xludf.DUMMYFUNCTION("""COMPUTED_VALUE"""),3434.0)</f>
        <v>3434</v>
      </c>
      <c r="AR287" s="1">
        <f>IFERROR(__xludf.DUMMYFUNCTION("""COMPUTED_VALUE"""),200.0)</f>
        <v>200</v>
      </c>
      <c r="AS287" s="1">
        <f>IFERROR(__xludf.DUMMYFUNCTION("""COMPUTED_VALUE"""),4034.0)</f>
        <v>4034</v>
      </c>
    </row>
    <row r="288">
      <c r="A288" s="1" t="str">
        <f>IFERROR(__xludf.DUMMYFUNCTION("""COMPUTED_VALUE"""),"SA")</f>
        <v>SA</v>
      </c>
      <c r="B288" s="1"/>
      <c r="C288" s="1"/>
      <c r="D288" s="1">
        <f>IFERROR(__xludf.DUMMYFUNCTION("""COMPUTED_VALUE"""),8000.0)</f>
        <v>8000</v>
      </c>
      <c r="E288" s="1">
        <f>IFERROR(__xludf.DUMMYFUNCTION("""COMPUTED_VALUE"""),27.0)</f>
        <v>27</v>
      </c>
      <c r="F288" s="1">
        <f>IFERROR(__xludf.DUMMYFUNCTION("""COMPUTED_VALUE"""),8000.0)</f>
        <v>8000</v>
      </c>
      <c r="G288" s="1">
        <f>IFERROR(__xludf.DUMMYFUNCTION("""COMPUTED_VALUE"""),232.0)</f>
        <v>232</v>
      </c>
      <c r="H288" s="1">
        <f>IFERROR(__xludf.DUMMYFUNCTION("""COMPUTED_VALUE"""),40.0)</f>
        <v>40</v>
      </c>
      <c r="I288" s="1">
        <f>IFERROR(__xludf.DUMMYFUNCTION("""COMPUTED_VALUE"""),7500.0)</f>
        <v>7500</v>
      </c>
      <c r="J288" s="1">
        <f>IFERROR(__xludf.DUMMYFUNCTION("""COMPUTED_VALUE"""),40.0)</f>
        <v>40</v>
      </c>
      <c r="K288" s="1">
        <f>IFERROR(__xludf.DUMMYFUNCTION("""COMPUTED_VALUE"""),8000.0)</f>
        <v>8000</v>
      </c>
      <c r="L288" s="1">
        <f>IFERROR(__xludf.DUMMYFUNCTION("""COMPUTED_VALUE"""),5.0)</f>
        <v>5</v>
      </c>
      <c r="M288" s="1">
        <f>IFERROR(__xludf.DUMMYFUNCTION("""COMPUTED_VALUE"""),9000.0)</f>
        <v>9000</v>
      </c>
      <c r="N288" s="1">
        <f>IFERROR(__xludf.DUMMYFUNCTION("""COMPUTED_VALUE"""),21.0)</f>
        <v>21</v>
      </c>
      <c r="O288" s="1">
        <f>IFERROR(__xludf.DUMMYFUNCTION("""COMPUTED_VALUE"""),93.0)</f>
        <v>93</v>
      </c>
      <c r="P288" s="1">
        <f>IFERROR(__xludf.DUMMYFUNCTION("""COMPUTED_VALUE"""),8000.0)</f>
        <v>8000</v>
      </c>
      <c r="Q288" s="1">
        <f>IFERROR(__xludf.DUMMYFUNCTION("""COMPUTED_VALUE"""),94.0)</f>
        <v>94</v>
      </c>
      <c r="R288" s="1">
        <f>IFERROR(__xludf.DUMMYFUNCTION("""COMPUTED_VALUE"""),3395.0)</f>
        <v>3395</v>
      </c>
      <c r="S288" s="1"/>
      <c r="T288" s="1"/>
      <c r="U288" s="1">
        <f>IFERROR(__xludf.DUMMYFUNCTION("""COMPUTED_VALUE"""),0.0)</f>
        <v>0</v>
      </c>
      <c r="V288" s="1"/>
      <c r="W288" s="1"/>
      <c r="X288" s="1">
        <f>IFERROR(__xludf.DUMMYFUNCTION("""COMPUTED_VALUE"""),0.0)</f>
        <v>0</v>
      </c>
      <c r="Y288" s="1">
        <f>IFERROR(__xludf.DUMMYFUNCTION("""COMPUTED_VALUE"""),8000.0)</f>
        <v>8000</v>
      </c>
      <c r="Z288" s="1">
        <f>IFERROR(__xludf.DUMMYFUNCTION("""COMPUTED_VALUE"""),1.0)</f>
        <v>1</v>
      </c>
      <c r="AA288" s="1">
        <f>IFERROR(__xludf.DUMMYFUNCTION("""COMPUTED_VALUE"""),7990.0)</f>
        <v>7990</v>
      </c>
      <c r="AB288" s="1">
        <f>IFERROR(__xludf.DUMMYFUNCTION("""COMPUTED_VALUE"""),105.0)</f>
        <v>105</v>
      </c>
      <c r="AC288" s="1">
        <f>IFERROR(__xludf.DUMMYFUNCTION("""COMPUTED_VALUE"""),5.0)</f>
        <v>5</v>
      </c>
      <c r="AD288" s="1">
        <f>IFERROR(__xludf.DUMMYFUNCTION("""COMPUTED_VALUE"""),7000.0)</f>
        <v>7000</v>
      </c>
      <c r="AE288" s="1">
        <f>IFERROR(__xludf.DUMMYFUNCTION("""COMPUTED_VALUE"""),15.0)</f>
        <v>15</v>
      </c>
      <c r="AF288" s="1">
        <f>IFERROR(__xludf.DUMMYFUNCTION("""COMPUTED_VALUE"""),3395.0)</f>
        <v>3395</v>
      </c>
      <c r="AG288" s="1"/>
      <c r="AH288" s="1"/>
      <c r="AI288" s="1">
        <f>IFERROR(__xludf.DUMMYFUNCTION("""COMPUTED_VALUE"""),0.0)</f>
        <v>0</v>
      </c>
      <c r="AJ288" s="1"/>
      <c r="AK288" s="1"/>
      <c r="AL288" s="1">
        <f>IFERROR(__xludf.DUMMYFUNCTION("""COMPUTED_VALUE"""),0.0)</f>
        <v>0</v>
      </c>
      <c r="AM288" s="1">
        <f>IFERROR(__xludf.DUMMYFUNCTION("""COMPUTED_VALUE"""),9000.0)</f>
        <v>9000</v>
      </c>
      <c r="AN288" s="1">
        <f>IFERROR(__xludf.DUMMYFUNCTION("""COMPUTED_VALUE"""),4.0)</f>
        <v>4</v>
      </c>
      <c r="AO288" s="1">
        <f>IFERROR(__xludf.DUMMYFUNCTION("""COMPUTED_VALUE"""),9000.0)</f>
        <v>9000</v>
      </c>
      <c r="AP288" s="1">
        <f>IFERROR(__xludf.DUMMYFUNCTION("""COMPUTED_VALUE"""),70.0)</f>
        <v>70</v>
      </c>
      <c r="AQ288" s="1">
        <f>IFERROR(__xludf.DUMMYFUNCTION("""COMPUTED_VALUE"""),10.0)</f>
        <v>10</v>
      </c>
      <c r="AR288" s="1">
        <f>IFERROR(__xludf.DUMMYFUNCTION("""COMPUTED_VALUE"""),8000.0)</f>
        <v>8000</v>
      </c>
      <c r="AS288" s="1">
        <f>IFERROR(__xludf.DUMMYFUNCTION("""COMPUTED_VALUE"""),10.0)</f>
        <v>10</v>
      </c>
    </row>
    <row r="289">
      <c r="A289" s="1" t="str">
        <f>IFERROR(__xludf.DUMMYFUNCTION("""COMPUTED_VALUE"""),"SAL")</f>
        <v>SAL</v>
      </c>
      <c r="B289" s="1"/>
      <c r="C289" s="1"/>
      <c r="D289" s="1">
        <f>IFERROR(__xludf.DUMMYFUNCTION("""COMPUTED_VALUE"""),8000.0)</f>
        <v>8000</v>
      </c>
      <c r="E289" s="1">
        <f>IFERROR(__xludf.DUMMYFUNCTION("""COMPUTED_VALUE"""),17.0)</f>
        <v>17</v>
      </c>
      <c r="F289" s="1">
        <f>IFERROR(__xludf.DUMMYFUNCTION("""COMPUTED_VALUE"""),8500.0)</f>
        <v>8500</v>
      </c>
      <c r="G289" s="1">
        <f>IFERROR(__xludf.DUMMYFUNCTION("""COMPUTED_VALUE"""),79.0)</f>
        <v>79</v>
      </c>
      <c r="H289" s="1">
        <f>IFERROR(__xludf.DUMMYFUNCTION("""COMPUTED_VALUE"""),9.0)</f>
        <v>9</v>
      </c>
      <c r="I289" s="1">
        <f>IFERROR(__xludf.DUMMYFUNCTION("""COMPUTED_VALUE"""),7500.0)</f>
        <v>7500</v>
      </c>
      <c r="J289" s="1">
        <f>IFERROR(__xludf.DUMMYFUNCTION("""COMPUTED_VALUE"""),431.0)</f>
        <v>431</v>
      </c>
      <c r="K289" s="1">
        <f>IFERROR(__xludf.DUMMYFUNCTION("""COMPUTED_VALUE"""),8500.0)</f>
        <v>8500</v>
      </c>
      <c r="L289" s="1">
        <f>IFERROR(__xludf.DUMMYFUNCTION("""COMPUTED_VALUE"""),1.0)</f>
        <v>1</v>
      </c>
      <c r="M289" s="1">
        <f>IFERROR(__xludf.DUMMYFUNCTION("""COMPUTED_VALUE"""),8400.0)</f>
        <v>8400</v>
      </c>
      <c r="N289" s="1">
        <f>IFERROR(__xludf.DUMMYFUNCTION("""COMPUTED_VALUE"""),294.0)</f>
        <v>294</v>
      </c>
      <c r="O289" s="1">
        <f>IFERROR(__xludf.DUMMYFUNCTION("""COMPUTED_VALUE"""),30.0)</f>
        <v>30</v>
      </c>
      <c r="P289" s="1">
        <f>IFERROR(__xludf.DUMMYFUNCTION("""COMPUTED_VALUE"""),8100.0)</f>
        <v>8100</v>
      </c>
      <c r="Q289" s="1">
        <f>IFERROR(__xludf.DUMMYFUNCTION("""COMPUTED_VALUE"""),60.0)</f>
        <v>60</v>
      </c>
      <c r="R289" s="1">
        <f>IFERROR(__xludf.DUMMYFUNCTION("""COMPUTED_VALUE"""),3395.0)</f>
        <v>3395</v>
      </c>
      <c r="S289" s="1"/>
      <c r="T289" s="1"/>
      <c r="U289" s="1">
        <f>IFERROR(__xludf.DUMMYFUNCTION("""COMPUTED_VALUE"""),0.0)</f>
        <v>0</v>
      </c>
      <c r="V289" s="1"/>
      <c r="W289" s="1"/>
      <c r="X289" s="1">
        <f>IFERROR(__xludf.DUMMYFUNCTION("""COMPUTED_VALUE"""),0.0)</f>
        <v>0</v>
      </c>
      <c r="Y289" s="1">
        <f>IFERROR(__xludf.DUMMYFUNCTION("""COMPUTED_VALUE"""),8900.0)</f>
        <v>8900</v>
      </c>
      <c r="Z289" s="1">
        <f>IFERROR(__xludf.DUMMYFUNCTION("""COMPUTED_VALUE"""),1.0)</f>
        <v>1</v>
      </c>
      <c r="AA289" s="1">
        <f>IFERROR(__xludf.DUMMYFUNCTION("""COMPUTED_VALUE"""),8990.0)</f>
        <v>8990</v>
      </c>
      <c r="AB289" s="1">
        <f>IFERROR(__xludf.DUMMYFUNCTION("""COMPUTED_VALUE"""),354.0)</f>
        <v>354</v>
      </c>
      <c r="AC289" s="1">
        <f>IFERROR(__xludf.DUMMYFUNCTION("""COMPUTED_VALUE"""),50.0)</f>
        <v>50</v>
      </c>
      <c r="AD289" s="1">
        <f>IFERROR(__xludf.DUMMYFUNCTION("""COMPUTED_VALUE"""),8800.0)</f>
        <v>8800</v>
      </c>
      <c r="AE289" s="1">
        <f>IFERROR(__xludf.DUMMYFUNCTION("""COMPUTED_VALUE"""),311.0)</f>
        <v>311</v>
      </c>
      <c r="AF289" s="1">
        <f>IFERROR(__xludf.DUMMYFUNCTION("""COMPUTED_VALUE"""),3395.0)</f>
        <v>3395</v>
      </c>
      <c r="AG289" s="1"/>
      <c r="AH289" s="1"/>
      <c r="AI289" s="1">
        <f>IFERROR(__xludf.DUMMYFUNCTION("""COMPUTED_VALUE"""),0.0)</f>
        <v>0</v>
      </c>
      <c r="AJ289" s="1"/>
      <c r="AK289" s="1"/>
      <c r="AL289" s="1">
        <f>IFERROR(__xludf.DUMMYFUNCTION("""COMPUTED_VALUE"""),0.0)</f>
        <v>0</v>
      </c>
      <c r="AM289" s="1">
        <f>IFERROR(__xludf.DUMMYFUNCTION("""COMPUTED_VALUE"""),9000.0)</f>
        <v>9000</v>
      </c>
      <c r="AN289" s="1">
        <f>IFERROR(__xludf.DUMMYFUNCTION("""COMPUTED_VALUE"""),30.0)</f>
        <v>30</v>
      </c>
      <c r="AO289" s="1">
        <f>IFERROR(__xludf.DUMMYFUNCTION("""COMPUTED_VALUE"""),9000.0)</f>
        <v>9000</v>
      </c>
      <c r="AP289" s="1">
        <f>IFERROR(__xludf.DUMMYFUNCTION("""COMPUTED_VALUE"""),122.0)</f>
        <v>122</v>
      </c>
      <c r="AQ289" s="1">
        <f>IFERROR(__xludf.DUMMYFUNCTION("""COMPUTED_VALUE"""),30.0)</f>
        <v>30</v>
      </c>
      <c r="AR289" s="1">
        <f>IFERROR(__xludf.DUMMYFUNCTION("""COMPUTED_VALUE"""),8000.0)</f>
        <v>8000</v>
      </c>
      <c r="AS289" s="1">
        <f>IFERROR(__xludf.DUMMYFUNCTION("""COMPUTED_VALUE"""),30.0)</f>
        <v>30</v>
      </c>
    </row>
    <row r="290">
      <c r="A290" s="1" t="str">
        <f>IFERROR(__xludf.DUMMYFUNCTION("""COMPUTED_VALUE"""),"SAR")</f>
        <v>SAR</v>
      </c>
      <c r="B290" s="1"/>
      <c r="C290" s="1"/>
      <c r="D290" s="1">
        <f>IFERROR(__xludf.DUMMYFUNCTION("""COMPUTED_VALUE"""),33200.0)</f>
        <v>33200</v>
      </c>
      <c r="E290" s="1">
        <f>IFERROR(__xludf.DUMMYFUNCTION("""COMPUTED_VALUE"""),17.0)</f>
        <v>17</v>
      </c>
      <c r="F290" s="1">
        <f>IFERROR(__xludf.DUMMYFUNCTION("""COMPUTED_VALUE"""),36800.0)</f>
        <v>36800</v>
      </c>
      <c r="G290" s="1">
        <f>IFERROR(__xludf.DUMMYFUNCTION("""COMPUTED_VALUE"""),647.0)</f>
        <v>647</v>
      </c>
      <c r="H290" s="1">
        <f>IFERROR(__xludf.DUMMYFUNCTION("""COMPUTED_VALUE"""),196.0)</f>
        <v>196</v>
      </c>
      <c r="I290" s="1">
        <f>IFERROR(__xludf.DUMMYFUNCTION("""COMPUTED_VALUE"""),33200.0)</f>
        <v>33200</v>
      </c>
      <c r="J290" s="1">
        <f>IFERROR(__xludf.DUMMYFUNCTION("""COMPUTED_VALUE"""),565.0)</f>
        <v>565</v>
      </c>
      <c r="K290" s="1">
        <f>IFERROR(__xludf.DUMMYFUNCTION("""COMPUTED_VALUE"""),37963.76171875)</f>
        <v>37963.76172</v>
      </c>
      <c r="L290" s="1">
        <f>IFERROR(__xludf.DUMMYFUNCTION("""COMPUTED_VALUE"""),13.0)</f>
        <v>13</v>
      </c>
      <c r="M290" s="1">
        <f>IFERROR(__xludf.DUMMYFUNCTION("""COMPUTED_VALUE"""),35000.0)</f>
        <v>35000</v>
      </c>
      <c r="N290" s="1">
        <f>IFERROR(__xludf.DUMMYFUNCTION("""COMPUTED_VALUE"""),13.0)</f>
        <v>13</v>
      </c>
      <c r="O290" s="1">
        <f>IFERROR(__xludf.DUMMYFUNCTION("""COMPUTED_VALUE"""),100.0)</f>
        <v>100</v>
      </c>
      <c r="P290" s="1">
        <f>IFERROR(__xludf.DUMMYFUNCTION("""COMPUTED_VALUE"""),32000.0)</f>
        <v>32000</v>
      </c>
      <c r="Q290" s="1">
        <f>IFERROR(__xludf.DUMMYFUNCTION("""COMPUTED_VALUE"""),839.0)</f>
        <v>839</v>
      </c>
      <c r="R290" s="1">
        <f>IFERROR(__xludf.DUMMYFUNCTION("""COMPUTED_VALUE"""),9548.7099609375)</f>
        <v>9548.709961</v>
      </c>
      <c r="S290" s="1"/>
      <c r="T290" s="1"/>
      <c r="U290" s="1">
        <f>IFERROR(__xludf.DUMMYFUNCTION("""COMPUTED_VALUE"""),0.0)</f>
        <v>0</v>
      </c>
      <c r="V290" s="1"/>
      <c r="W290" s="1"/>
      <c r="X290" s="1">
        <f>IFERROR(__xludf.DUMMYFUNCTION("""COMPUTED_VALUE"""),0.0)</f>
        <v>0</v>
      </c>
      <c r="Y290" s="1">
        <f>IFERROR(__xludf.DUMMYFUNCTION("""COMPUTED_VALUE"""),34400.0)</f>
        <v>34400</v>
      </c>
      <c r="Z290" s="1">
        <f>IFERROR(__xludf.DUMMYFUNCTION("""COMPUTED_VALUE"""),42.0)</f>
        <v>42</v>
      </c>
      <c r="AA290" s="1">
        <f>IFERROR(__xludf.DUMMYFUNCTION("""COMPUTED_VALUE"""),34500.0)</f>
        <v>34500</v>
      </c>
      <c r="AB290" s="1">
        <f>IFERROR(__xludf.DUMMYFUNCTION("""COMPUTED_VALUE"""),179.0)</f>
        <v>179</v>
      </c>
      <c r="AC290" s="1">
        <f>IFERROR(__xludf.DUMMYFUNCTION("""COMPUTED_VALUE"""),96.0)</f>
        <v>96</v>
      </c>
      <c r="AD290" s="1">
        <f>IFERROR(__xludf.DUMMYFUNCTION("""COMPUTED_VALUE"""),33000.0)</f>
        <v>33000</v>
      </c>
      <c r="AE290" s="1">
        <f>IFERROR(__xludf.DUMMYFUNCTION("""COMPUTED_VALUE"""),454.0)</f>
        <v>454</v>
      </c>
      <c r="AF290" s="1">
        <f>IFERROR(__xludf.DUMMYFUNCTION("""COMPUTED_VALUE"""),9548.7099609375)</f>
        <v>9548.709961</v>
      </c>
      <c r="AG290" s="1">
        <f>IFERROR(__xludf.DUMMYFUNCTION("""COMPUTED_VALUE"""),10.0)</f>
        <v>10</v>
      </c>
      <c r="AH290" s="1">
        <f>IFERROR(__xludf.DUMMYFUNCTION("""COMPUTED_VALUE"""),34000.0)</f>
        <v>34000</v>
      </c>
      <c r="AI290" s="1">
        <f>IFERROR(__xludf.DUMMYFUNCTION("""COMPUTED_VALUE"""),10.0)</f>
        <v>10</v>
      </c>
      <c r="AJ290" s="1"/>
      <c r="AK290" s="1"/>
      <c r="AL290" s="1">
        <f>IFERROR(__xludf.DUMMYFUNCTION("""COMPUTED_VALUE"""),0.0)</f>
        <v>0</v>
      </c>
      <c r="AM290" s="1">
        <f>IFERROR(__xludf.DUMMYFUNCTION("""COMPUTED_VALUE"""),35900.0)</f>
        <v>35900</v>
      </c>
      <c r="AN290" s="1">
        <f>IFERROR(__xludf.DUMMYFUNCTION("""COMPUTED_VALUE"""),1.0)</f>
        <v>1</v>
      </c>
      <c r="AO290" s="1">
        <f>IFERROR(__xludf.DUMMYFUNCTION("""COMPUTED_VALUE"""),35900.0)</f>
        <v>35900</v>
      </c>
      <c r="AP290" s="1">
        <f>IFERROR(__xludf.DUMMYFUNCTION("""COMPUTED_VALUE"""),325.0)</f>
        <v>325</v>
      </c>
      <c r="AQ290" s="1">
        <f>IFERROR(__xludf.DUMMYFUNCTION("""COMPUTED_VALUE"""),200.0)</f>
        <v>200</v>
      </c>
      <c r="AR290" s="1">
        <f>IFERROR(__xludf.DUMMYFUNCTION("""COMPUTED_VALUE"""),31000.0)</f>
        <v>31000</v>
      </c>
      <c r="AS290" s="1">
        <f>IFERROR(__xludf.DUMMYFUNCTION("""COMPUTED_VALUE"""),250.0)</f>
        <v>250</v>
      </c>
    </row>
    <row r="291">
      <c r="A291" s="1" t="str">
        <f>IFERROR(__xludf.DUMMYFUNCTION("""COMPUTED_VALUE"""),"SBU")</f>
        <v>SBU</v>
      </c>
      <c r="B291" s="1"/>
      <c r="C291" s="1"/>
      <c r="D291" s="1">
        <f>IFERROR(__xludf.DUMMYFUNCTION("""COMPUTED_VALUE"""),34000.0)</f>
        <v>34000</v>
      </c>
      <c r="E291" s="1">
        <f>IFERROR(__xludf.DUMMYFUNCTION("""COMPUTED_VALUE"""),66.0)</f>
        <v>66</v>
      </c>
      <c r="F291" s="1">
        <f>IFERROR(__xludf.DUMMYFUNCTION("""COMPUTED_VALUE"""),34000.0)</f>
        <v>34000</v>
      </c>
      <c r="G291" s="1">
        <f>IFERROR(__xludf.DUMMYFUNCTION("""COMPUTED_VALUE"""),359.0)</f>
        <v>359</v>
      </c>
      <c r="H291" s="1">
        <f>IFERROR(__xludf.DUMMYFUNCTION("""COMPUTED_VALUE"""),4.0)</f>
        <v>4</v>
      </c>
      <c r="I291" s="1">
        <f>IFERROR(__xludf.DUMMYFUNCTION("""COMPUTED_VALUE"""),30000.0)</f>
        <v>30000</v>
      </c>
      <c r="J291" s="1">
        <f>IFERROR(__xludf.DUMMYFUNCTION("""COMPUTED_VALUE"""),4.0)</f>
        <v>4</v>
      </c>
      <c r="K291" s="1">
        <f>IFERROR(__xludf.DUMMYFUNCTION("""COMPUTED_VALUE"""),35000.0)</f>
        <v>35000</v>
      </c>
      <c r="L291" s="1">
        <f>IFERROR(__xludf.DUMMYFUNCTION("""COMPUTED_VALUE"""),28.0)</f>
        <v>28</v>
      </c>
      <c r="M291" s="1">
        <f>IFERROR(__xludf.DUMMYFUNCTION("""COMPUTED_VALUE"""),35000.0)</f>
        <v>35000</v>
      </c>
      <c r="N291" s="1">
        <f>IFERROR(__xludf.DUMMYFUNCTION("""COMPUTED_VALUE"""),84.0)</f>
        <v>84</v>
      </c>
      <c r="O291" s="1">
        <f>IFERROR(__xludf.DUMMYFUNCTION("""COMPUTED_VALUE"""),30.0)</f>
        <v>30</v>
      </c>
      <c r="P291" s="1">
        <f>IFERROR(__xludf.DUMMYFUNCTION("""COMPUTED_VALUE"""),30000.0)</f>
        <v>30000</v>
      </c>
      <c r="Q291" s="1">
        <f>IFERROR(__xludf.DUMMYFUNCTION("""COMPUTED_VALUE"""),36.0)</f>
        <v>36</v>
      </c>
      <c r="R291" s="1">
        <f>IFERROR(__xludf.DUMMYFUNCTION("""COMPUTED_VALUE"""),14796.6103515625)</f>
        <v>14796.61035</v>
      </c>
      <c r="S291" s="1"/>
      <c r="T291" s="1"/>
      <c r="U291" s="1">
        <f>IFERROR(__xludf.DUMMYFUNCTION("""COMPUTED_VALUE"""),0.0)</f>
        <v>0</v>
      </c>
      <c r="V291" s="1"/>
      <c r="W291" s="1"/>
      <c r="X291" s="1">
        <f>IFERROR(__xludf.DUMMYFUNCTION("""COMPUTED_VALUE"""),0.0)</f>
        <v>0</v>
      </c>
      <c r="Y291" s="1">
        <f>IFERROR(__xludf.DUMMYFUNCTION("""COMPUTED_VALUE"""),33800.0)</f>
        <v>33800</v>
      </c>
      <c r="Z291" s="1">
        <f>IFERROR(__xludf.DUMMYFUNCTION("""COMPUTED_VALUE"""),3.0)</f>
        <v>3</v>
      </c>
      <c r="AA291" s="1">
        <f>IFERROR(__xludf.DUMMYFUNCTION("""COMPUTED_VALUE"""),33800.0)</f>
        <v>33800</v>
      </c>
      <c r="AB291" s="1">
        <f>IFERROR(__xludf.DUMMYFUNCTION("""COMPUTED_VALUE"""),181.0)</f>
        <v>181</v>
      </c>
      <c r="AC291" s="1">
        <f>IFERROR(__xludf.DUMMYFUNCTION("""COMPUTED_VALUE"""),22.0)</f>
        <v>22</v>
      </c>
      <c r="AD291" s="1">
        <f>IFERROR(__xludf.DUMMYFUNCTION("""COMPUTED_VALUE"""),30700.0)</f>
        <v>30700</v>
      </c>
      <c r="AE291" s="1">
        <f>IFERROR(__xludf.DUMMYFUNCTION("""COMPUTED_VALUE"""),60.0)</f>
        <v>60</v>
      </c>
      <c r="AF291" s="1">
        <f>IFERROR(__xludf.DUMMYFUNCTION("""COMPUTED_VALUE"""),14796.6103515625)</f>
        <v>14796.61035</v>
      </c>
      <c r="AG291" s="1"/>
      <c r="AH291" s="1"/>
      <c r="AI291" s="1">
        <f>IFERROR(__xludf.DUMMYFUNCTION("""COMPUTED_VALUE"""),0.0)</f>
        <v>0</v>
      </c>
      <c r="AJ291" s="1">
        <f>IFERROR(__xludf.DUMMYFUNCTION("""COMPUTED_VALUE"""),5.0)</f>
        <v>5</v>
      </c>
      <c r="AK291" s="1">
        <f>IFERROR(__xludf.DUMMYFUNCTION("""COMPUTED_VALUE"""),20000.0)</f>
        <v>20000</v>
      </c>
      <c r="AL291" s="1">
        <f>IFERROR(__xludf.DUMMYFUNCTION("""COMPUTED_VALUE"""),5.0)</f>
        <v>5</v>
      </c>
      <c r="AM291" s="1">
        <f>IFERROR(__xludf.DUMMYFUNCTION("""COMPUTED_VALUE"""),34000.0)</f>
        <v>34000</v>
      </c>
      <c r="AN291" s="1">
        <f>IFERROR(__xludf.DUMMYFUNCTION("""COMPUTED_VALUE"""),51.0)</f>
        <v>51</v>
      </c>
      <c r="AO291" s="1">
        <f>IFERROR(__xludf.DUMMYFUNCTION("""COMPUTED_VALUE"""),34000.0)</f>
        <v>34000</v>
      </c>
      <c r="AP291" s="1">
        <f>IFERROR(__xludf.DUMMYFUNCTION("""COMPUTED_VALUE"""),191.0)</f>
        <v>191</v>
      </c>
      <c r="AQ291" s="1"/>
      <c r="AR291" s="1"/>
      <c r="AS291" s="1">
        <f>IFERROR(__xludf.DUMMYFUNCTION("""COMPUTED_VALUE"""),0.0)</f>
        <v>0</v>
      </c>
    </row>
    <row r="292">
      <c r="A292" s="1" t="str">
        <f>IFERROR(__xludf.DUMMYFUNCTION("""COMPUTED_VALUE"""),"SC")</f>
        <v>SC</v>
      </c>
      <c r="B292" s="1"/>
      <c r="C292" s="1"/>
      <c r="D292" s="1">
        <f>IFERROR(__xludf.DUMMYFUNCTION("""COMPUTED_VALUE"""),562.239990234375)</f>
        <v>562.2399902</v>
      </c>
      <c r="E292" s="1">
        <f>IFERROR(__xludf.DUMMYFUNCTION("""COMPUTED_VALUE"""),103.0)</f>
        <v>103</v>
      </c>
      <c r="F292" s="1">
        <f>IFERROR(__xludf.DUMMYFUNCTION("""COMPUTED_VALUE"""),946.0)</f>
        <v>946</v>
      </c>
      <c r="G292" s="1">
        <f>IFERROR(__xludf.DUMMYFUNCTION("""COMPUTED_VALUE"""),5326.0)</f>
        <v>5326</v>
      </c>
      <c r="H292" s="1">
        <f>IFERROR(__xludf.DUMMYFUNCTION("""COMPUTED_VALUE"""),167.0)</f>
        <v>167</v>
      </c>
      <c r="I292" s="1">
        <f>IFERROR(__xludf.DUMMYFUNCTION("""COMPUTED_VALUE"""),520.0)</f>
        <v>520</v>
      </c>
      <c r="J292" s="1">
        <f>IFERROR(__xludf.DUMMYFUNCTION("""COMPUTED_VALUE"""),2212.0)</f>
        <v>2212</v>
      </c>
      <c r="K292" s="1">
        <f>IFERROR(__xludf.DUMMYFUNCTION("""COMPUTED_VALUE"""),799.0)</f>
        <v>799</v>
      </c>
      <c r="L292" s="1">
        <f>IFERROR(__xludf.DUMMYFUNCTION("""COMPUTED_VALUE"""),197.0)</f>
        <v>197</v>
      </c>
      <c r="M292" s="1">
        <f>IFERROR(__xludf.DUMMYFUNCTION("""COMPUTED_VALUE"""),799.0)</f>
        <v>799</v>
      </c>
      <c r="N292" s="1">
        <f>IFERROR(__xludf.DUMMYFUNCTION("""COMPUTED_VALUE"""),6179.0)</f>
        <v>6179</v>
      </c>
      <c r="O292" s="1">
        <f>IFERROR(__xludf.DUMMYFUNCTION("""COMPUTED_VALUE"""),10.0)</f>
        <v>10</v>
      </c>
      <c r="P292" s="1">
        <f>IFERROR(__xludf.DUMMYFUNCTION("""COMPUTED_VALUE"""),715.0)</f>
        <v>715</v>
      </c>
      <c r="Q292" s="1">
        <f>IFERROR(__xludf.DUMMYFUNCTION("""COMPUTED_VALUE"""),464.0)</f>
        <v>464</v>
      </c>
      <c r="R292" s="1">
        <f>IFERROR(__xludf.DUMMYFUNCTION("""COMPUTED_VALUE"""),1200.0)</f>
        <v>1200</v>
      </c>
      <c r="S292" s="1">
        <f>IFERROR(__xludf.DUMMYFUNCTION("""COMPUTED_VALUE"""),97.0)</f>
        <v>97</v>
      </c>
      <c r="T292" s="1">
        <f>IFERROR(__xludf.DUMMYFUNCTION("""COMPUTED_VALUE"""),1200.0)</f>
        <v>1200</v>
      </c>
      <c r="U292" s="1">
        <f>IFERROR(__xludf.DUMMYFUNCTION("""COMPUTED_VALUE"""),293.0)</f>
        <v>293</v>
      </c>
      <c r="V292" s="1">
        <f>IFERROR(__xludf.DUMMYFUNCTION("""COMPUTED_VALUE"""),100.0)</f>
        <v>100</v>
      </c>
      <c r="W292" s="1">
        <f>IFERROR(__xludf.DUMMYFUNCTION("""COMPUTED_VALUE"""),800.0)</f>
        <v>800</v>
      </c>
      <c r="X292" s="1">
        <f>IFERROR(__xludf.DUMMYFUNCTION("""COMPUTED_VALUE"""),100.0)</f>
        <v>100</v>
      </c>
      <c r="Y292" s="1">
        <f>IFERROR(__xludf.DUMMYFUNCTION("""COMPUTED_VALUE"""),790.0)</f>
        <v>790</v>
      </c>
      <c r="Z292" s="1">
        <f>IFERROR(__xludf.DUMMYFUNCTION("""COMPUTED_VALUE"""),381.0)</f>
        <v>381</v>
      </c>
      <c r="AA292" s="1">
        <f>IFERROR(__xludf.DUMMYFUNCTION("""COMPUTED_VALUE"""),790.0)</f>
        <v>790</v>
      </c>
      <c r="AB292" s="1">
        <f>IFERROR(__xludf.DUMMYFUNCTION("""COMPUTED_VALUE"""),11144.0)</f>
        <v>11144</v>
      </c>
      <c r="AC292" s="1">
        <f>IFERROR(__xludf.DUMMYFUNCTION("""COMPUTED_VALUE"""),850.0)</f>
        <v>850</v>
      </c>
      <c r="AD292" s="1">
        <f>IFERROR(__xludf.DUMMYFUNCTION("""COMPUTED_VALUE"""),671.0)</f>
        <v>671</v>
      </c>
      <c r="AE292" s="1">
        <f>IFERROR(__xludf.DUMMYFUNCTION("""COMPUTED_VALUE"""),4382.0)</f>
        <v>4382</v>
      </c>
      <c r="AF292" s="1">
        <f>IFERROR(__xludf.DUMMYFUNCTION("""COMPUTED_VALUE"""),1.0)</f>
        <v>1</v>
      </c>
      <c r="AG292" s="1">
        <f>IFERROR(__xludf.DUMMYFUNCTION("""COMPUTED_VALUE"""),2.0)</f>
        <v>2</v>
      </c>
      <c r="AH292" s="1">
        <f>IFERROR(__xludf.DUMMYFUNCTION("""COMPUTED_VALUE"""),974.0)</f>
        <v>974</v>
      </c>
      <c r="AI292" s="1">
        <f>IFERROR(__xludf.DUMMYFUNCTION("""COMPUTED_VALUE"""),275.0)</f>
        <v>275</v>
      </c>
      <c r="AJ292" s="1"/>
      <c r="AK292" s="1"/>
      <c r="AL292" s="1">
        <f>IFERROR(__xludf.DUMMYFUNCTION("""COMPUTED_VALUE"""),0.0)</f>
        <v>0</v>
      </c>
      <c r="AM292" s="1">
        <f>IFERROR(__xludf.DUMMYFUNCTION("""COMPUTED_VALUE"""),789.0)</f>
        <v>789</v>
      </c>
      <c r="AN292" s="1">
        <f>IFERROR(__xludf.DUMMYFUNCTION("""COMPUTED_VALUE"""),204.0)</f>
        <v>204</v>
      </c>
      <c r="AO292" s="1">
        <f>IFERROR(__xludf.DUMMYFUNCTION("""COMPUTED_VALUE"""),789.0)</f>
        <v>789</v>
      </c>
      <c r="AP292" s="1">
        <f>IFERROR(__xludf.DUMMYFUNCTION("""COMPUTED_VALUE"""),5483.0)</f>
        <v>5483</v>
      </c>
      <c r="AQ292" s="1">
        <f>IFERROR(__xludf.DUMMYFUNCTION("""COMPUTED_VALUE"""),126.0)</f>
        <v>126</v>
      </c>
      <c r="AR292" s="1">
        <f>IFERROR(__xludf.DUMMYFUNCTION("""COMPUTED_VALUE"""),751.0)</f>
        <v>751</v>
      </c>
      <c r="AS292" s="1">
        <f>IFERROR(__xludf.DUMMYFUNCTION("""COMPUTED_VALUE"""),585.0)</f>
        <v>585</v>
      </c>
    </row>
    <row r="293">
      <c r="A293" s="1" t="str">
        <f>IFERROR(__xludf.DUMMYFUNCTION("""COMPUTED_VALUE"""),"SCB")</f>
        <v>SCB</v>
      </c>
      <c r="B293" s="1"/>
      <c r="C293" s="1"/>
      <c r="D293" s="1">
        <f>IFERROR(__xludf.DUMMYFUNCTION("""COMPUTED_VALUE"""),149000.0)</f>
        <v>149000</v>
      </c>
      <c r="E293" s="1">
        <f>IFERROR(__xludf.DUMMYFUNCTION("""COMPUTED_VALUE"""),3.0)</f>
        <v>3</v>
      </c>
      <c r="F293" s="1">
        <f>IFERROR(__xludf.DUMMYFUNCTION("""COMPUTED_VALUE"""),150000.0)</f>
        <v>150000</v>
      </c>
      <c r="G293" s="1">
        <f>IFERROR(__xludf.DUMMYFUNCTION("""COMPUTED_VALUE"""),3.0)</f>
        <v>3</v>
      </c>
      <c r="H293" s="1"/>
      <c r="I293" s="1"/>
      <c r="J293" s="1">
        <f>IFERROR(__xludf.DUMMYFUNCTION("""COMPUTED_VALUE"""),0.0)</f>
        <v>0</v>
      </c>
      <c r="K293" s="1">
        <f>IFERROR(__xludf.DUMMYFUNCTION("""COMPUTED_VALUE"""),50000.0)</f>
        <v>50000</v>
      </c>
      <c r="L293" s="1">
        <f>IFERROR(__xludf.DUMMYFUNCTION("""COMPUTED_VALUE"""),6.0)</f>
        <v>6</v>
      </c>
      <c r="M293" s="1">
        <f>IFERROR(__xludf.DUMMYFUNCTION("""COMPUTED_VALUE"""),80000.0)</f>
        <v>80000</v>
      </c>
      <c r="N293" s="1">
        <f>IFERROR(__xludf.DUMMYFUNCTION("""COMPUTED_VALUE"""),10.0)</f>
        <v>10</v>
      </c>
      <c r="O293" s="1"/>
      <c r="P293" s="1"/>
      <c r="Q293" s="1">
        <f>IFERROR(__xludf.DUMMYFUNCTION("""COMPUTED_VALUE"""),0.0)</f>
        <v>0</v>
      </c>
      <c r="R293" s="1">
        <f>IFERROR(__xludf.DUMMYFUNCTION("""COMPUTED_VALUE"""),54548.37890625)</f>
        <v>54548.37891</v>
      </c>
      <c r="S293" s="1"/>
      <c r="T293" s="1"/>
      <c r="U293" s="1">
        <f>IFERROR(__xludf.DUMMYFUNCTION("""COMPUTED_VALUE"""),0.0)</f>
        <v>0</v>
      </c>
      <c r="V293" s="1"/>
      <c r="W293" s="1"/>
      <c r="X293" s="1">
        <f>IFERROR(__xludf.DUMMYFUNCTION("""COMPUTED_VALUE"""),0.0)</f>
        <v>0</v>
      </c>
      <c r="Y293" s="1">
        <f>IFERROR(__xludf.DUMMYFUNCTION("""COMPUTED_VALUE"""),71900.0)</f>
        <v>71900</v>
      </c>
      <c r="Z293" s="1">
        <f>IFERROR(__xludf.DUMMYFUNCTION("""COMPUTED_VALUE"""),9.0)</f>
        <v>9</v>
      </c>
      <c r="AA293" s="1">
        <f>IFERROR(__xludf.DUMMYFUNCTION("""COMPUTED_VALUE"""),72000.0)</f>
        <v>72000</v>
      </c>
      <c r="AB293" s="1">
        <f>IFERROR(__xludf.DUMMYFUNCTION("""COMPUTED_VALUE"""),12.0)</f>
        <v>12</v>
      </c>
      <c r="AC293" s="1"/>
      <c r="AD293" s="1"/>
      <c r="AE293" s="1">
        <f>IFERROR(__xludf.DUMMYFUNCTION("""COMPUTED_VALUE"""),0.0)</f>
        <v>0</v>
      </c>
      <c r="AF293" s="1">
        <f>IFERROR(__xludf.DUMMYFUNCTION("""COMPUTED_VALUE"""),54548.37890625)</f>
        <v>54548.37891</v>
      </c>
      <c r="AG293" s="1"/>
      <c r="AH293" s="1"/>
      <c r="AI293" s="1">
        <f>IFERROR(__xludf.DUMMYFUNCTION("""COMPUTED_VALUE"""),0.0)</f>
        <v>0</v>
      </c>
      <c r="AJ293" s="1"/>
      <c r="AK293" s="1"/>
      <c r="AL293" s="1">
        <f>IFERROR(__xludf.DUMMYFUNCTION("""COMPUTED_VALUE"""),0.0)</f>
        <v>0</v>
      </c>
      <c r="AM293" s="1">
        <f>IFERROR(__xludf.DUMMYFUNCTION("""COMPUTED_VALUE"""),100000.0)</f>
        <v>100000</v>
      </c>
      <c r="AN293" s="1">
        <f>IFERROR(__xludf.DUMMYFUNCTION("""COMPUTED_VALUE"""),2.0)</f>
        <v>2</v>
      </c>
      <c r="AO293" s="1">
        <f>IFERROR(__xludf.DUMMYFUNCTION("""COMPUTED_VALUE"""),100000.0)</f>
        <v>100000</v>
      </c>
      <c r="AP293" s="1">
        <f>IFERROR(__xludf.DUMMYFUNCTION("""COMPUTED_VALUE"""),3.0)</f>
        <v>3</v>
      </c>
      <c r="AQ293" s="1"/>
      <c r="AR293" s="1"/>
      <c r="AS293" s="1">
        <f>IFERROR(__xludf.DUMMYFUNCTION("""COMPUTED_VALUE"""),0.0)</f>
        <v>0</v>
      </c>
    </row>
    <row r="294">
      <c r="A294" s="1" t="str">
        <f>IFERROR(__xludf.DUMMYFUNCTION("""COMPUTED_VALUE"""),"SCN")</f>
        <v>SCN</v>
      </c>
      <c r="B294" s="1"/>
      <c r="C294" s="1"/>
      <c r="D294" s="1">
        <f>IFERROR(__xludf.DUMMYFUNCTION("""COMPUTED_VALUE"""),2350.0)</f>
        <v>2350</v>
      </c>
      <c r="E294" s="1">
        <f>IFERROR(__xludf.DUMMYFUNCTION("""COMPUTED_VALUE"""),57.0)</f>
        <v>57</v>
      </c>
      <c r="F294" s="1">
        <f>IFERROR(__xludf.DUMMYFUNCTION("""COMPUTED_VALUE"""),2350.0)</f>
        <v>2350</v>
      </c>
      <c r="G294" s="1">
        <f>IFERROR(__xludf.DUMMYFUNCTION("""COMPUTED_VALUE"""),3874.0)</f>
        <v>3874</v>
      </c>
      <c r="H294" s="1">
        <f>IFERROR(__xludf.DUMMYFUNCTION("""COMPUTED_VALUE"""),20.0)</f>
        <v>20</v>
      </c>
      <c r="I294" s="1">
        <f>IFERROR(__xludf.DUMMYFUNCTION("""COMPUTED_VALUE"""),2140.0)</f>
        <v>2140</v>
      </c>
      <c r="J294" s="1">
        <f>IFERROR(__xludf.DUMMYFUNCTION("""COMPUTED_VALUE"""),1550.0)</f>
        <v>1550</v>
      </c>
      <c r="K294" s="1">
        <f>IFERROR(__xludf.DUMMYFUNCTION("""COMPUTED_VALUE"""),2420.0)</f>
        <v>2420</v>
      </c>
      <c r="L294" s="1">
        <f>IFERROR(__xludf.DUMMYFUNCTION("""COMPUTED_VALUE"""),139.0)</f>
        <v>139</v>
      </c>
      <c r="M294" s="1">
        <f>IFERROR(__xludf.DUMMYFUNCTION("""COMPUTED_VALUE"""),2420.0)</f>
        <v>2420</v>
      </c>
      <c r="N294" s="1">
        <f>IFERROR(__xludf.DUMMYFUNCTION("""COMPUTED_VALUE"""),3683.0)</f>
        <v>3683</v>
      </c>
      <c r="O294" s="1">
        <f>IFERROR(__xludf.DUMMYFUNCTION("""COMPUTED_VALUE"""),26.0)</f>
        <v>26</v>
      </c>
      <c r="P294" s="1">
        <f>IFERROR(__xludf.DUMMYFUNCTION("""COMPUTED_VALUE"""),2300.0)</f>
        <v>2300</v>
      </c>
      <c r="Q294" s="1">
        <f>IFERROR(__xludf.DUMMYFUNCTION("""COMPUTED_VALUE"""),1026.0)</f>
        <v>1026</v>
      </c>
      <c r="R294" s="1">
        <f>IFERROR(__xludf.DUMMYFUNCTION("""COMPUTED_VALUE"""),2500.0)</f>
        <v>2500</v>
      </c>
      <c r="S294" s="1">
        <f>IFERROR(__xludf.DUMMYFUNCTION("""COMPUTED_VALUE"""),327.0)</f>
        <v>327</v>
      </c>
      <c r="T294" s="1">
        <f>IFERROR(__xludf.DUMMYFUNCTION("""COMPUTED_VALUE"""),2500.0)</f>
        <v>2500</v>
      </c>
      <c r="U294" s="1">
        <f>IFERROR(__xludf.DUMMYFUNCTION("""COMPUTED_VALUE"""),2820.0)</f>
        <v>2820</v>
      </c>
      <c r="V294" s="1"/>
      <c r="W294" s="1"/>
      <c r="X294" s="1">
        <f>IFERROR(__xludf.DUMMYFUNCTION("""COMPUTED_VALUE"""),0.0)</f>
        <v>0</v>
      </c>
      <c r="Y294" s="1">
        <f>IFERROR(__xludf.DUMMYFUNCTION("""COMPUTED_VALUE"""),2490.0)</f>
        <v>2490</v>
      </c>
      <c r="Z294" s="1">
        <f>IFERROR(__xludf.DUMMYFUNCTION("""COMPUTED_VALUE"""),38.0)</f>
        <v>38</v>
      </c>
      <c r="AA294" s="1">
        <f>IFERROR(__xludf.DUMMYFUNCTION("""COMPUTED_VALUE"""),2490.0)</f>
        <v>2490</v>
      </c>
      <c r="AB294" s="1">
        <f>IFERROR(__xludf.DUMMYFUNCTION("""COMPUTED_VALUE"""),5365.0)</f>
        <v>5365</v>
      </c>
      <c r="AC294" s="1">
        <f>IFERROR(__xludf.DUMMYFUNCTION("""COMPUTED_VALUE"""),112.0)</f>
        <v>112</v>
      </c>
      <c r="AD294" s="1">
        <f>IFERROR(__xludf.DUMMYFUNCTION("""COMPUTED_VALUE"""),2170.0)</f>
        <v>2170</v>
      </c>
      <c r="AE294" s="1">
        <f>IFERROR(__xludf.DUMMYFUNCTION("""COMPUTED_VALUE"""),2036.0)</f>
        <v>2036</v>
      </c>
      <c r="AF294" s="1">
        <f>IFERROR(__xludf.DUMMYFUNCTION("""COMPUTED_VALUE"""),2500.0)</f>
        <v>2500</v>
      </c>
      <c r="AG294" s="1">
        <f>IFERROR(__xludf.DUMMYFUNCTION("""COMPUTED_VALUE"""),2.0)</f>
        <v>2</v>
      </c>
      <c r="AH294" s="1">
        <f>IFERROR(__xludf.DUMMYFUNCTION("""COMPUTED_VALUE"""),1.0)</f>
        <v>1</v>
      </c>
      <c r="AI294" s="1">
        <f>IFERROR(__xludf.DUMMYFUNCTION("""COMPUTED_VALUE"""),308.0)</f>
        <v>308</v>
      </c>
      <c r="AJ294" s="1"/>
      <c r="AK294" s="1"/>
      <c r="AL294" s="1">
        <f>IFERROR(__xludf.DUMMYFUNCTION("""COMPUTED_VALUE"""),0.0)</f>
        <v>0</v>
      </c>
      <c r="AM294" s="1">
        <f>IFERROR(__xludf.DUMMYFUNCTION("""COMPUTED_VALUE"""),2490.0)</f>
        <v>2490</v>
      </c>
      <c r="AN294" s="1">
        <f>IFERROR(__xludf.DUMMYFUNCTION("""COMPUTED_VALUE"""),39.0)</f>
        <v>39</v>
      </c>
      <c r="AO294" s="1">
        <f>IFERROR(__xludf.DUMMYFUNCTION("""COMPUTED_VALUE"""),2490.0)</f>
        <v>2490</v>
      </c>
      <c r="AP294" s="1">
        <f>IFERROR(__xludf.DUMMYFUNCTION("""COMPUTED_VALUE"""),3646.0)</f>
        <v>3646</v>
      </c>
      <c r="AQ294" s="1">
        <f>IFERROR(__xludf.DUMMYFUNCTION("""COMPUTED_VALUE"""),1.0)</f>
        <v>1</v>
      </c>
      <c r="AR294" s="1">
        <f>IFERROR(__xludf.DUMMYFUNCTION("""COMPUTED_VALUE"""),2150.0)</f>
        <v>2150</v>
      </c>
      <c r="AS294" s="1">
        <f>IFERROR(__xludf.DUMMYFUNCTION("""COMPUTED_VALUE"""),749.0)</f>
        <v>749</v>
      </c>
    </row>
    <row r="295">
      <c r="A295" s="1" t="str">
        <f>IFERROR(__xludf.DUMMYFUNCTION("""COMPUTED_VALUE"""),"SCR")</f>
        <v>SCR</v>
      </c>
      <c r="B295" s="1">
        <f>IFERROR(__xludf.DUMMYFUNCTION("""COMPUTED_VALUE"""),82.0)</f>
        <v>82</v>
      </c>
      <c r="C295" s="1"/>
      <c r="D295" s="1">
        <f>IFERROR(__xludf.DUMMYFUNCTION("""COMPUTED_VALUE"""),83.6999969482421)</f>
        <v>83.69999695</v>
      </c>
      <c r="E295" s="1">
        <f>IFERROR(__xludf.DUMMYFUNCTION("""COMPUTED_VALUE"""),300.0)</f>
        <v>300</v>
      </c>
      <c r="F295" s="1">
        <f>IFERROR(__xludf.DUMMYFUNCTION("""COMPUTED_VALUE"""),219.0)</f>
        <v>219</v>
      </c>
      <c r="G295" s="1">
        <f>IFERROR(__xludf.DUMMYFUNCTION("""COMPUTED_VALUE"""),6822.0)</f>
        <v>6822</v>
      </c>
      <c r="H295" s="1">
        <f>IFERROR(__xludf.DUMMYFUNCTION("""COMPUTED_VALUE"""),1000.0)</f>
        <v>1000</v>
      </c>
      <c r="I295" s="1">
        <f>IFERROR(__xludf.DUMMYFUNCTION("""COMPUTED_VALUE"""),85.0)</f>
        <v>85</v>
      </c>
      <c r="J295" s="1">
        <f>IFERROR(__xludf.DUMMYFUNCTION("""COMPUTED_VALUE"""),5027.0)</f>
        <v>5027</v>
      </c>
      <c r="K295" s="1">
        <f>IFERROR(__xludf.DUMMYFUNCTION("""COMPUTED_VALUE"""),170.0)</f>
        <v>170</v>
      </c>
      <c r="L295" s="1">
        <f>IFERROR(__xludf.DUMMYFUNCTION("""COMPUTED_VALUE"""),595.0)</f>
        <v>595</v>
      </c>
      <c r="M295" s="1">
        <f>IFERROR(__xludf.DUMMYFUNCTION("""COMPUTED_VALUE"""),170.0)</f>
        <v>170</v>
      </c>
      <c r="N295" s="1">
        <f>IFERROR(__xludf.DUMMYFUNCTION("""COMPUTED_VALUE"""),4420.0)</f>
        <v>4420</v>
      </c>
      <c r="O295" s="1">
        <f>IFERROR(__xludf.DUMMYFUNCTION("""COMPUTED_VALUE"""),1248.0)</f>
        <v>1248</v>
      </c>
      <c r="P295" s="1">
        <f>IFERROR(__xludf.DUMMYFUNCTION("""COMPUTED_VALUE"""),96.9000015258789)</f>
        <v>96.90000153</v>
      </c>
      <c r="Q295" s="1">
        <f>IFERROR(__xludf.DUMMYFUNCTION("""COMPUTED_VALUE"""),1348.0)</f>
        <v>1348</v>
      </c>
      <c r="R295" s="1">
        <f>IFERROR(__xludf.DUMMYFUNCTION("""COMPUTED_VALUE"""),100.0)</f>
        <v>100</v>
      </c>
      <c r="S295" s="1">
        <f>IFERROR(__xludf.DUMMYFUNCTION("""COMPUTED_VALUE"""),183.0)</f>
        <v>183</v>
      </c>
      <c r="T295" s="1">
        <f>IFERROR(__xludf.DUMMYFUNCTION("""COMPUTED_VALUE"""),100.0)</f>
        <v>100</v>
      </c>
      <c r="U295" s="1">
        <f>IFERROR(__xludf.DUMMYFUNCTION("""COMPUTED_VALUE"""),183.0)</f>
        <v>183</v>
      </c>
      <c r="V295" s="1"/>
      <c r="W295" s="1"/>
      <c r="X295" s="1">
        <f>IFERROR(__xludf.DUMMYFUNCTION("""COMPUTED_VALUE"""),0.0)</f>
        <v>0</v>
      </c>
      <c r="Y295" s="1">
        <f>IFERROR(__xludf.DUMMYFUNCTION("""COMPUTED_VALUE"""),197.0)</f>
        <v>197</v>
      </c>
      <c r="Z295" s="1">
        <f>IFERROR(__xludf.DUMMYFUNCTION("""COMPUTED_VALUE"""),48.0)</f>
        <v>48</v>
      </c>
      <c r="AA295" s="1">
        <f>IFERROR(__xludf.DUMMYFUNCTION("""COMPUTED_VALUE"""),197.0)</f>
        <v>197</v>
      </c>
      <c r="AB295" s="1">
        <f>IFERROR(__xludf.DUMMYFUNCTION("""COMPUTED_VALUE"""),2851.0)</f>
        <v>2851</v>
      </c>
      <c r="AC295" s="1">
        <f>IFERROR(__xludf.DUMMYFUNCTION("""COMPUTED_VALUE"""),112.0)</f>
        <v>112</v>
      </c>
      <c r="AD295" s="1">
        <f>IFERROR(__xludf.DUMMYFUNCTION("""COMPUTED_VALUE"""),121.0)</f>
        <v>121</v>
      </c>
      <c r="AE295" s="1">
        <f>IFERROR(__xludf.DUMMYFUNCTION("""COMPUTED_VALUE"""),5480.0)</f>
        <v>5480</v>
      </c>
      <c r="AF295" s="1">
        <f>IFERROR(__xludf.DUMMYFUNCTION("""COMPUTED_VALUE"""),150.0)</f>
        <v>150</v>
      </c>
      <c r="AG295" s="1">
        <f>IFERROR(__xludf.DUMMYFUNCTION("""COMPUTED_VALUE"""),15.0)</f>
        <v>15</v>
      </c>
      <c r="AH295" s="1">
        <f>IFERROR(__xludf.DUMMYFUNCTION("""COMPUTED_VALUE"""),144.0)</f>
        <v>144</v>
      </c>
      <c r="AI295" s="1">
        <f>IFERROR(__xludf.DUMMYFUNCTION("""COMPUTED_VALUE"""),15.0)</f>
        <v>15</v>
      </c>
      <c r="AJ295" s="1"/>
      <c r="AK295" s="1"/>
      <c r="AL295" s="1">
        <f>IFERROR(__xludf.DUMMYFUNCTION("""COMPUTED_VALUE"""),0.0)</f>
        <v>0</v>
      </c>
      <c r="AM295" s="1">
        <f>IFERROR(__xludf.DUMMYFUNCTION("""COMPUTED_VALUE"""),82.0)</f>
        <v>82</v>
      </c>
      <c r="AN295" s="1">
        <f>IFERROR(__xludf.DUMMYFUNCTION("""COMPUTED_VALUE"""),268.0)</f>
        <v>268</v>
      </c>
      <c r="AO295" s="1">
        <f>IFERROR(__xludf.DUMMYFUNCTION("""COMPUTED_VALUE"""),200.0)</f>
        <v>200</v>
      </c>
      <c r="AP295" s="1">
        <f>IFERROR(__xludf.DUMMYFUNCTION("""COMPUTED_VALUE"""),610.0)</f>
        <v>610</v>
      </c>
      <c r="AQ295" s="1">
        <f>IFERROR(__xludf.DUMMYFUNCTION("""COMPUTED_VALUE"""),100.0)</f>
        <v>100</v>
      </c>
      <c r="AR295" s="1">
        <f>IFERROR(__xludf.DUMMYFUNCTION("""COMPUTED_VALUE"""),82.0)</f>
        <v>82</v>
      </c>
      <c r="AS295" s="1">
        <f>IFERROR(__xludf.DUMMYFUNCTION("""COMPUTED_VALUE"""),100.0)</f>
        <v>100</v>
      </c>
    </row>
    <row r="296">
      <c r="A296" s="1" t="str">
        <f>IFERROR(__xludf.DUMMYFUNCTION("""COMPUTED_VALUE"""),"SDM")</f>
        <v>SDM</v>
      </c>
      <c r="B296" s="1"/>
      <c r="C296" s="1"/>
      <c r="D296" s="1">
        <f>IFERROR(__xludf.DUMMYFUNCTION("""COMPUTED_VALUE"""),1106540.75)</f>
        <v>1106540.75</v>
      </c>
      <c r="E296" s="1">
        <f>IFERROR(__xludf.DUMMYFUNCTION("""COMPUTED_VALUE"""),1.0)</f>
        <v>1</v>
      </c>
      <c r="F296" s="1">
        <f>IFERROR(__xludf.DUMMYFUNCTION("""COMPUTED_VALUE"""),3890000.0)</f>
        <v>3890000</v>
      </c>
      <c r="G296" s="1">
        <f>IFERROR(__xludf.DUMMYFUNCTION("""COMPUTED_VALUE"""),5.0)</f>
        <v>5</v>
      </c>
      <c r="H296" s="1">
        <f>IFERROR(__xludf.DUMMYFUNCTION("""COMPUTED_VALUE"""),1.0)</f>
        <v>1</v>
      </c>
      <c r="I296" s="1">
        <f>IFERROR(__xludf.DUMMYFUNCTION("""COMPUTED_VALUE"""),1900000.0)</f>
        <v>1900000</v>
      </c>
      <c r="J296" s="1">
        <f>IFERROR(__xludf.DUMMYFUNCTION("""COMPUTED_VALUE"""),1.0)</f>
        <v>1</v>
      </c>
      <c r="K296" s="1">
        <f>IFERROR(__xludf.DUMMYFUNCTION("""COMPUTED_VALUE"""),1106540.75)</f>
        <v>1106540.75</v>
      </c>
      <c r="L296" s="1"/>
      <c r="M296" s="1"/>
      <c r="N296" s="1">
        <f>IFERROR(__xludf.DUMMYFUNCTION("""COMPUTED_VALUE"""),0.0)</f>
        <v>0</v>
      </c>
      <c r="O296" s="1"/>
      <c r="P296" s="1"/>
      <c r="Q296" s="1">
        <f>IFERROR(__xludf.DUMMYFUNCTION("""COMPUTED_VALUE"""),0.0)</f>
        <v>0</v>
      </c>
      <c r="R296" s="1">
        <f>IFERROR(__xludf.DUMMYFUNCTION("""COMPUTED_VALUE"""),1106540.75)</f>
        <v>1106540.75</v>
      </c>
      <c r="S296" s="1"/>
      <c r="T296" s="1"/>
      <c r="U296" s="1">
        <f>IFERROR(__xludf.DUMMYFUNCTION("""COMPUTED_VALUE"""),0.0)</f>
        <v>0</v>
      </c>
      <c r="V296" s="1"/>
      <c r="W296" s="1"/>
      <c r="X296" s="1">
        <f>IFERROR(__xludf.DUMMYFUNCTION("""COMPUTED_VALUE"""),0.0)</f>
        <v>0</v>
      </c>
      <c r="Y296" s="1">
        <f>IFERROR(__xludf.DUMMYFUNCTION("""COMPUTED_VALUE"""),2500000.0)</f>
        <v>2500000</v>
      </c>
      <c r="Z296" s="1"/>
      <c r="AA296" s="1"/>
      <c r="AB296" s="1">
        <f>IFERROR(__xludf.DUMMYFUNCTION("""COMPUTED_VALUE"""),0.0)</f>
        <v>0</v>
      </c>
      <c r="AC296" s="1"/>
      <c r="AD296" s="1"/>
      <c r="AE296" s="1">
        <f>IFERROR(__xludf.DUMMYFUNCTION("""COMPUTED_VALUE"""),0.0)</f>
        <v>0</v>
      </c>
      <c r="AF296" s="1">
        <f>IFERROR(__xludf.DUMMYFUNCTION("""COMPUTED_VALUE"""),1106540.75)</f>
        <v>1106540.75</v>
      </c>
      <c r="AG296" s="1"/>
      <c r="AH296" s="1"/>
      <c r="AI296" s="1">
        <f>IFERROR(__xludf.DUMMYFUNCTION("""COMPUTED_VALUE"""),0.0)</f>
        <v>0</v>
      </c>
      <c r="AJ296" s="1"/>
      <c r="AK296" s="1"/>
      <c r="AL296" s="1">
        <f>IFERROR(__xludf.DUMMYFUNCTION("""COMPUTED_VALUE"""),0.0)</f>
        <v>0</v>
      </c>
      <c r="AM296" s="1">
        <f>IFERROR(__xludf.DUMMYFUNCTION("""COMPUTED_VALUE"""),1106540.75)</f>
        <v>1106540.75</v>
      </c>
      <c r="AN296" s="1"/>
      <c r="AO296" s="1"/>
      <c r="AP296" s="1">
        <f>IFERROR(__xludf.DUMMYFUNCTION("""COMPUTED_VALUE"""),0.0)</f>
        <v>0</v>
      </c>
      <c r="AQ296" s="1"/>
      <c r="AR296" s="1"/>
      <c r="AS296" s="1">
        <f>IFERROR(__xludf.DUMMYFUNCTION("""COMPUTED_VALUE"""),0.0)</f>
        <v>0</v>
      </c>
    </row>
    <row r="297">
      <c r="A297" s="1" t="str">
        <f>IFERROR(__xludf.DUMMYFUNCTION("""COMPUTED_VALUE"""),"SDR")</f>
        <v>SDR</v>
      </c>
      <c r="B297" s="1">
        <f>IFERROR(__xludf.DUMMYFUNCTION("""COMPUTED_VALUE"""),100000.0)</f>
        <v>100000</v>
      </c>
      <c r="C297" s="1"/>
      <c r="D297" s="1">
        <f>IFERROR(__xludf.DUMMYFUNCTION("""COMPUTED_VALUE"""),100000.0)</f>
        <v>100000</v>
      </c>
      <c r="E297" s="1">
        <f>IFERROR(__xludf.DUMMYFUNCTION("""COMPUTED_VALUE"""),40.0)</f>
        <v>40</v>
      </c>
      <c r="F297" s="1">
        <f>IFERROR(__xludf.DUMMYFUNCTION("""COMPUTED_VALUE"""),101000.0)</f>
        <v>101000</v>
      </c>
      <c r="G297" s="1">
        <f>IFERROR(__xludf.DUMMYFUNCTION("""COMPUTED_VALUE"""),72.0)</f>
        <v>72</v>
      </c>
      <c r="H297" s="1">
        <f>IFERROR(__xludf.DUMMYFUNCTION("""COMPUTED_VALUE"""),100.0)</f>
        <v>100</v>
      </c>
      <c r="I297" s="1">
        <f>IFERROR(__xludf.DUMMYFUNCTION("""COMPUTED_VALUE"""),100000.0)</f>
        <v>100000</v>
      </c>
      <c r="J297" s="1">
        <f>IFERROR(__xludf.DUMMYFUNCTION("""COMPUTED_VALUE"""),100.0)</f>
        <v>100</v>
      </c>
      <c r="K297" s="1">
        <f>IFERROR(__xludf.DUMMYFUNCTION("""COMPUTED_VALUE"""),100000.0)</f>
        <v>100000</v>
      </c>
      <c r="L297" s="1"/>
      <c r="M297" s="1"/>
      <c r="N297" s="1">
        <f>IFERROR(__xludf.DUMMYFUNCTION("""COMPUTED_VALUE"""),0.0)</f>
        <v>0</v>
      </c>
      <c r="O297" s="1">
        <f>IFERROR(__xludf.DUMMYFUNCTION("""COMPUTED_VALUE"""),100.0)</f>
        <v>100</v>
      </c>
      <c r="P297" s="1">
        <f>IFERROR(__xludf.DUMMYFUNCTION("""COMPUTED_VALUE"""),100000.0)</f>
        <v>100000</v>
      </c>
      <c r="Q297" s="1">
        <f>IFERROR(__xludf.DUMMYFUNCTION("""COMPUTED_VALUE"""),100.0)</f>
        <v>100</v>
      </c>
      <c r="R297" s="1">
        <f>IFERROR(__xludf.DUMMYFUNCTION("""COMPUTED_VALUE"""),37056.73046875)</f>
        <v>37056.73047</v>
      </c>
      <c r="S297" s="1"/>
      <c r="T297" s="1"/>
      <c r="U297" s="1">
        <f>IFERROR(__xludf.DUMMYFUNCTION("""COMPUTED_VALUE"""),0.0)</f>
        <v>0</v>
      </c>
      <c r="V297" s="1"/>
      <c r="W297" s="1"/>
      <c r="X297" s="1">
        <f>IFERROR(__xludf.DUMMYFUNCTION("""COMPUTED_VALUE"""),0.0)</f>
        <v>0</v>
      </c>
      <c r="Y297" s="1">
        <f>IFERROR(__xludf.DUMMYFUNCTION("""COMPUTED_VALUE"""),100000.0)</f>
        <v>100000</v>
      </c>
      <c r="Z297" s="1"/>
      <c r="AA297" s="1"/>
      <c r="AB297" s="1">
        <f>IFERROR(__xludf.DUMMYFUNCTION("""COMPUTED_VALUE"""),0.0)</f>
        <v>0</v>
      </c>
      <c r="AC297" s="1">
        <f>IFERROR(__xludf.DUMMYFUNCTION("""COMPUTED_VALUE"""),100.0)</f>
        <v>100</v>
      </c>
      <c r="AD297" s="1">
        <f>IFERROR(__xludf.DUMMYFUNCTION("""COMPUTED_VALUE"""),100000.0)</f>
        <v>100000</v>
      </c>
      <c r="AE297" s="1">
        <f>IFERROR(__xludf.DUMMYFUNCTION("""COMPUTED_VALUE"""),100.0)</f>
        <v>100</v>
      </c>
      <c r="AF297" s="1">
        <f>IFERROR(__xludf.DUMMYFUNCTION("""COMPUTED_VALUE"""),37056.73046875)</f>
        <v>37056.73047</v>
      </c>
      <c r="AG297" s="1"/>
      <c r="AH297" s="1"/>
      <c r="AI297" s="1">
        <f>IFERROR(__xludf.DUMMYFUNCTION("""COMPUTED_VALUE"""),0.0)</f>
        <v>0</v>
      </c>
      <c r="AJ297" s="1"/>
      <c r="AK297" s="1"/>
      <c r="AL297" s="1">
        <f>IFERROR(__xludf.DUMMYFUNCTION("""COMPUTED_VALUE"""),0.0)</f>
        <v>0</v>
      </c>
      <c r="AM297" s="1">
        <f>IFERROR(__xludf.DUMMYFUNCTION("""COMPUTED_VALUE"""),100000.0)</f>
        <v>100000</v>
      </c>
      <c r="AN297" s="1">
        <f>IFERROR(__xludf.DUMMYFUNCTION("""COMPUTED_VALUE"""),19.0)</f>
        <v>19</v>
      </c>
      <c r="AO297" s="1">
        <f>IFERROR(__xludf.DUMMYFUNCTION("""COMPUTED_VALUE"""),110000.0)</f>
        <v>110000</v>
      </c>
      <c r="AP297" s="1">
        <f>IFERROR(__xludf.DUMMYFUNCTION("""COMPUTED_VALUE"""),19.0)</f>
        <v>19</v>
      </c>
      <c r="AQ297" s="1">
        <f>IFERROR(__xludf.DUMMYFUNCTION("""COMPUTED_VALUE"""),100.0)</f>
        <v>100</v>
      </c>
      <c r="AR297" s="1">
        <f>IFERROR(__xludf.DUMMYFUNCTION("""COMPUTED_VALUE"""),100000.0)</f>
        <v>100000</v>
      </c>
      <c r="AS297" s="1">
        <f>IFERROR(__xludf.DUMMYFUNCTION("""COMPUTED_VALUE"""),100.0)</f>
        <v>100</v>
      </c>
    </row>
    <row r="298">
      <c r="A298" s="1" t="str">
        <f>IFERROR(__xludf.DUMMYFUNCTION("""COMPUTED_VALUE"""),"SEA")</f>
        <v>SEA</v>
      </c>
      <c r="B298" s="1"/>
      <c r="C298" s="1"/>
      <c r="D298" s="1">
        <f>IFERROR(__xludf.DUMMYFUNCTION("""COMPUTED_VALUE"""),150.0)</f>
        <v>150</v>
      </c>
      <c r="E298" s="1">
        <f>IFERROR(__xludf.DUMMYFUNCTION("""COMPUTED_VALUE"""),26648.0)</f>
        <v>26648</v>
      </c>
      <c r="F298" s="1">
        <f>IFERROR(__xludf.DUMMYFUNCTION("""COMPUTED_VALUE"""),150.0)</f>
        <v>150</v>
      </c>
      <c r="G298" s="1">
        <f>IFERROR(__xludf.DUMMYFUNCTION("""COMPUTED_VALUE"""),188709.0)</f>
        <v>188709</v>
      </c>
      <c r="H298" s="1">
        <f>IFERROR(__xludf.DUMMYFUNCTION("""COMPUTED_VALUE"""),95.0)</f>
        <v>95</v>
      </c>
      <c r="I298" s="1">
        <f>IFERROR(__xludf.DUMMYFUNCTION("""COMPUTED_VALUE"""),124.0)</f>
        <v>124</v>
      </c>
      <c r="J298" s="1">
        <f>IFERROR(__xludf.DUMMYFUNCTION("""COMPUTED_VALUE"""),177129.0)</f>
        <v>177129</v>
      </c>
      <c r="K298" s="1">
        <f>IFERROR(__xludf.DUMMYFUNCTION("""COMPUTED_VALUE"""),159.0)</f>
        <v>159</v>
      </c>
      <c r="L298" s="1">
        <f>IFERROR(__xludf.DUMMYFUNCTION("""COMPUTED_VALUE"""),20000.0)</f>
        <v>20000</v>
      </c>
      <c r="M298" s="1">
        <f>IFERROR(__xludf.DUMMYFUNCTION("""COMPUTED_VALUE"""),125.0)</f>
        <v>125</v>
      </c>
      <c r="N298" s="1">
        <f>IFERROR(__xludf.DUMMYFUNCTION("""COMPUTED_VALUE"""),40125.0)</f>
        <v>40125</v>
      </c>
      <c r="O298" s="1">
        <f>IFERROR(__xludf.DUMMYFUNCTION("""COMPUTED_VALUE"""),100.0)</f>
        <v>100</v>
      </c>
      <c r="P298" s="1">
        <f>IFERROR(__xludf.DUMMYFUNCTION("""COMPUTED_VALUE"""),82.0)</f>
        <v>82</v>
      </c>
      <c r="Q298" s="1">
        <f>IFERROR(__xludf.DUMMYFUNCTION("""COMPUTED_VALUE"""),112328.0)</f>
        <v>112328</v>
      </c>
      <c r="R298" s="1">
        <f>IFERROR(__xludf.DUMMYFUNCTION("""COMPUTED_VALUE"""),150.0)</f>
        <v>150</v>
      </c>
      <c r="S298" s="1">
        <f>IFERROR(__xludf.DUMMYFUNCTION("""COMPUTED_VALUE"""),175.0)</f>
        <v>175</v>
      </c>
      <c r="T298" s="1">
        <f>IFERROR(__xludf.DUMMYFUNCTION("""COMPUTED_VALUE"""),150.0)</f>
        <v>150</v>
      </c>
      <c r="U298" s="1">
        <f>IFERROR(__xludf.DUMMYFUNCTION("""COMPUTED_VALUE"""),675.0)</f>
        <v>675</v>
      </c>
      <c r="V298" s="1"/>
      <c r="W298" s="1"/>
      <c r="X298" s="1">
        <f>IFERROR(__xludf.DUMMYFUNCTION("""COMPUTED_VALUE"""),0.0)</f>
        <v>0</v>
      </c>
      <c r="Y298" s="1">
        <f>IFERROR(__xludf.DUMMYFUNCTION("""COMPUTED_VALUE"""),160.0)</f>
        <v>160</v>
      </c>
      <c r="Z298" s="1">
        <f>IFERROR(__xludf.DUMMYFUNCTION("""COMPUTED_VALUE"""),7583.0)</f>
        <v>7583</v>
      </c>
      <c r="AA298" s="1">
        <f>IFERROR(__xludf.DUMMYFUNCTION("""COMPUTED_VALUE"""),160.0)</f>
        <v>160</v>
      </c>
      <c r="AB298" s="1">
        <f>IFERROR(__xludf.DUMMYFUNCTION("""COMPUTED_VALUE"""),63208.0)</f>
        <v>63208</v>
      </c>
      <c r="AC298" s="1">
        <f>IFERROR(__xludf.DUMMYFUNCTION("""COMPUTED_VALUE"""),500.0)</f>
        <v>500</v>
      </c>
      <c r="AD298" s="1">
        <f>IFERROR(__xludf.DUMMYFUNCTION("""COMPUTED_VALUE"""),121.0)</f>
        <v>121</v>
      </c>
      <c r="AE298" s="1">
        <f>IFERROR(__xludf.DUMMYFUNCTION("""COMPUTED_VALUE"""),116095.0)</f>
        <v>116095</v>
      </c>
      <c r="AF298" s="1">
        <f>IFERROR(__xludf.DUMMYFUNCTION("""COMPUTED_VALUE"""),175.0)</f>
        <v>175</v>
      </c>
      <c r="AG298" s="1">
        <f>IFERROR(__xludf.DUMMYFUNCTION("""COMPUTED_VALUE"""),1000.0)</f>
        <v>1000</v>
      </c>
      <c r="AH298" s="1">
        <f>IFERROR(__xludf.DUMMYFUNCTION("""COMPUTED_VALUE"""),170.0)</f>
        <v>170</v>
      </c>
      <c r="AI298" s="1">
        <f>IFERROR(__xludf.DUMMYFUNCTION("""COMPUTED_VALUE"""),5645.0)</f>
        <v>5645</v>
      </c>
      <c r="AJ298" s="1"/>
      <c r="AK298" s="1"/>
      <c r="AL298" s="1">
        <f>IFERROR(__xludf.DUMMYFUNCTION("""COMPUTED_VALUE"""),0.0)</f>
        <v>0</v>
      </c>
      <c r="AM298" s="1">
        <f>IFERROR(__xludf.DUMMYFUNCTION("""COMPUTED_VALUE"""),140.0)</f>
        <v>140</v>
      </c>
      <c r="AN298" s="1">
        <f>IFERROR(__xludf.DUMMYFUNCTION("""COMPUTED_VALUE"""),959.0)</f>
        <v>959</v>
      </c>
      <c r="AO298" s="1">
        <f>IFERROR(__xludf.DUMMYFUNCTION("""COMPUTED_VALUE"""),140.0)</f>
        <v>140</v>
      </c>
      <c r="AP298" s="1">
        <f>IFERROR(__xludf.DUMMYFUNCTION("""COMPUTED_VALUE"""),103132.0)</f>
        <v>103132</v>
      </c>
      <c r="AQ298" s="1">
        <f>IFERROR(__xludf.DUMMYFUNCTION("""COMPUTED_VALUE"""),203.0)</f>
        <v>203</v>
      </c>
      <c r="AR298" s="1">
        <f>IFERROR(__xludf.DUMMYFUNCTION("""COMPUTED_VALUE"""),137.0)</f>
        <v>137</v>
      </c>
      <c r="AS298" s="1">
        <f>IFERROR(__xludf.DUMMYFUNCTION("""COMPUTED_VALUE"""),117099.0)</f>
        <v>117099</v>
      </c>
    </row>
    <row r="299">
      <c r="A299" s="1" t="str">
        <f>IFERROR(__xludf.DUMMYFUNCTION("""COMPUTED_VALUE"""),"SEN")</f>
        <v>SEN</v>
      </c>
      <c r="B299" s="1"/>
      <c r="C299" s="1"/>
      <c r="D299" s="1">
        <f>IFERROR(__xludf.DUMMYFUNCTION("""COMPUTED_VALUE"""),733.0)</f>
        <v>733</v>
      </c>
      <c r="E299" s="1">
        <f>IFERROR(__xludf.DUMMYFUNCTION("""COMPUTED_VALUE"""),970.0)</f>
        <v>970</v>
      </c>
      <c r="F299" s="1">
        <f>IFERROR(__xludf.DUMMYFUNCTION("""COMPUTED_VALUE"""),733.0)</f>
        <v>733</v>
      </c>
      <c r="G299" s="1">
        <f>IFERROR(__xludf.DUMMYFUNCTION("""COMPUTED_VALUE"""),35455.0)</f>
        <v>35455</v>
      </c>
      <c r="H299" s="1">
        <f>IFERROR(__xludf.DUMMYFUNCTION("""COMPUTED_VALUE"""),1340.0)</f>
        <v>1340</v>
      </c>
      <c r="I299" s="1">
        <f>IFERROR(__xludf.DUMMYFUNCTION("""COMPUTED_VALUE"""),721.0)</f>
        <v>721</v>
      </c>
      <c r="J299" s="1">
        <f>IFERROR(__xludf.DUMMYFUNCTION("""COMPUTED_VALUE"""),17798.0)</f>
        <v>17798</v>
      </c>
      <c r="K299" s="1">
        <f>IFERROR(__xludf.DUMMYFUNCTION("""COMPUTED_VALUE"""),720.0)</f>
        <v>720</v>
      </c>
      <c r="L299" s="1">
        <f>IFERROR(__xludf.DUMMYFUNCTION("""COMPUTED_VALUE"""),70.0)</f>
        <v>70</v>
      </c>
      <c r="M299" s="1">
        <f>IFERROR(__xludf.DUMMYFUNCTION("""COMPUTED_VALUE"""),750.0)</f>
        <v>750</v>
      </c>
      <c r="N299" s="1">
        <f>IFERROR(__xludf.DUMMYFUNCTION("""COMPUTED_VALUE"""),10270.0)</f>
        <v>10270</v>
      </c>
      <c r="O299" s="1">
        <f>IFERROR(__xludf.DUMMYFUNCTION("""COMPUTED_VALUE"""),5000.0)</f>
        <v>5000</v>
      </c>
      <c r="P299" s="1">
        <f>IFERROR(__xludf.DUMMYFUNCTION("""COMPUTED_VALUE"""),720.0)</f>
        <v>720</v>
      </c>
      <c r="Q299" s="1">
        <f>IFERROR(__xludf.DUMMYFUNCTION("""COMPUTED_VALUE"""),7160.0)</f>
        <v>7160</v>
      </c>
      <c r="R299" s="1">
        <f>IFERROR(__xludf.DUMMYFUNCTION("""COMPUTED_VALUE"""),1300.0)</f>
        <v>1300</v>
      </c>
      <c r="S299" s="1"/>
      <c r="T299" s="1"/>
      <c r="U299" s="1">
        <f>IFERROR(__xludf.DUMMYFUNCTION("""COMPUTED_VALUE"""),0.0)</f>
        <v>0</v>
      </c>
      <c r="V299" s="1">
        <f>IFERROR(__xludf.DUMMYFUNCTION("""COMPUTED_VALUE"""),50.0)</f>
        <v>50</v>
      </c>
      <c r="W299" s="1">
        <f>IFERROR(__xludf.DUMMYFUNCTION("""COMPUTED_VALUE"""),610.0)</f>
        <v>610</v>
      </c>
      <c r="X299" s="1">
        <f>IFERROR(__xludf.DUMMYFUNCTION("""COMPUTED_VALUE"""),100.0)</f>
        <v>100</v>
      </c>
      <c r="Y299" s="1">
        <f>IFERROR(__xludf.DUMMYFUNCTION("""COMPUTED_VALUE"""),726.0)</f>
        <v>726</v>
      </c>
      <c r="Z299" s="1">
        <f>IFERROR(__xludf.DUMMYFUNCTION("""COMPUTED_VALUE"""),216.0)</f>
        <v>216</v>
      </c>
      <c r="AA299" s="1">
        <f>IFERROR(__xludf.DUMMYFUNCTION("""COMPUTED_VALUE"""),759.0)</f>
        <v>759</v>
      </c>
      <c r="AB299" s="1">
        <f>IFERROR(__xludf.DUMMYFUNCTION("""COMPUTED_VALUE"""),30559.0)</f>
        <v>30559</v>
      </c>
      <c r="AC299" s="1">
        <f>IFERROR(__xludf.DUMMYFUNCTION("""COMPUTED_VALUE"""),207.0)</f>
        <v>207</v>
      </c>
      <c r="AD299" s="1">
        <f>IFERROR(__xludf.DUMMYFUNCTION("""COMPUTED_VALUE"""),726.0)</f>
        <v>726</v>
      </c>
      <c r="AE299" s="1">
        <f>IFERROR(__xludf.DUMMYFUNCTION("""COMPUTED_VALUE"""),12949.0)</f>
        <v>12949</v>
      </c>
      <c r="AF299" s="1">
        <f>IFERROR(__xludf.DUMMYFUNCTION("""COMPUTED_VALUE"""),830.0)</f>
        <v>830</v>
      </c>
      <c r="AG299" s="1">
        <f>IFERROR(__xludf.DUMMYFUNCTION("""COMPUTED_VALUE"""),50.0)</f>
        <v>50</v>
      </c>
      <c r="AH299" s="1">
        <f>IFERROR(__xludf.DUMMYFUNCTION("""COMPUTED_VALUE"""),775.0)</f>
        <v>775</v>
      </c>
      <c r="AI299" s="1">
        <f>IFERROR(__xludf.DUMMYFUNCTION("""COMPUTED_VALUE"""),50.0)</f>
        <v>50</v>
      </c>
      <c r="AJ299" s="1"/>
      <c r="AK299" s="1"/>
      <c r="AL299" s="1">
        <f>IFERROR(__xludf.DUMMYFUNCTION("""COMPUTED_VALUE"""),0.0)</f>
        <v>0</v>
      </c>
      <c r="AM299" s="1">
        <f>IFERROR(__xludf.DUMMYFUNCTION("""COMPUTED_VALUE"""),729.0)</f>
        <v>729</v>
      </c>
      <c r="AN299" s="1">
        <f>IFERROR(__xludf.DUMMYFUNCTION("""COMPUTED_VALUE"""),200.0)</f>
        <v>200</v>
      </c>
      <c r="AO299" s="1">
        <f>IFERROR(__xludf.DUMMYFUNCTION("""COMPUTED_VALUE"""),750.0)</f>
        <v>750</v>
      </c>
      <c r="AP299" s="1">
        <f>IFERROR(__xludf.DUMMYFUNCTION("""COMPUTED_VALUE"""),5182.0)</f>
        <v>5182</v>
      </c>
      <c r="AQ299" s="1">
        <f>IFERROR(__xludf.DUMMYFUNCTION("""COMPUTED_VALUE"""),1800.0)</f>
        <v>1800</v>
      </c>
      <c r="AR299" s="1">
        <f>IFERROR(__xludf.DUMMYFUNCTION("""COMPUTED_VALUE"""),693.0)</f>
        <v>693</v>
      </c>
      <c r="AS299" s="1">
        <f>IFERROR(__xludf.DUMMYFUNCTION("""COMPUTED_VALUE"""),6116.0)</f>
        <v>6116</v>
      </c>
    </row>
    <row r="300">
      <c r="A300" s="1" t="str">
        <f>IFERROR(__xludf.DUMMYFUNCTION("""COMPUTED_VALUE"""),"SEQ")</f>
        <v>SEQ</v>
      </c>
      <c r="B300" s="1"/>
      <c r="C300" s="1"/>
      <c r="D300" s="1">
        <f>IFERROR(__xludf.DUMMYFUNCTION("""COMPUTED_VALUE"""),17000.0)</f>
        <v>17000</v>
      </c>
      <c r="E300" s="1">
        <f>IFERROR(__xludf.DUMMYFUNCTION("""COMPUTED_VALUE"""),10.0)</f>
        <v>10</v>
      </c>
      <c r="F300" s="1">
        <f>IFERROR(__xludf.DUMMYFUNCTION("""COMPUTED_VALUE"""),18900.0)</f>
        <v>18900</v>
      </c>
      <c r="G300" s="1">
        <f>IFERROR(__xludf.DUMMYFUNCTION("""COMPUTED_VALUE"""),11.0)</f>
        <v>11</v>
      </c>
      <c r="H300" s="1">
        <f>IFERROR(__xludf.DUMMYFUNCTION("""COMPUTED_VALUE"""),13.0)</f>
        <v>13</v>
      </c>
      <c r="I300" s="1">
        <f>IFERROR(__xludf.DUMMYFUNCTION("""COMPUTED_VALUE"""),17000.0)</f>
        <v>17000</v>
      </c>
      <c r="J300" s="1">
        <f>IFERROR(__xludf.DUMMYFUNCTION("""COMPUTED_VALUE"""),143.0)</f>
        <v>143</v>
      </c>
      <c r="K300" s="1">
        <f>IFERROR(__xludf.DUMMYFUNCTION("""COMPUTED_VALUE"""),16000.0)</f>
        <v>16000</v>
      </c>
      <c r="L300" s="1"/>
      <c r="M300" s="1"/>
      <c r="N300" s="1">
        <f>IFERROR(__xludf.DUMMYFUNCTION("""COMPUTED_VALUE"""),0.0)</f>
        <v>0</v>
      </c>
      <c r="O300" s="1">
        <f>IFERROR(__xludf.DUMMYFUNCTION("""COMPUTED_VALUE"""),11.0)</f>
        <v>11</v>
      </c>
      <c r="P300" s="1">
        <f>IFERROR(__xludf.DUMMYFUNCTION("""COMPUTED_VALUE"""),16300.0)</f>
        <v>16300</v>
      </c>
      <c r="Q300" s="1">
        <f>IFERROR(__xludf.DUMMYFUNCTION("""COMPUTED_VALUE"""),29.0)</f>
        <v>29</v>
      </c>
      <c r="R300" s="1">
        <f>IFERROR(__xludf.DUMMYFUNCTION("""COMPUTED_VALUE"""),8084.2998046875)</f>
        <v>8084.299805</v>
      </c>
      <c r="S300" s="1"/>
      <c r="T300" s="1"/>
      <c r="U300" s="1">
        <f>IFERROR(__xludf.DUMMYFUNCTION("""COMPUTED_VALUE"""),0.0)</f>
        <v>0</v>
      </c>
      <c r="V300" s="1"/>
      <c r="W300" s="1"/>
      <c r="X300" s="1">
        <f>IFERROR(__xludf.DUMMYFUNCTION("""COMPUTED_VALUE"""),0.0)</f>
        <v>0</v>
      </c>
      <c r="Y300" s="1">
        <f>IFERROR(__xludf.DUMMYFUNCTION("""COMPUTED_VALUE"""),17000.0)</f>
        <v>17000</v>
      </c>
      <c r="Z300" s="1"/>
      <c r="AA300" s="1"/>
      <c r="AB300" s="1">
        <f>IFERROR(__xludf.DUMMYFUNCTION("""COMPUTED_VALUE"""),0.0)</f>
        <v>0</v>
      </c>
      <c r="AC300" s="1">
        <f>IFERROR(__xludf.DUMMYFUNCTION("""COMPUTED_VALUE"""),83.0)</f>
        <v>83</v>
      </c>
      <c r="AD300" s="1">
        <f>IFERROR(__xludf.DUMMYFUNCTION("""COMPUTED_VALUE"""),17000.0)</f>
        <v>17000</v>
      </c>
      <c r="AE300" s="1">
        <f>IFERROR(__xludf.DUMMYFUNCTION("""COMPUTED_VALUE"""),134.0)</f>
        <v>134</v>
      </c>
      <c r="AF300" s="1">
        <f>IFERROR(__xludf.DUMMYFUNCTION("""COMPUTED_VALUE"""),8084.2998046875)</f>
        <v>8084.299805</v>
      </c>
      <c r="AG300" s="1"/>
      <c r="AH300" s="1"/>
      <c r="AI300" s="1">
        <f>IFERROR(__xludf.DUMMYFUNCTION("""COMPUTED_VALUE"""),0.0)</f>
        <v>0</v>
      </c>
      <c r="AJ300" s="1"/>
      <c r="AK300" s="1"/>
      <c r="AL300" s="1">
        <f>IFERROR(__xludf.DUMMYFUNCTION("""COMPUTED_VALUE"""),0.0)</f>
        <v>0</v>
      </c>
      <c r="AM300" s="1">
        <f>IFERROR(__xludf.DUMMYFUNCTION("""COMPUTED_VALUE"""),21000.0)</f>
        <v>21000</v>
      </c>
      <c r="AN300" s="1"/>
      <c r="AO300" s="1"/>
      <c r="AP300" s="1">
        <f>IFERROR(__xludf.DUMMYFUNCTION("""COMPUTED_VALUE"""),0.0)</f>
        <v>0</v>
      </c>
      <c r="AQ300" s="1">
        <f>IFERROR(__xludf.DUMMYFUNCTION("""COMPUTED_VALUE"""),10.0)</f>
        <v>10</v>
      </c>
      <c r="AR300" s="1">
        <f>IFERROR(__xludf.DUMMYFUNCTION("""COMPUTED_VALUE"""),16000.0)</f>
        <v>16000</v>
      </c>
      <c r="AS300" s="1">
        <f>IFERROR(__xludf.DUMMYFUNCTION("""COMPUTED_VALUE"""),20.0)</f>
        <v>20</v>
      </c>
    </row>
    <row r="301">
      <c r="A301" s="1" t="str">
        <f>IFERROR(__xludf.DUMMYFUNCTION("""COMPUTED_VALUE"""),"SF")</f>
        <v>SF</v>
      </c>
      <c r="B301" s="1">
        <f>IFERROR(__xludf.DUMMYFUNCTION("""COMPUTED_VALUE"""),6.0)</f>
        <v>6</v>
      </c>
      <c r="C301" s="1">
        <f>IFERROR(__xludf.DUMMYFUNCTION("""COMPUTED_VALUE"""),18.0)</f>
        <v>18</v>
      </c>
      <c r="D301" s="1">
        <f>IFERROR(__xludf.DUMMYFUNCTION("""COMPUTED_VALUE"""),16.3999996185302)</f>
        <v>16.39999962</v>
      </c>
      <c r="E301" s="1">
        <f>IFERROR(__xludf.DUMMYFUNCTION("""COMPUTED_VALUE"""),353401.0)</f>
        <v>353401</v>
      </c>
      <c r="F301" s="1">
        <f>IFERROR(__xludf.DUMMYFUNCTION("""COMPUTED_VALUE"""),16.3999996185302)</f>
        <v>16.39999962</v>
      </c>
      <c r="G301" s="1">
        <f>IFERROR(__xludf.DUMMYFUNCTION("""COMPUTED_VALUE"""),1937986.0)</f>
        <v>1937986</v>
      </c>
      <c r="H301" s="1">
        <f>IFERROR(__xludf.DUMMYFUNCTION("""COMPUTED_VALUE"""),50.0)</f>
        <v>50</v>
      </c>
      <c r="I301" s="1">
        <f>IFERROR(__xludf.DUMMYFUNCTION("""COMPUTED_VALUE"""),15.8999996185302)</f>
        <v>15.89999962</v>
      </c>
      <c r="J301" s="1">
        <f>IFERROR(__xludf.DUMMYFUNCTION("""COMPUTED_VALUE"""),1050408.0)</f>
        <v>1050408</v>
      </c>
      <c r="K301" s="1">
        <f>IFERROR(__xludf.DUMMYFUNCTION("""COMPUTED_VALUE"""),15.0)</f>
        <v>15</v>
      </c>
      <c r="L301" s="1">
        <f>IFERROR(__xludf.DUMMYFUNCTION("""COMPUTED_VALUE"""),113727.0)</f>
        <v>113727</v>
      </c>
      <c r="M301" s="1">
        <f>IFERROR(__xludf.DUMMYFUNCTION("""COMPUTED_VALUE"""),15.0)</f>
        <v>15</v>
      </c>
      <c r="N301" s="1">
        <f>IFERROR(__xludf.DUMMYFUNCTION("""COMPUTED_VALUE"""),555815.0)</f>
        <v>555815</v>
      </c>
      <c r="O301" s="1">
        <f>IFERROR(__xludf.DUMMYFUNCTION("""COMPUTED_VALUE"""),1485.0)</f>
        <v>1485</v>
      </c>
      <c r="P301" s="1">
        <f>IFERROR(__xludf.DUMMYFUNCTION("""COMPUTED_VALUE"""),13.8999996185302)</f>
        <v>13.89999962</v>
      </c>
      <c r="Q301" s="1">
        <f>IFERROR(__xludf.DUMMYFUNCTION("""COMPUTED_VALUE"""),1073976.0)</f>
        <v>1073976</v>
      </c>
      <c r="R301" s="1">
        <f>IFERROR(__xludf.DUMMYFUNCTION("""COMPUTED_VALUE"""),15.8999996185302)</f>
        <v>15.89999962</v>
      </c>
      <c r="S301" s="1">
        <f>IFERROR(__xludf.DUMMYFUNCTION("""COMPUTED_VALUE"""),20477.0)</f>
        <v>20477</v>
      </c>
      <c r="T301" s="1">
        <f>IFERROR(__xludf.DUMMYFUNCTION("""COMPUTED_VALUE"""),16.0)</f>
        <v>16</v>
      </c>
      <c r="U301" s="1">
        <f>IFERROR(__xludf.DUMMYFUNCTION("""COMPUTED_VALUE"""),23677.0)</f>
        <v>23677</v>
      </c>
      <c r="V301" s="1"/>
      <c r="W301" s="1"/>
      <c r="X301" s="1">
        <f>IFERROR(__xludf.DUMMYFUNCTION("""COMPUTED_VALUE"""),0.0)</f>
        <v>0</v>
      </c>
      <c r="Y301" s="1">
        <f>IFERROR(__xludf.DUMMYFUNCTION("""COMPUTED_VALUE"""),15.1999998092651)</f>
        <v>15.19999981</v>
      </c>
      <c r="Z301" s="1">
        <f>IFERROR(__xludf.DUMMYFUNCTION("""COMPUTED_VALUE"""),25114.0)</f>
        <v>25114</v>
      </c>
      <c r="AA301" s="1">
        <f>IFERROR(__xludf.DUMMYFUNCTION("""COMPUTED_VALUE"""),15.1999998092651)</f>
        <v>15.19999981</v>
      </c>
      <c r="AB301" s="1">
        <f>IFERROR(__xludf.DUMMYFUNCTION("""COMPUTED_VALUE"""),3547090.0)</f>
        <v>3547090</v>
      </c>
      <c r="AC301" s="1">
        <f>IFERROR(__xludf.DUMMYFUNCTION("""COMPUTED_VALUE"""),3500.0)</f>
        <v>3500</v>
      </c>
      <c r="AD301" s="1">
        <f>IFERROR(__xludf.DUMMYFUNCTION("""COMPUTED_VALUE"""),15.1000003814697)</f>
        <v>15.10000038</v>
      </c>
      <c r="AE301" s="1">
        <f>IFERROR(__xludf.DUMMYFUNCTION("""COMPUTED_VALUE"""),519552.0)</f>
        <v>519552</v>
      </c>
      <c r="AF301" s="1">
        <f>IFERROR(__xludf.DUMMYFUNCTION("""COMPUTED_VALUE"""),16.5)</f>
        <v>16.5</v>
      </c>
      <c r="AG301" s="1">
        <f>IFERROR(__xludf.DUMMYFUNCTION("""COMPUTED_VALUE"""),61658.0)</f>
        <v>61658</v>
      </c>
      <c r="AH301" s="1">
        <f>IFERROR(__xludf.DUMMYFUNCTION("""COMPUTED_VALUE"""),16.5)</f>
        <v>16.5</v>
      </c>
      <c r="AI301" s="1">
        <f>IFERROR(__xludf.DUMMYFUNCTION("""COMPUTED_VALUE"""),82323.0)</f>
        <v>82323</v>
      </c>
      <c r="AJ301" s="1">
        <f>IFERROR(__xludf.DUMMYFUNCTION("""COMPUTED_VALUE"""),20000.0)</f>
        <v>20000</v>
      </c>
      <c r="AK301" s="1">
        <f>IFERROR(__xludf.DUMMYFUNCTION("""COMPUTED_VALUE"""),8.0)</f>
        <v>8</v>
      </c>
      <c r="AL301" s="1">
        <f>IFERROR(__xludf.DUMMYFUNCTION("""COMPUTED_VALUE"""),29490.0)</f>
        <v>29490</v>
      </c>
      <c r="AM301" s="1">
        <f>IFERROR(__xludf.DUMMYFUNCTION("""COMPUTED_VALUE"""),16.6000003814697)</f>
        <v>16.60000038</v>
      </c>
      <c r="AN301" s="1">
        <f>IFERROR(__xludf.DUMMYFUNCTION("""COMPUTED_VALUE"""),30226.0)</f>
        <v>30226</v>
      </c>
      <c r="AO301" s="1">
        <f>IFERROR(__xludf.DUMMYFUNCTION("""COMPUTED_VALUE"""),16.6000003814697)</f>
        <v>16.60000038</v>
      </c>
      <c r="AP301" s="1">
        <f>IFERROR(__xludf.DUMMYFUNCTION("""COMPUTED_VALUE"""),1318221.0)</f>
        <v>1318221</v>
      </c>
      <c r="AQ301" s="1">
        <f>IFERROR(__xludf.DUMMYFUNCTION("""COMPUTED_VALUE"""),1913.0)</f>
        <v>1913</v>
      </c>
      <c r="AR301" s="1">
        <f>IFERROR(__xludf.DUMMYFUNCTION("""COMPUTED_VALUE"""),16.5)</f>
        <v>16.5</v>
      </c>
      <c r="AS301" s="1">
        <f>IFERROR(__xludf.DUMMYFUNCTION("""COMPUTED_VALUE"""),181247.0)</f>
        <v>181247</v>
      </c>
    </row>
    <row r="302">
      <c r="A302" s="1" t="str">
        <f>IFERROR(__xludf.DUMMYFUNCTION("""COMPUTED_VALUE"""),"SFE")</f>
        <v>SFE</v>
      </c>
      <c r="B302" s="1"/>
      <c r="C302" s="1"/>
      <c r="D302" s="1">
        <f>IFERROR(__xludf.DUMMYFUNCTION("""COMPUTED_VALUE"""),58000.0)</f>
        <v>58000</v>
      </c>
      <c r="E302" s="1">
        <f>IFERROR(__xludf.DUMMYFUNCTION("""COMPUTED_VALUE"""),3.0)</f>
        <v>3</v>
      </c>
      <c r="F302" s="1">
        <f>IFERROR(__xludf.DUMMYFUNCTION("""COMPUTED_VALUE"""),57900.0)</f>
        <v>57900</v>
      </c>
      <c r="G302" s="1">
        <f>IFERROR(__xludf.DUMMYFUNCTION("""COMPUTED_VALUE"""),68.0)</f>
        <v>68</v>
      </c>
      <c r="H302" s="1"/>
      <c r="I302" s="1"/>
      <c r="J302" s="1">
        <f>IFERROR(__xludf.DUMMYFUNCTION("""COMPUTED_VALUE"""),0.0)</f>
        <v>0</v>
      </c>
      <c r="K302" s="1">
        <f>IFERROR(__xludf.DUMMYFUNCTION("""COMPUTED_VALUE"""),65000.0)</f>
        <v>65000</v>
      </c>
      <c r="L302" s="1">
        <f>IFERROR(__xludf.DUMMYFUNCTION("""COMPUTED_VALUE"""),1.0)</f>
        <v>1</v>
      </c>
      <c r="M302" s="1">
        <f>IFERROR(__xludf.DUMMYFUNCTION("""COMPUTED_VALUE"""),65000.0)</f>
        <v>65000</v>
      </c>
      <c r="N302" s="1">
        <f>IFERROR(__xludf.DUMMYFUNCTION("""COMPUTED_VALUE"""),2.0)</f>
        <v>2</v>
      </c>
      <c r="O302" s="1">
        <f>IFERROR(__xludf.DUMMYFUNCTION("""COMPUTED_VALUE"""),1.0)</f>
        <v>1</v>
      </c>
      <c r="P302" s="1">
        <f>IFERROR(__xludf.DUMMYFUNCTION("""COMPUTED_VALUE"""),48100.0)</f>
        <v>48100</v>
      </c>
      <c r="Q302" s="1">
        <f>IFERROR(__xludf.DUMMYFUNCTION("""COMPUTED_VALUE"""),11.0)</f>
        <v>11</v>
      </c>
      <c r="R302" s="1">
        <f>IFERROR(__xludf.DUMMYFUNCTION("""COMPUTED_VALUE"""),25126.7890625)</f>
        <v>25126.78906</v>
      </c>
      <c r="S302" s="1"/>
      <c r="T302" s="1"/>
      <c r="U302" s="1">
        <f>IFERROR(__xludf.DUMMYFUNCTION("""COMPUTED_VALUE"""),0.0)</f>
        <v>0</v>
      </c>
      <c r="V302" s="1"/>
      <c r="W302" s="1"/>
      <c r="X302" s="1">
        <f>IFERROR(__xludf.DUMMYFUNCTION("""COMPUTED_VALUE"""),0.0)</f>
        <v>0</v>
      </c>
      <c r="Y302" s="1">
        <f>IFERROR(__xludf.DUMMYFUNCTION("""COMPUTED_VALUE"""),57900.0)</f>
        <v>57900</v>
      </c>
      <c r="Z302" s="1">
        <f>IFERROR(__xludf.DUMMYFUNCTION("""COMPUTED_VALUE"""),42.0)</f>
        <v>42</v>
      </c>
      <c r="AA302" s="1">
        <f>IFERROR(__xludf.DUMMYFUNCTION("""COMPUTED_VALUE"""),58000.0)</f>
        <v>58000</v>
      </c>
      <c r="AB302" s="1">
        <f>IFERROR(__xludf.DUMMYFUNCTION("""COMPUTED_VALUE"""),72.0)</f>
        <v>72</v>
      </c>
      <c r="AC302" s="1">
        <f>IFERROR(__xludf.DUMMYFUNCTION("""COMPUTED_VALUE"""),2.0)</f>
        <v>2</v>
      </c>
      <c r="AD302" s="1">
        <f>IFERROR(__xludf.DUMMYFUNCTION("""COMPUTED_VALUE"""),54000.0)</f>
        <v>54000</v>
      </c>
      <c r="AE302" s="1">
        <f>IFERROR(__xludf.DUMMYFUNCTION("""COMPUTED_VALUE"""),18.0)</f>
        <v>18</v>
      </c>
      <c r="AF302" s="1">
        <f>IFERROR(__xludf.DUMMYFUNCTION("""COMPUTED_VALUE"""),25126.7890625)</f>
        <v>25126.78906</v>
      </c>
      <c r="AG302" s="1"/>
      <c r="AH302" s="1"/>
      <c r="AI302" s="1">
        <f>IFERROR(__xludf.DUMMYFUNCTION("""COMPUTED_VALUE"""),0.0)</f>
        <v>0</v>
      </c>
      <c r="AJ302" s="1"/>
      <c r="AK302" s="1"/>
      <c r="AL302" s="1">
        <f>IFERROR(__xludf.DUMMYFUNCTION("""COMPUTED_VALUE"""),0.0)</f>
        <v>0</v>
      </c>
      <c r="AM302" s="1">
        <f>IFERROR(__xludf.DUMMYFUNCTION("""COMPUTED_VALUE"""),58000.0)</f>
        <v>58000</v>
      </c>
      <c r="AN302" s="1">
        <f>IFERROR(__xludf.DUMMYFUNCTION("""COMPUTED_VALUE"""),39.0)</f>
        <v>39</v>
      </c>
      <c r="AO302" s="1">
        <f>IFERROR(__xludf.DUMMYFUNCTION("""COMPUTED_VALUE"""),58000.0)</f>
        <v>58000</v>
      </c>
      <c r="AP302" s="1">
        <f>IFERROR(__xludf.DUMMYFUNCTION("""COMPUTED_VALUE"""),40.0)</f>
        <v>40</v>
      </c>
      <c r="AQ302" s="1">
        <f>IFERROR(__xludf.DUMMYFUNCTION("""COMPUTED_VALUE"""),9.0)</f>
        <v>9</v>
      </c>
      <c r="AR302" s="1">
        <f>IFERROR(__xludf.DUMMYFUNCTION("""COMPUTED_VALUE"""),50000.0)</f>
        <v>50000</v>
      </c>
      <c r="AS302" s="1">
        <f>IFERROR(__xludf.DUMMYFUNCTION("""COMPUTED_VALUE"""),11.0)</f>
        <v>11</v>
      </c>
    </row>
    <row r="303">
      <c r="A303" s="1" t="str">
        <f>IFERROR(__xludf.DUMMYFUNCTION("""COMPUTED_VALUE"""),"SFK")</f>
        <v>SFK</v>
      </c>
      <c r="B303" s="1"/>
      <c r="C303" s="1"/>
      <c r="D303" s="1">
        <f>IFERROR(__xludf.DUMMYFUNCTION("""COMPUTED_VALUE"""),76.0999984741211)</f>
        <v>76.09999847</v>
      </c>
      <c r="E303" s="1">
        <f>IFERROR(__xludf.DUMMYFUNCTION("""COMPUTED_VALUE"""),231.0)</f>
        <v>231</v>
      </c>
      <c r="F303" s="1">
        <f>IFERROR(__xludf.DUMMYFUNCTION("""COMPUTED_VALUE"""),84.0)</f>
        <v>84</v>
      </c>
      <c r="G303" s="1">
        <f>IFERROR(__xludf.DUMMYFUNCTION("""COMPUTED_VALUE"""),117727.0)</f>
        <v>117727</v>
      </c>
      <c r="H303" s="1">
        <f>IFERROR(__xludf.DUMMYFUNCTION("""COMPUTED_VALUE"""),952.0)</f>
        <v>952</v>
      </c>
      <c r="I303" s="1">
        <f>IFERROR(__xludf.DUMMYFUNCTION("""COMPUTED_VALUE"""),76.0999984741211)</f>
        <v>76.09999847</v>
      </c>
      <c r="J303" s="1">
        <f>IFERROR(__xludf.DUMMYFUNCTION("""COMPUTED_VALUE"""),153337.0)</f>
        <v>153337</v>
      </c>
      <c r="K303" s="1">
        <f>IFERROR(__xludf.DUMMYFUNCTION("""COMPUTED_VALUE"""),99.620002746582)</f>
        <v>99.62000275</v>
      </c>
      <c r="L303" s="1">
        <f>IFERROR(__xludf.DUMMYFUNCTION("""COMPUTED_VALUE"""),1291.0)</f>
        <v>1291</v>
      </c>
      <c r="M303" s="1">
        <f>IFERROR(__xludf.DUMMYFUNCTION("""COMPUTED_VALUE"""),99.6999969482421)</f>
        <v>99.69999695</v>
      </c>
      <c r="N303" s="1">
        <f>IFERROR(__xludf.DUMMYFUNCTION("""COMPUTED_VALUE"""),54651.0)</f>
        <v>54651</v>
      </c>
      <c r="O303" s="1">
        <f>IFERROR(__xludf.DUMMYFUNCTION("""COMPUTED_VALUE"""),248.0)</f>
        <v>248</v>
      </c>
      <c r="P303" s="1">
        <f>IFERROR(__xludf.DUMMYFUNCTION("""COMPUTED_VALUE"""),77.5)</f>
        <v>77.5</v>
      </c>
      <c r="Q303" s="1">
        <f>IFERROR(__xludf.DUMMYFUNCTION("""COMPUTED_VALUE"""),100848.0)</f>
        <v>100848</v>
      </c>
      <c r="R303" s="1">
        <f>IFERROR(__xludf.DUMMYFUNCTION("""COMPUTED_VALUE"""),75.0)</f>
        <v>75</v>
      </c>
      <c r="S303" s="1"/>
      <c r="T303" s="1"/>
      <c r="U303" s="1">
        <f>IFERROR(__xludf.DUMMYFUNCTION("""COMPUTED_VALUE"""),0.0)</f>
        <v>0</v>
      </c>
      <c r="V303" s="1"/>
      <c r="W303" s="1"/>
      <c r="X303" s="1">
        <f>IFERROR(__xludf.DUMMYFUNCTION("""COMPUTED_VALUE"""),0.0)</f>
        <v>0</v>
      </c>
      <c r="Y303" s="1">
        <f>IFERROR(__xludf.DUMMYFUNCTION("""COMPUTED_VALUE"""),66.0)</f>
        <v>66</v>
      </c>
      <c r="Z303" s="1">
        <f>IFERROR(__xludf.DUMMYFUNCTION("""COMPUTED_VALUE"""),372.0)</f>
        <v>372</v>
      </c>
      <c r="AA303" s="1">
        <f>IFERROR(__xludf.DUMMYFUNCTION("""COMPUTED_VALUE"""),68.0)</f>
        <v>68</v>
      </c>
      <c r="AB303" s="1">
        <f>IFERROR(__xludf.DUMMYFUNCTION("""COMPUTED_VALUE"""),231483.0)</f>
        <v>231483</v>
      </c>
      <c r="AC303" s="1">
        <f>IFERROR(__xludf.DUMMYFUNCTION("""COMPUTED_VALUE"""),26805.0)</f>
        <v>26805</v>
      </c>
      <c r="AD303" s="1">
        <f>IFERROR(__xludf.DUMMYFUNCTION("""COMPUTED_VALUE"""),66.0)</f>
        <v>66</v>
      </c>
      <c r="AE303" s="1">
        <f>IFERROR(__xludf.DUMMYFUNCTION("""COMPUTED_VALUE"""),190671.0)</f>
        <v>190671</v>
      </c>
      <c r="AF303" s="1">
        <f>IFERROR(__xludf.DUMMYFUNCTION("""COMPUTED_VALUE"""),50.0)</f>
        <v>50</v>
      </c>
      <c r="AG303" s="1">
        <f>IFERROR(__xludf.DUMMYFUNCTION("""COMPUTED_VALUE"""),90.0)</f>
        <v>90</v>
      </c>
      <c r="AH303" s="1">
        <f>IFERROR(__xludf.DUMMYFUNCTION("""COMPUTED_VALUE"""),50.0)</f>
        <v>50</v>
      </c>
      <c r="AI303" s="1">
        <f>IFERROR(__xludf.DUMMYFUNCTION("""COMPUTED_VALUE"""),2446.0)</f>
        <v>2446</v>
      </c>
      <c r="AJ303" s="1"/>
      <c r="AK303" s="1"/>
      <c r="AL303" s="1">
        <f>IFERROR(__xludf.DUMMYFUNCTION("""COMPUTED_VALUE"""),0.0)</f>
        <v>0</v>
      </c>
      <c r="AM303" s="1">
        <f>IFERROR(__xludf.DUMMYFUNCTION("""COMPUTED_VALUE"""),85.0)</f>
        <v>85</v>
      </c>
      <c r="AN303" s="1">
        <f>IFERROR(__xludf.DUMMYFUNCTION("""COMPUTED_VALUE"""),37646.0)</f>
        <v>37646</v>
      </c>
      <c r="AO303" s="1">
        <f>IFERROR(__xludf.DUMMYFUNCTION("""COMPUTED_VALUE"""),85.0)</f>
        <v>85</v>
      </c>
      <c r="AP303" s="1">
        <f>IFERROR(__xludf.DUMMYFUNCTION("""COMPUTED_VALUE"""),106711.0)</f>
        <v>106711</v>
      </c>
      <c r="AQ303" s="1">
        <f>IFERROR(__xludf.DUMMYFUNCTION("""COMPUTED_VALUE"""),5449.0)</f>
        <v>5449</v>
      </c>
      <c r="AR303" s="1">
        <f>IFERROR(__xludf.DUMMYFUNCTION("""COMPUTED_VALUE"""),70.0)</f>
        <v>70</v>
      </c>
      <c r="AS303" s="1">
        <f>IFERROR(__xludf.DUMMYFUNCTION("""COMPUTED_VALUE"""),125449.0)</f>
        <v>125449</v>
      </c>
    </row>
    <row r="304">
      <c r="A304" s="1" t="str">
        <f>IFERROR(__xludf.DUMMYFUNCTION("""COMPUTED_VALUE"""),"SFL")</f>
        <v>SFL</v>
      </c>
      <c r="B304" s="1"/>
      <c r="C304" s="1"/>
      <c r="D304" s="1">
        <f>IFERROR(__xludf.DUMMYFUNCTION("""COMPUTED_VALUE"""),79000.0)</f>
        <v>79000</v>
      </c>
      <c r="E304" s="1">
        <f>IFERROR(__xludf.DUMMYFUNCTION("""COMPUTED_VALUE"""),1.0)</f>
        <v>1</v>
      </c>
      <c r="F304" s="1">
        <f>IFERROR(__xludf.DUMMYFUNCTION("""COMPUTED_VALUE"""),79000.0)</f>
        <v>79000</v>
      </c>
      <c r="G304" s="1">
        <f>IFERROR(__xludf.DUMMYFUNCTION("""COMPUTED_VALUE"""),3.0)</f>
        <v>3</v>
      </c>
      <c r="H304" s="1"/>
      <c r="I304" s="1"/>
      <c r="J304" s="1">
        <f>IFERROR(__xludf.DUMMYFUNCTION("""COMPUTED_VALUE"""),0.0)</f>
        <v>0</v>
      </c>
      <c r="K304" s="1">
        <f>IFERROR(__xludf.DUMMYFUNCTION("""COMPUTED_VALUE"""),124000.0)</f>
        <v>124000</v>
      </c>
      <c r="L304" s="1">
        <f>IFERROR(__xludf.DUMMYFUNCTION("""COMPUTED_VALUE"""),1.0)</f>
        <v>1</v>
      </c>
      <c r="M304" s="1">
        <f>IFERROR(__xludf.DUMMYFUNCTION("""COMPUTED_VALUE"""),119000.0)</f>
        <v>119000</v>
      </c>
      <c r="N304" s="1">
        <f>IFERROR(__xludf.DUMMYFUNCTION("""COMPUTED_VALUE"""),40.0)</f>
        <v>40</v>
      </c>
      <c r="O304" s="1"/>
      <c r="P304" s="1"/>
      <c r="Q304" s="1">
        <f>IFERROR(__xludf.DUMMYFUNCTION("""COMPUTED_VALUE"""),0.0)</f>
        <v>0</v>
      </c>
      <c r="R304" s="1">
        <f>IFERROR(__xludf.DUMMYFUNCTION("""COMPUTED_VALUE"""),30779.7109375)</f>
        <v>30779.71094</v>
      </c>
      <c r="S304" s="1"/>
      <c r="T304" s="1"/>
      <c r="U304" s="1">
        <f>IFERROR(__xludf.DUMMYFUNCTION("""COMPUTED_VALUE"""),0.0)</f>
        <v>0</v>
      </c>
      <c r="V304" s="1"/>
      <c r="W304" s="1"/>
      <c r="X304" s="1">
        <f>IFERROR(__xludf.DUMMYFUNCTION("""COMPUTED_VALUE"""),0.0)</f>
        <v>0</v>
      </c>
      <c r="Y304" s="1">
        <f>IFERROR(__xludf.DUMMYFUNCTION("""COMPUTED_VALUE"""),94900.0)</f>
        <v>94900</v>
      </c>
      <c r="Z304" s="1">
        <f>IFERROR(__xludf.DUMMYFUNCTION("""COMPUTED_VALUE"""),1.0)</f>
        <v>1</v>
      </c>
      <c r="AA304" s="1">
        <f>IFERROR(__xludf.DUMMYFUNCTION("""COMPUTED_VALUE"""),94900.0)</f>
        <v>94900</v>
      </c>
      <c r="AB304" s="1">
        <f>IFERROR(__xludf.DUMMYFUNCTION("""COMPUTED_VALUE"""),7.0)</f>
        <v>7</v>
      </c>
      <c r="AC304" s="1"/>
      <c r="AD304" s="1"/>
      <c r="AE304" s="1">
        <f>IFERROR(__xludf.DUMMYFUNCTION("""COMPUTED_VALUE"""),0.0)</f>
        <v>0</v>
      </c>
      <c r="AF304" s="1">
        <f>IFERROR(__xludf.DUMMYFUNCTION("""COMPUTED_VALUE"""),30779.7109375)</f>
        <v>30779.71094</v>
      </c>
      <c r="AG304" s="1"/>
      <c r="AH304" s="1"/>
      <c r="AI304" s="1">
        <f>IFERROR(__xludf.DUMMYFUNCTION("""COMPUTED_VALUE"""),0.0)</f>
        <v>0</v>
      </c>
      <c r="AJ304" s="1"/>
      <c r="AK304" s="1"/>
      <c r="AL304" s="1">
        <f>IFERROR(__xludf.DUMMYFUNCTION("""COMPUTED_VALUE"""),0.0)</f>
        <v>0</v>
      </c>
      <c r="AM304" s="1">
        <f>IFERROR(__xludf.DUMMYFUNCTION("""COMPUTED_VALUE"""),133000.0)</f>
        <v>133000</v>
      </c>
      <c r="AN304" s="1">
        <f>IFERROR(__xludf.DUMMYFUNCTION("""COMPUTED_VALUE"""),2.0)</f>
        <v>2</v>
      </c>
      <c r="AO304" s="1">
        <f>IFERROR(__xludf.DUMMYFUNCTION("""COMPUTED_VALUE"""),125000.0)</f>
        <v>125000</v>
      </c>
      <c r="AP304" s="1">
        <f>IFERROR(__xludf.DUMMYFUNCTION("""COMPUTED_VALUE"""),19.0)</f>
        <v>19</v>
      </c>
      <c r="AQ304" s="1"/>
      <c r="AR304" s="1"/>
      <c r="AS304" s="1">
        <f>IFERROR(__xludf.DUMMYFUNCTION("""COMPUTED_VALUE"""),0.0)</f>
        <v>0</v>
      </c>
    </row>
    <row r="305">
      <c r="A305" s="1" t="str">
        <f>IFERROR(__xludf.DUMMYFUNCTION("""COMPUTED_VALUE"""),"SI")</f>
        <v>SI</v>
      </c>
      <c r="B305" s="1"/>
      <c r="C305" s="1"/>
      <c r="D305" s="1">
        <f>IFERROR(__xludf.DUMMYFUNCTION("""COMPUTED_VALUE"""),1900.0)</f>
        <v>1900</v>
      </c>
      <c r="E305" s="1">
        <f>IFERROR(__xludf.DUMMYFUNCTION("""COMPUTED_VALUE"""),200.0)</f>
        <v>200</v>
      </c>
      <c r="F305" s="1">
        <f>IFERROR(__xludf.DUMMYFUNCTION("""COMPUTED_VALUE"""),2100.0)</f>
        <v>2100</v>
      </c>
      <c r="G305" s="1">
        <f>IFERROR(__xludf.DUMMYFUNCTION("""COMPUTED_VALUE"""),16185.0)</f>
        <v>16185</v>
      </c>
      <c r="H305" s="1">
        <f>IFERROR(__xludf.DUMMYFUNCTION("""COMPUTED_VALUE"""),433.0)</f>
        <v>433</v>
      </c>
      <c r="I305" s="1">
        <f>IFERROR(__xludf.DUMMYFUNCTION("""COMPUTED_VALUE"""),1900.0)</f>
        <v>1900</v>
      </c>
      <c r="J305" s="1">
        <f>IFERROR(__xludf.DUMMYFUNCTION("""COMPUTED_VALUE"""),6738.0)</f>
        <v>6738</v>
      </c>
      <c r="K305" s="1">
        <f>IFERROR(__xludf.DUMMYFUNCTION("""COMPUTED_VALUE"""),2459.80004882812)</f>
        <v>2459.800049</v>
      </c>
      <c r="L305" s="1">
        <f>IFERROR(__xludf.DUMMYFUNCTION("""COMPUTED_VALUE"""),48.0)</f>
        <v>48</v>
      </c>
      <c r="M305" s="1">
        <f>IFERROR(__xludf.DUMMYFUNCTION("""COMPUTED_VALUE"""),2500.0)</f>
        <v>2500</v>
      </c>
      <c r="N305" s="1">
        <f>IFERROR(__xludf.DUMMYFUNCTION("""COMPUTED_VALUE"""),1023.0)</f>
        <v>1023</v>
      </c>
      <c r="O305" s="1">
        <f>IFERROR(__xludf.DUMMYFUNCTION("""COMPUTED_VALUE"""),68.0)</f>
        <v>68</v>
      </c>
      <c r="P305" s="1">
        <f>IFERROR(__xludf.DUMMYFUNCTION("""COMPUTED_VALUE"""),2100.0)</f>
        <v>2100</v>
      </c>
      <c r="Q305" s="1">
        <f>IFERROR(__xludf.DUMMYFUNCTION("""COMPUTED_VALUE"""),5047.0)</f>
        <v>5047</v>
      </c>
      <c r="R305" s="1">
        <f>IFERROR(__xludf.DUMMYFUNCTION("""COMPUTED_VALUE"""),2100.0)</f>
        <v>2100</v>
      </c>
      <c r="S305" s="1"/>
      <c r="T305" s="1"/>
      <c r="U305" s="1">
        <f>IFERROR(__xludf.DUMMYFUNCTION("""COMPUTED_VALUE"""),0.0)</f>
        <v>0</v>
      </c>
      <c r="V305" s="1"/>
      <c r="W305" s="1"/>
      <c r="X305" s="1">
        <f>IFERROR(__xludf.DUMMYFUNCTION("""COMPUTED_VALUE"""),0.0)</f>
        <v>0</v>
      </c>
      <c r="Y305" s="1">
        <f>IFERROR(__xludf.DUMMYFUNCTION("""COMPUTED_VALUE"""),2010.0)</f>
        <v>2010</v>
      </c>
      <c r="Z305" s="1">
        <f>IFERROR(__xludf.DUMMYFUNCTION("""COMPUTED_VALUE"""),29.0)</f>
        <v>29</v>
      </c>
      <c r="AA305" s="1">
        <f>IFERROR(__xludf.DUMMYFUNCTION("""COMPUTED_VALUE"""),2310.0)</f>
        <v>2310</v>
      </c>
      <c r="AB305" s="1">
        <f>IFERROR(__xludf.DUMMYFUNCTION("""COMPUTED_VALUE"""),23478.0)</f>
        <v>23478</v>
      </c>
      <c r="AC305" s="1">
        <f>IFERROR(__xludf.DUMMYFUNCTION("""COMPUTED_VALUE"""),90.0)</f>
        <v>90</v>
      </c>
      <c r="AD305" s="1">
        <f>IFERROR(__xludf.DUMMYFUNCTION("""COMPUTED_VALUE"""),2010.0)</f>
        <v>2010</v>
      </c>
      <c r="AE305" s="1">
        <f>IFERROR(__xludf.DUMMYFUNCTION("""COMPUTED_VALUE"""),6218.0)</f>
        <v>6218</v>
      </c>
      <c r="AF305" s="1">
        <f>IFERROR(__xludf.DUMMYFUNCTION("""COMPUTED_VALUE"""),1900.0)</f>
        <v>1900</v>
      </c>
      <c r="AG305" s="1">
        <f>IFERROR(__xludf.DUMMYFUNCTION("""COMPUTED_VALUE"""),30.0)</f>
        <v>30</v>
      </c>
      <c r="AH305" s="1">
        <f>IFERROR(__xludf.DUMMYFUNCTION("""COMPUTED_VALUE"""),1900.0)</f>
        <v>1900</v>
      </c>
      <c r="AI305" s="1">
        <f>IFERROR(__xludf.DUMMYFUNCTION("""COMPUTED_VALUE"""),30.0)</f>
        <v>30</v>
      </c>
      <c r="AJ305" s="1">
        <f>IFERROR(__xludf.DUMMYFUNCTION("""COMPUTED_VALUE"""),50.0)</f>
        <v>50</v>
      </c>
      <c r="AK305" s="1">
        <f>IFERROR(__xludf.DUMMYFUNCTION("""COMPUTED_VALUE"""),1000.0)</f>
        <v>1000</v>
      </c>
      <c r="AL305" s="1">
        <f>IFERROR(__xludf.DUMMYFUNCTION("""COMPUTED_VALUE"""),50.0)</f>
        <v>50</v>
      </c>
      <c r="AM305" s="1">
        <f>IFERROR(__xludf.DUMMYFUNCTION("""COMPUTED_VALUE"""),1910.0)</f>
        <v>1910</v>
      </c>
      <c r="AN305" s="1">
        <f>IFERROR(__xludf.DUMMYFUNCTION("""COMPUTED_VALUE"""),29.0)</f>
        <v>29</v>
      </c>
      <c r="AO305" s="1">
        <f>IFERROR(__xludf.DUMMYFUNCTION("""COMPUTED_VALUE"""),1940.0)</f>
        <v>1940</v>
      </c>
      <c r="AP305" s="1">
        <f>IFERROR(__xludf.DUMMYFUNCTION("""COMPUTED_VALUE"""),5252.0)</f>
        <v>5252</v>
      </c>
      <c r="AQ305" s="1">
        <f>IFERROR(__xludf.DUMMYFUNCTION("""COMPUTED_VALUE"""),304.0)</f>
        <v>304</v>
      </c>
      <c r="AR305" s="1">
        <f>IFERROR(__xludf.DUMMYFUNCTION("""COMPUTED_VALUE"""),1910.0)</f>
        <v>1910</v>
      </c>
      <c r="AS305" s="1">
        <f>IFERROR(__xludf.DUMMYFUNCTION("""COMPUTED_VALUE"""),2840.0)</f>
        <v>2840</v>
      </c>
    </row>
    <row r="306">
      <c r="A306" s="1" t="str">
        <f>IFERROR(__xludf.DUMMYFUNCTION("""COMPUTED_VALUE"""),"SIL")</f>
        <v>SIL</v>
      </c>
      <c r="B306" s="1"/>
      <c r="C306" s="1"/>
      <c r="D306" s="1">
        <f>IFERROR(__xludf.DUMMYFUNCTION("""COMPUTED_VALUE"""),2840.0)</f>
        <v>2840</v>
      </c>
      <c r="E306" s="1">
        <f>IFERROR(__xludf.DUMMYFUNCTION("""COMPUTED_VALUE"""),88.0)</f>
        <v>88</v>
      </c>
      <c r="F306" s="1">
        <f>IFERROR(__xludf.DUMMYFUNCTION("""COMPUTED_VALUE"""),2840.0)</f>
        <v>2840</v>
      </c>
      <c r="G306" s="1">
        <f>IFERROR(__xludf.DUMMYFUNCTION("""COMPUTED_VALUE"""),1085.0)</f>
        <v>1085</v>
      </c>
      <c r="H306" s="1"/>
      <c r="I306" s="1"/>
      <c r="J306" s="1">
        <f>IFERROR(__xludf.DUMMYFUNCTION("""COMPUTED_VALUE"""),0.0)</f>
        <v>0</v>
      </c>
      <c r="K306" s="1">
        <f>IFERROR(__xludf.DUMMYFUNCTION("""COMPUTED_VALUE"""),1500.0)</f>
        <v>1500</v>
      </c>
      <c r="L306" s="1">
        <f>IFERROR(__xludf.DUMMYFUNCTION("""COMPUTED_VALUE"""),500.0)</f>
        <v>500</v>
      </c>
      <c r="M306" s="1">
        <f>IFERROR(__xludf.DUMMYFUNCTION("""COMPUTED_VALUE"""),1500.0)</f>
        <v>1500</v>
      </c>
      <c r="N306" s="1">
        <f>IFERROR(__xludf.DUMMYFUNCTION("""COMPUTED_VALUE"""),955.0)</f>
        <v>955</v>
      </c>
      <c r="O306" s="1">
        <f>IFERROR(__xludf.DUMMYFUNCTION("""COMPUTED_VALUE"""),9.0)</f>
        <v>9</v>
      </c>
      <c r="P306" s="1">
        <f>IFERROR(__xludf.DUMMYFUNCTION("""COMPUTED_VALUE"""),600.0)</f>
        <v>600</v>
      </c>
      <c r="Q306" s="1">
        <f>IFERROR(__xludf.DUMMYFUNCTION("""COMPUTED_VALUE"""),9.0)</f>
        <v>9</v>
      </c>
      <c r="R306" s="1">
        <f>IFERROR(__xludf.DUMMYFUNCTION("""COMPUTED_VALUE"""),2262.06005859375)</f>
        <v>2262.060059</v>
      </c>
      <c r="S306" s="1">
        <f>IFERROR(__xludf.DUMMYFUNCTION("""COMPUTED_VALUE"""),4.0)</f>
        <v>4</v>
      </c>
      <c r="T306" s="1">
        <f>IFERROR(__xludf.DUMMYFUNCTION("""COMPUTED_VALUE"""),10000.0)</f>
        <v>10000</v>
      </c>
      <c r="U306" s="1">
        <f>IFERROR(__xludf.DUMMYFUNCTION("""COMPUTED_VALUE"""),4.0)</f>
        <v>4</v>
      </c>
      <c r="V306" s="1"/>
      <c r="W306" s="1"/>
      <c r="X306" s="1">
        <f>IFERROR(__xludf.DUMMYFUNCTION("""COMPUTED_VALUE"""),0.0)</f>
        <v>0</v>
      </c>
      <c r="Y306" s="1">
        <f>IFERROR(__xludf.DUMMYFUNCTION("""COMPUTED_VALUE"""),3290.0)</f>
        <v>3290</v>
      </c>
      <c r="Z306" s="1">
        <f>IFERROR(__xludf.DUMMYFUNCTION("""COMPUTED_VALUE"""),23.0)</f>
        <v>23</v>
      </c>
      <c r="AA306" s="1">
        <f>IFERROR(__xludf.DUMMYFUNCTION("""COMPUTED_VALUE"""),3290.0)</f>
        <v>3290</v>
      </c>
      <c r="AB306" s="1">
        <f>IFERROR(__xludf.DUMMYFUNCTION("""COMPUTED_VALUE"""),1957.0)</f>
        <v>1957</v>
      </c>
      <c r="AC306" s="1"/>
      <c r="AD306" s="1"/>
      <c r="AE306" s="1">
        <f>IFERROR(__xludf.DUMMYFUNCTION("""COMPUTED_VALUE"""),0.0)</f>
        <v>0</v>
      </c>
      <c r="AF306" s="1">
        <f>IFERROR(__xludf.DUMMYFUNCTION("""COMPUTED_VALUE"""),2262.06005859375)</f>
        <v>2262.060059</v>
      </c>
      <c r="AG306" s="1">
        <f>IFERROR(__xludf.DUMMYFUNCTION("""COMPUTED_VALUE"""),10.0)</f>
        <v>10</v>
      </c>
      <c r="AH306" s="1">
        <f>IFERROR(__xludf.DUMMYFUNCTION("""COMPUTED_VALUE"""),3500.0)</f>
        <v>3500</v>
      </c>
      <c r="AI306" s="1">
        <f>IFERROR(__xludf.DUMMYFUNCTION("""COMPUTED_VALUE"""),14.0)</f>
        <v>14</v>
      </c>
      <c r="AJ306" s="1"/>
      <c r="AK306" s="1"/>
      <c r="AL306" s="1">
        <f>IFERROR(__xludf.DUMMYFUNCTION("""COMPUTED_VALUE"""),0.0)</f>
        <v>0</v>
      </c>
      <c r="AM306" s="1">
        <f>IFERROR(__xludf.DUMMYFUNCTION("""COMPUTED_VALUE"""),2340.0)</f>
        <v>2340</v>
      </c>
      <c r="AN306" s="1">
        <f>IFERROR(__xludf.DUMMYFUNCTION("""COMPUTED_VALUE"""),12.0)</f>
        <v>12</v>
      </c>
      <c r="AO306" s="1">
        <f>IFERROR(__xludf.DUMMYFUNCTION("""COMPUTED_VALUE"""),1990.0)</f>
        <v>1990</v>
      </c>
      <c r="AP306" s="1">
        <f>IFERROR(__xludf.DUMMYFUNCTION("""COMPUTED_VALUE"""),940.0)</f>
        <v>940</v>
      </c>
      <c r="AQ306" s="1">
        <f>IFERROR(__xludf.DUMMYFUNCTION("""COMPUTED_VALUE"""),1.0)</f>
        <v>1</v>
      </c>
      <c r="AR306" s="1">
        <f>IFERROR(__xludf.DUMMYFUNCTION("""COMPUTED_VALUE"""),1000.0)</f>
        <v>1000</v>
      </c>
      <c r="AS306" s="1">
        <f>IFERROR(__xludf.DUMMYFUNCTION("""COMPUTED_VALUE"""),1.0)</f>
        <v>1</v>
      </c>
    </row>
    <row r="307">
      <c r="A307" s="1" t="str">
        <f>IFERROR(__xludf.DUMMYFUNCTION("""COMPUTED_VALUE"""),"SIO")</f>
        <v>SIO</v>
      </c>
      <c r="B307" s="1">
        <f>IFERROR(__xludf.DUMMYFUNCTION("""COMPUTED_VALUE"""),38.0)</f>
        <v>38</v>
      </c>
      <c r="C307" s="1"/>
      <c r="D307" s="1">
        <f>IFERROR(__xludf.DUMMYFUNCTION("""COMPUTED_VALUE"""),174.0)</f>
        <v>174</v>
      </c>
      <c r="E307" s="1">
        <f>IFERROR(__xludf.DUMMYFUNCTION("""COMPUTED_VALUE"""),403.0)</f>
        <v>403</v>
      </c>
      <c r="F307" s="1">
        <f>IFERROR(__xludf.DUMMYFUNCTION("""COMPUTED_VALUE"""),174.0)</f>
        <v>174</v>
      </c>
      <c r="G307" s="1">
        <f>IFERROR(__xludf.DUMMYFUNCTION("""COMPUTED_VALUE"""),57691.0)</f>
        <v>57691</v>
      </c>
      <c r="H307" s="1">
        <f>IFERROR(__xludf.DUMMYFUNCTION("""COMPUTED_VALUE"""),244.0)</f>
        <v>244</v>
      </c>
      <c r="I307" s="1">
        <f>IFERROR(__xludf.DUMMYFUNCTION("""COMPUTED_VALUE"""),163.0)</f>
        <v>163</v>
      </c>
      <c r="J307" s="1">
        <f>IFERROR(__xludf.DUMMYFUNCTION("""COMPUTED_VALUE"""),20187.0)</f>
        <v>20187</v>
      </c>
      <c r="K307" s="1">
        <f>IFERROR(__xludf.DUMMYFUNCTION("""COMPUTED_VALUE"""),189.0)</f>
        <v>189</v>
      </c>
      <c r="L307" s="1">
        <f>IFERROR(__xludf.DUMMYFUNCTION("""COMPUTED_VALUE"""),198.0)</f>
        <v>198</v>
      </c>
      <c r="M307" s="1">
        <f>IFERROR(__xludf.DUMMYFUNCTION("""COMPUTED_VALUE"""),189.0)</f>
        <v>189</v>
      </c>
      <c r="N307" s="1">
        <f>IFERROR(__xludf.DUMMYFUNCTION("""COMPUTED_VALUE"""),14935.0)</f>
        <v>14935</v>
      </c>
      <c r="O307" s="1">
        <f>IFERROR(__xludf.DUMMYFUNCTION("""COMPUTED_VALUE"""),14.0)</f>
        <v>14</v>
      </c>
      <c r="P307" s="1">
        <f>IFERROR(__xludf.DUMMYFUNCTION("""COMPUTED_VALUE"""),162.0)</f>
        <v>162</v>
      </c>
      <c r="Q307" s="1">
        <f>IFERROR(__xludf.DUMMYFUNCTION("""COMPUTED_VALUE"""),16068.0)</f>
        <v>16068</v>
      </c>
      <c r="R307" s="1">
        <f>IFERROR(__xludf.DUMMYFUNCTION("""COMPUTED_VALUE"""),160.0)</f>
        <v>160</v>
      </c>
      <c r="S307" s="1"/>
      <c r="T307" s="1"/>
      <c r="U307" s="1">
        <f>IFERROR(__xludf.DUMMYFUNCTION("""COMPUTED_VALUE"""),0.0)</f>
        <v>0</v>
      </c>
      <c r="V307" s="1"/>
      <c r="W307" s="1"/>
      <c r="X307" s="1">
        <f>IFERROR(__xludf.DUMMYFUNCTION("""COMPUTED_VALUE"""),0.0)</f>
        <v>0</v>
      </c>
      <c r="Y307" s="1">
        <f>IFERROR(__xludf.DUMMYFUNCTION("""COMPUTED_VALUE"""),184.0)</f>
        <v>184</v>
      </c>
      <c r="Z307" s="1">
        <f>IFERROR(__xludf.DUMMYFUNCTION("""COMPUTED_VALUE"""),1000.0)</f>
        <v>1000</v>
      </c>
      <c r="AA307" s="1">
        <f>IFERROR(__xludf.DUMMYFUNCTION("""COMPUTED_VALUE"""),170.0)</f>
        <v>170</v>
      </c>
      <c r="AB307" s="1">
        <f>IFERROR(__xludf.DUMMYFUNCTION("""COMPUTED_VALUE"""),29812.0)</f>
        <v>29812</v>
      </c>
      <c r="AC307" s="1">
        <f>IFERROR(__xludf.DUMMYFUNCTION("""COMPUTED_VALUE"""),921.0)</f>
        <v>921</v>
      </c>
      <c r="AD307" s="1">
        <f>IFERROR(__xludf.DUMMYFUNCTION("""COMPUTED_VALUE"""),156.0)</f>
        <v>156</v>
      </c>
      <c r="AE307" s="1">
        <f>IFERROR(__xludf.DUMMYFUNCTION("""COMPUTED_VALUE"""),29153.0)</f>
        <v>29153</v>
      </c>
      <c r="AF307" s="1">
        <f>IFERROR(__xludf.DUMMYFUNCTION("""COMPUTED_VALUE"""),125.0)</f>
        <v>125</v>
      </c>
      <c r="AG307" s="1">
        <f>IFERROR(__xludf.DUMMYFUNCTION("""COMPUTED_VALUE"""),298.0)</f>
        <v>298</v>
      </c>
      <c r="AH307" s="1">
        <f>IFERROR(__xludf.DUMMYFUNCTION("""COMPUTED_VALUE"""),125.0)</f>
        <v>125</v>
      </c>
      <c r="AI307" s="1">
        <f>IFERROR(__xludf.DUMMYFUNCTION("""COMPUTED_VALUE"""),1517.0)</f>
        <v>1517</v>
      </c>
      <c r="AJ307" s="1"/>
      <c r="AK307" s="1"/>
      <c r="AL307" s="1">
        <f>IFERROR(__xludf.DUMMYFUNCTION("""COMPUTED_VALUE"""),0.0)</f>
        <v>0</v>
      </c>
      <c r="AM307" s="1">
        <f>IFERROR(__xludf.DUMMYFUNCTION("""COMPUTED_VALUE"""),184.0)</f>
        <v>184</v>
      </c>
      <c r="AN307" s="1">
        <f>IFERROR(__xludf.DUMMYFUNCTION("""COMPUTED_VALUE"""),716.0)</f>
        <v>716</v>
      </c>
      <c r="AO307" s="1">
        <f>IFERROR(__xludf.DUMMYFUNCTION("""COMPUTED_VALUE"""),184.0)</f>
        <v>184</v>
      </c>
      <c r="AP307" s="1">
        <f>IFERROR(__xludf.DUMMYFUNCTION("""COMPUTED_VALUE"""),2843.0)</f>
        <v>2843</v>
      </c>
      <c r="AQ307" s="1">
        <f>IFERROR(__xludf.DUMMYFUNCTION("""COMPUTED_VALUE"""),2000.0)</f>
        <v>2000</v>
      </c>
      <c r="AR307" s="1">
        <f>IFERROR(__xludf.DUMMYFUNCTION("""COMPUTED_VALUE"""),123.0)</f>
        <v>123</v>
      </c>
      <c r="AS307" s="1">
        <f>IFERROR(__xludf.DUMMYFUNCTION("""COMPUTED_VALUE"""),17477.0)</f>
        <v>17477</v>
      </c>
    </row>
    <row r="308">
      <c r="A308" s="1" t="str">
        <f>IFERROR(__xludf.DUMMYFUNCTION("""COMPUTED_VALUE"""),"SNM")</f>
        <v>SNM</v>
      </c>
      <c r="B308" s="1"/>
      <c r="C308" s="1"/>
      <c r="D308" s="1">
        <f>IFERROR(__xludf.DUMMYFUNCTION("""COMPUTED_VALUE"""),200000.0)</f>
        <v>200000</v>
      </c>
      <c r="E308" s="1">
        <f>IFERROR(__xludf.DUMMYFUNCTION("""COMPUTED_VALUE"""),2.0)</f>
        <v>2</v>
      </c>
      <c r="F308" s="1">
        <f>IFERROR(__xludf.DUMMYFUNCTION("""COMPUTED_VALUE"""),200000.0)</f>
        <v>200000</v>
      </c>
      <c r="G308" s="1">
        <f>IFERROR(__xludf.DUMMYFUNCTION("""COMPUTED_VALUE"""),5.0)</f>
        <v>5</v>
      </c>
      <c r="H308" s="1">
        <f>IFERROR(__xludf.DUMMYFUNCTION("""COMPUTED_VALUE"""),10.0)</f>
        <v>10</v>
      </c>
      <c r="I308" s="1">
        <f>IFERROR(__xludf.DUMMYFUNCTION("""COMPUTED_VALUE"""),100000.0)</f>
        <v>100000</v>
      </c>
      <c r="J308" s="1">
        <f>IFERROR(__xludf.DUMMYFUNCTION("""COMPUTED_VALUE"""),30.0)</f>
        <v>30</v>
      </c>
      <c r="K308" s="1">
        <f>IFERROR(__xludf.DUMMYFUNCTION("""COMPUTED_VALUE"""),110000.0)</f>
        <v>110000</v>
      </c>
      <c r="L308" s="1"/>
      <c r="M308" s="1"/>
      <c r="N308" s="1">
        <f>IFERROR(__xludf.DUMMYFUNCTION("""COMPUTED_VALUE"""),0.0)</f>
        <v>0</v>
      </c>
      <c r="O308" s="1">
        <f>IFERROR(__xludf.DUMMYFUNCTION("""COMPUTED_VALUE"""),10.0)</f>
        <v>10</v>
      </c>
      <c r="P308" s="1">
        <f>IFERROR(__xludf.DUMMYFUNCTION("""COMPUTED_VALUE"""),100000.0)</f>
        <v>100000</v>
      </c>
      <c r="Q308" s="1">
        <f>IFERROR(__xludf.DUMMYFUNCTION("""COMPUTED_VALUE"""),21.0)</f>
        <v>21</v>
      </c>
      <c r="R308" s="1">
        <f>IFERROR(__xludf.DUMMYFUNCTION("""COMPUTED_VALUE"""),76472.2734375)</f>
        <v>76472.27344</v>
      </c>
      <c r="S308" s="1"/>
      <c r="T308" s="1"/>
      <c r="U308" s="1">
        <f>IFERROR(__xludf.DUMMYFUNCTION("""COMPUTED_VALUE"""),0.0)</f>
        <v>0</v>
      </c>
      <c r="V308" s="1"/>
      <c r="W308" s="1"/>
      <c r="X308" s="1">
        <f>IFERROR(__xludf.DUMMYFUNCTION("""COMPUTED_VALUE"""),0.0)</f>
        <v>0</v>
      </c>
      <c r="Y308" s="1">
        <f>IFERROR(__xludf.DUMMYFUNCTION("""COMPUTED_VALUE"""),108000.0)</f>
        <v>108000</v>
      </c>
      <c r="Z308" s="1">
        <f>IFERROR(__xludf.DUMMYFUNCTION("""COMPUTED_VALUE"""),5.0)</f>
        <v>5</v>
      </c>
      <c r="AA308" s="1">
        <f>IFERROR(__xludf.DUMMYFUNCTION("""COMPUTED_VALUE"""),108000.0)</f>
        <v>108000</v>
      </c>
      <c r="AB308" s="1">
        <f>IFERROR(__xludf.DUMMYFUNCTION("""COMPUTED_VALUE"""),55.0)</f>
        <v>55</v>
      </c>
      <c r="AC308" s="1">
        <f>IFERROR(__xludf.DUMMYFUNCTION("""COMPUTED_VALUE"""),4.0)</f>
        <v>4</v>
      </c>
      <c r="AD308" s="1">
        <f>IFERROR(__xludf.DUMMYFUNCTION("""COMPUTED_VALUE"""),101000.0)</f>
        <v>101000</v>
      </c>
      <c r="AE308" s="1">
        <f>IFERROR(__xludf.DUMMYFUNCTION("""COMPUTED_VALUE"""),48.0)</f>
        <v>48</v>
      </c>
      <c r="AF308" s="1">
        <f>IFERROR(__xludf.DUMMYFUNCTION("""COMPUTED_VALUE"""),76472.2734375)</f>
        <v>76472.27344</v>
      </c>
      <c r="AG308" s="1"/>
      <c r="AH308" s="1"/>
      <c r="AI308" s="1">
        <f>IFERROR(__xludf.DUMMYFUNCTION("""COMPUTED_VALUE"""),0.0)</f>
        <v>0</v>
      </c>
      <c r="AJ308" s="1"/>
      <c r="AK308" s="1"/>
      <c r="AL308" s="1">
        <f>IFERROR(__xludf.DUMMYFUNCTION("""COMPUTED_VALUE"""),0.0)</f>
        <v>0</v>
      </c>
      <c r="AM308" s="1">
        <f>IFERROR(__xludf.DUMMYFUNCTION("""COMPUTED_VALUE"""),109000.0)</f>
        <v>109000</v>
      </c>
      <c r="AN308" s="1">
        <f>IFERROR(__xludf.DUMMYFUNCTION("""COMPUTED_VALUE"""),10.0)</f>
        <v>10</v>
      </c>
      <c r="AO308" s="1">
        <f>IFERROR(__xludf.DUMMYFUNCTION("""COMPUTED_VALUE"""),109000.0)</f>
        <v>109000</v>
      </c>
      <c r="AP308" s="1">
        <f>IFERROR(__xludf.DUMMYFUNCTION("""COMPUTED_VALUE"""),19.0)</f>
        <v>19</v>
      </c>
      <c r="AQ308" s="1">
        <f>IFERROR(__xludf.DUMMYFUNCTION("""COMPUTED_VALUE"""),10.0)</f>
        <v>10</v>
      </c>
      <c r="AR308" s="1">
        <f>IFERROR(__xludf.DUMMYFUNCTION("""COMPUTED_VALUE"""),100000.0)</f>
        <v>100000</v>
      </c>
      <c r="AS308" s="1">
        <f>IFERROR(__xludf.DUMMYFUNCTION("""COMPUTED_VALUE"""),11.0)</f>
        <v>11</v>
      </c>
    </row>
    <row r="309">
      <c r="A309" s="1" t="str">
        <f>IFERROR(__xludf.DUMMYFUNCTION("""COMPUTED_VALUE"""),"SOI")</f>
        <v>SOI</v>
      </c>
      <c r="B309" s="1"/>
      <c r="C309" s="1"/>
      <c r="D309" s="1">
        <f>IFERROR(__xludf.DUMMYFUNCTION("""COMPUTED_VALUE"""),289.369995117187)</f>
        <v>289.3699951</v>
      </c>
      <c r="E309" s="1">
        <f>IFERROR(__xludf.DUMMYFUNCTION("""COMPUTED_VALUE"""),200.0)</f>
        <v>200</v>
      </c>
      <c r="F309" s="1">
        <f>IFERROR(__xludf.DUMMYFUNCTION("""COMPUTED_VALUE"""),800.0)</f>
        <v>800</v>
      </c>
      <c r="G309" s="1">
        <f>IFERROR(__xludf.DUMMYFUNCTION("""COMPUTED_VALUE"""),8859.0)</f>
        <v>8859</v>
      </c>
      <c r="H309" s="1">
        <f>IFERROR(__xludf.DUMMYFUNCTION("""COMPUTED_VALUE"""),627.0)</f>
        <v>627</v>
      </c>
      <c r="I309" s="1">
        <f>IFERROR(__xludf.DUMMYFUNCTION("""COMPUTED_VALUE"""),265.0)</f>
        <v>265</v>
      </c>
      <c r="J309" s="1">
        <f>IFERROR(__xludf.DUMMYFUNCTION("""COMPUTED_VALUE"""),1238.0)</f>
        <v>1238</v>
      </c>
      <c r="K309" s="1">
        <f>IFERROR(__xludf.DUMMYFUNCTION("""COMPUTED_VALUE"""),623.0)</f>
        <v>623</v>
      </c>
      <c r="L309" s="1">
        <f>IFERROR(__xludf.DUMMYFUNCTION("""COMPUTED_VALUE"""),188.0)</f>
        <v>188</v>
      </c>
      <c r="M309" s="1">
        <f>IFERROR(__xludf.DUMMYFUNCTION("""COMPUTED_VALUE"""),623.0)</f>
        <v>623</v>
      </c>
      <c r="N309" s="1">
        <f>IFERROR(__xludf.DUMMYFUNCTION("""COMPUTED_VALUE"""),630.0)</f>
        <v>630</v>
      </c>
      <c r="O309" s="1">
        <f>IFERROR(__xludf.DUMMYFUNCTION("""COMPUTED_VALUE"""),1000.0)</f>
        <v>1000</v>
      </c>
      <c r="P309" s="1">
        <f>IFERROR(__xludf.DUMMYFUNCTION("""COMPUTED_VALUE"""),310.0)</f>
        <v>310</v>
      </c>
      <c r="Q309" s="1">
        <f>IFERROR(__xludf.DUMMYFUNCTION("""COMPUTED_VALUE"""),2015.0)</f>
        <v>2015</v>
      </c>
      <c r="R309" s="1">
        <f>IFERROR(__xludf.DUMMYFUNCTION("""COMPUTED_VALUE"""),450.0)</f>
        <v>450</v>
      </c>
      <c r="S309" s="1"/>
      <c r="T309" s="1"/>
      <c r="U309" s="1">
        <f>IFERROR(__xludf.DUMMYFUNCTION("""COMPUTED_VALUE"""),0.0)</f>
        <v>0</v>
      </c>
      <c r="V309" s="1"/>
      <c r="W309" s="1"/>
      <c r="X309" s="1">
        <f>IFERROR(__xludf.DUMMYFUNCTION("""COMPUTED_VALUE"""),0.0)</f>
        <v>0</v>
      </c>
      <c r="Y309" s="1">
        <f>IFERROR(__xludf.DUMMYFUNCTION("""COMPUTED_VALUE"""),500.0)</f>
        <v>500</v>
      </c>
      <c r="Z309" s="1">
        <f>IFERROR(__xludf.DUMMYFUNCTION("""COMPUTED_VALUE"""),117.0)</f>
        <v>117</v>
      </c>
      <c r="AA309" s="1">
        <f>IFERROR(__xludf.DUMMYFUNCTION("""COMPUTED_VALUE"""),500.0)</f>
        <v>500</v>
      </c>
      <c r="AB309" s="1">
        <f>IFERROR(__xludf.DUMMYFUNCTION("""COMPUTED_VALUE"""),22736.0)</f>
        <v>22736</v>
      </c>
      <c r="AC309" s="1">
        <f>IFERROR(__xludf.DUMMYFUNCTION("""COMPUTED_VALUE"""),162.0)</f>
        <v>162</v>
      </c>
      <c r="AD309" s="1">
        <f>IFERROR(__xludf.DUMMYFUNCTION("""COMPUTED_VALUE"""),465.0)</f>
        <v>465</v>
      </c>
      <c r="AE309" s="1">
        <f>IFERROR(__xludf.DUMMYFUNCTION("""COMPUTED_VALUE"""),6283.0)</f>
        <v>6283</v>
      </c>
      <c r="AF309" s="1">
        <f>IFERROR(__xludf.DUMMYFUNCTION("""COMPUTED_VALUE"""),450.0)</f>
        <v>450</v>
      </c>
      <c r="AG309" s="1">
        <f>IFERROR(__xludf.DUMMYFUNCTION("""COMPUTED_VALUE"""),500.0)</f>
        <v>500</v>
      </c>
      <c r="AH309" s="1">
        <f>IFERROR(__xludf.DUMMYFUNCTION("""COMPUTED_VALUE"""),745.0)</f>
        <v>745</v>
      </c>
      <c r="AI309" s="1">
        <f>IFERROR(__xludf.DUMMYFUNCTION("""COMPUTED_VALUE"""),548.0)</f>
        <v>548</v>
      </c>
      <c r="AJ309" s="1"/>
      <c r="AK309" s="1"/>
      <c r="AL309" s="1">
        <f>IFERROR(__xludf.DUMMYFUNCTION("""COMPUTED_VALUE"""),0.0)</f>
        <v>0</v>
      </c>
      <c r="AM309" s="1">
        <f>IFERROR(__xludf.DUMMYFUNCTION("""COMPUTED_VALUE"""),549.0)</f>
        <v>549</v>
      </c>
      <c r="AN309" s="1">
        <f>IFERROR(__xludf.DUMMYFUNCTION("""COMPUTED_VALUE"""),1972.0)</f>
        <v>1972</v>
      </c>
      <c r="AO309" s="1">
        <f>IFERROR(__xludf.DUMMYFUNCTION("""COMPUTED_VALUE"""),549.0)</f>
        <v>549</v>
      </c>
      <c r="AP309" s="1">
        <f>IFERROR(__xludf.DUMMYFUNCTION("""COMPUTED_VALUE"""),2888.0)</f>
        <v>2888</v>
      </c>
      <c r="AQ309" s="1">
        <f>IFERROR(__xludf.DUMMYFUNCTION("""COMPUTED_VALUE"""),76.0)</f>
        <v>76</v>
      </c>
      <c r="AR309" s="1">
        <f>IFERROR(__xludf.DUMMYFUNCTION("""COMPUTED_VALUE"""),420.0)</f>
        <v>420</v>
      </c>
      <c r="AS309" s="1">
        <f>IFERROR(__xludf.DUMMYFUNCTION("""COMPUTED_VALUE"""),7895.0)</f>
        <v>7895</v>
      </c>
    </row>
    <row r="310">
      <c r="A310" s="1" t="str">
        <f>IFERROR(__xludf.DUMMYFUNCTION("""COMPUTED_VALUE"""),"SOL")</f>
        <v>SOL</v>
      </c>
      <c r="B310" s="1"/>
      <c r="C310" s="1"/>
      <c r="D310" s="1">
        <f>IFERROR(__xludf.DUMMYFUNCTION("""COMPUTED_VALUE"""),1200.0)</f>
        <v>1200</v>
      </c>
      <c r="E310" s="1">
        <f>IFERROR(__xludf.DUMMYFUNCTION("""COMPUTED_VALUE"""),401.0)</f>
        <v>401</v>
      </c>
      <c r="F310" s="1">
        <f>IFERROR(__xludf.DUMMYFUNCTION("""COMPUTED_VALUE"""),1200.0)</f>
        <v>1200</v>
      </c>
      <c r="G310" s="1">
        <f>IFERROR(__xludf.DUMMYFUNCTION("""COMPUTED_VALUE"""),7307.0)</f>
        <v>7307</v>
      </c>
      <c r="H310" s="1">
        <f>IFERROR(__xludf.DUMMYFUNCTION("""COMPUTED_VALUE"""),2500.0)</f>
        <v>2500</v>
      </c>
      <c r="I310" s="1">
        <f>IFERROR(__xludf.DUMMYFUNCTION("""COMPUTED_VALUE"""),950.0)</f>
        <v>950</v>
      </c>
      <c r="J310" s="1">
        <f>IFERROR(__xludf.DUMMYFUNCTION("""COMPUTED_VALUE"""),12000.0)</f>
        <v>12000</v>
      </c>
      <c r="K310" s="1">
        <f>IFERROR(__xludf.DUMMYFUNCTION("""COMPUTED_VALUE"""),1400.0)</f>
        <v>1400</v>
      </c>
      <c r="L310" s="1">
        <f>IFERROR(__xludf.DUMMYFUNCTION("""COMPUTED_VALUE"""),375.0)</f>
        <v>375</v>
      </c>
      <c r="M310" s="1">
        <f>IFERROR(__xludf.DUMMYFUNCTION("""COMPUTED_VALUE"""),1400.0)</f>
        <v>1400</v>
      </c>
      <c r="N310" s="1">
        <f>IFERROR(__xludf.DUMMYFUNCTION("""COMPUTED_VALUE"""),375.0)</f>
        <v>375</v>
      </c>
      <c r="O310" s="1">
        <f>IFERROR(__xludf.DUMMYFUNCTION("""COMPUTED_VALUE"""),1000.0)</f>
        <v>1000</v>
      </c>
      <c r="P310" s="1">
        <f>IFERROR(__xludf.DUMMYFUNCTION("""COMPUTED_VALUE"""),1200.0)</f>
        <v>1200</v>
      </c>
      <c r="Q310" s="1">
        <f>IFERROR(__xludf.DUMMYFUNCTION("""COMPUTED_VALUE"""),1903.0)</f>
        <v>1903</v>
      </c>
      <c r="R310" s="1">
        <f>IFERROR(__xludf.DUMMYFUNCTION("""COMPUTED_VALUE"""),445.899993896484)</f>
        <v>445.8999939</v>
      </c>
      <c r="S310" s="1"/>
      <c r="T310" s="1"/>
      <c r="U310" s="1">
        <f>IFERROR(__xludf.DUMMYFUNCTION("""COMPUTED_VALUE"""),0.0)</f>
        <v>0</v>
      </c>
      <c r="V310" s="1"/>
      <c r="W310" s="1"/>
      <c r="X310" s="1">
        <f>IFERROR(__xludf.DUMMYFUNCTION("""COMPUTED_VALUE"""),0.0)</f>
        <v>0</v>
      </c>
      <c r="Y310" s="1">
        <f>IFERROR(__xludf.DUMMYFUNCTION("""COMPUTED_VALUE"""),1100.0)</f>
        <v>1100</v>
      </c>
      <c r="Z310" s="1">
        <f>IFERROR(__xludf.DUMMYFUNCTION("""COMPUTED_VALUE"""),20.0)</f>
        <v>20</v>
      </c>
      <c r="AA310" s="1">
        <f>IFERROR(__xludf.DUMMYFUNCTION("""COMPUTED_VALUE"""),1100.0)</f>
        <v>1100</v>
      </c>
      <c r="AB310" s="1">
        <f>IFERROR(__xludf.DUMMYFUNCTION("""COMPUTED_VALUE"""),2793.0)</f>
        <v>2793</v>
      </c>
      <c r="AC310" s="1">
        <f>IFERROR(__xludf.DUMMYFUNCTION("""COMPUTED_VALUE"""),500.0)</f>
        <v>500</v>
      </c>
      <c r="AD310" s="1">
        <f>IFERROR(__xludf.DUMMYFUNCTION("""COMPUTED_VALUE"""),920.0)</f>
        <v>920</v>
      </c>
      <c r="AE310" s="1">
        <f>IFERROR(__xludf.DUMMYFUNCTION("""COMPUTED_VALUE"""),1882.0)</f>
        <v>1882</v>
      </c>
      <c r="AF310" s="1">
        <f>IFERROR(__xludf.DUMMYFUNCTION("""COMPUTED_VALUE"""),1200.0)</f>
        <v>1200</v>
      </c>
      <c r="AG310" s="1">
        <f>IFERROR(__xludf.DUMMYFUNCTION("""COMPUTED_VALUE"""),3.0)</f>
        <v>3</v>
      </c>
      <c r="AH310" s="1">
        <f>IFERROR(__xludf.DUMMYFUNCTION("""COMPUTED_VALUE"""),1200.0)</f>
        <v>1200</v>
      </c>
      <c r="AI310" s="1">
        <f>IFERROR(__xludf.DUMMYFUNCTION("""COMPUTED_VALUE"""),3.0)</f>
        <v>3</v>
      </c>
      <c r="AJ310" s="1"/>
      <c r="AK310" s="1"/>
      <c r="AL310" s="1">
        <f>IFERROR(__xludf.DUMMYFUNCTION("""COMPUTED_VALUE"""),0.0)</f>
        <v>0</v>
      </c>
      <c r="AM310" s="1">
        <f>IFERROR(__xludf.DUMMYFUNCTION("""COMPUTED_VALUE"""),1370.0)</f>
        <v>1370</v>
      </c>
      <c r="AN310" s="1">
        <f>IFERROR(__xludf.DUMMYFUNCTION("""COMPUTED_VALUE"""),15.0)</f>
        <v>15</v>
      </c>
      <c r="AO310" s="1">
        <f>IFERROR(__xludf.DUMMYFUNCTION("""COMPUTED_VALUE"""),1370.0)</f>
        <v>1370</v>
      </c>
      <c r="AP310" s="1">
        <f>IFERROR(__xludf.DUMMYFUNCTION("""COMPUTED_VALUE"""),404.0)</f>
        <v>404</v>
      </c>
      <c r="AQ310" s="1">
        <f>IFERROR(__xludf.DUMMYFUNCTION("""COMPUTED_VALUE"""),1000.0)</f>
        <v>1000</v>
      </c>
      <c r="AR310" s="1">
        <f>IFERROR(__xludf.DUMMYFUNCTION("""COMPUTED_VALUE"""),900.0)</f>
        <v>900</v>
      </c>
      <c r="AS310" s="1">
        <f>IFERROR(__xludf.DUMMYFUNCTION("""COMPUTED_VALUE"""),1774.0)</f>
        <v>1774</v>
      </c>
    </row>
    <row r="311">
      <c r="A311" s="1" t="str">
        <f>IFERROR(__xludf.DUMMYFUNCTION("""COMPUTED_VALUE"""),"SP")</f>
        <v>SP</v>
      </c>
      <c r="B311" s="1">
        <f>IFERROR(__xludf.DUMMYFUNCTION("""COMPUTED_VALUE"""),2500.0)</f>
        <v>2500</v>
      </c>
      <c r="C311" s="1"/>
      <c r="D311" s="1">
        <f>IFERROR(__xludf.DUMMYFUNCTION("""COMPUTED_VALUE"""),2800.0)</f>
        <v>2800</v>
      </c>
      <c r="E311" s="1">
        <f>IFERROR(__xludf.DUMMYFUNCTION("""COMPUTED_VALUE"""),7775.0)</f>
        <v>7775</v>
      </c>
      <c r="F311" s="1">
        <f>IFERROR(__xludf.DUMMYFUNCTION("""COMPUTED_VALUE"""),2800.0)</f>
        <v>2800</v>
      </c>
      <c r="G311" s="1">
        <f>IFERROR(__xludf.DUMMYFUNCTION("""COMPUTED_VALUE"""),24299.0)</f>
        <v>24299</v>
      </c>
      <c r="H311" s="1">
        <f>IFERROR(__xludf.DUMMYFUNCTION("""COMPUTED_VALUE"""),10.0)</f>
        <v>10</v>
      </c>
      <c r="I311" s="1">
        <f>IFERROR(__xludf.DUMMYFUNCTION("""COMPUTED_VALUE"""),2530.0)</f>
        <v>2530</v>
      </c>
      <c r="J311" s="1">
        <f>IFERROR(__xludf.DUMMYFUNCTION("""COMPUTED_VALUE"""),350.0)</f>
        <v>350</v>
      </c>
      <c r="K311" s="1">
        <f>IFERROR(__xludf.DUMMYFUNCTION("""COMPUTED_VALUE"""),2800.0)</f>
        <v>2800</v>
      </c>
      <c r="L311" s="1">
        <f>IFERROR(__xludf.DUMMYFUNCTION("""COMPUTED_VALUE"""),459.0)</f>
        <v>459</v>
      </c>
      <c r="M311" s="1">
        <f>IFERROR(__xludf.DUMMYFUNCTION("""COMPUTED_VALUE"""),2800.0)</f>
        <v>2800</v>
      </c>
      <c r="N311" s="1">
        <f>IFERROR(__xludf.DUMMYFUNCTION("""COMPUTED_VALUE"""),4039.0)</f>
        <v>4039</v>
      </c>
      <c r="O311" s="1">
        <f>IFERROR(__xludf.DUMMYFUNCTION("""COMPUTED_VALUE"""),1400.0)</f>
        <v>1400</v>
      </c>
      <c r="P311" s="1">
        <f>IFERROR(__xludf.DUMMYFUNCTION("""COMPUTED_VALUE"""),2600.0)</f>
        <v>2600</v>
      </c>
      <c r="Q311" s="1">
        <f>IFERROR(__xludf.DUMMYFUNCTION("""COMPUTED_VALUE"""),1500.0)</f>
        <v>1500</v>
      </c>
      <c r="R311" s="1">
        <f>IFERROR(__xludf.DUMMYFUNCTION("""COMPUTED_VALUE"""),2900.0)</f>
        <v>2900</v>
      </c>
      <c r="S311" s="1">
        <f>IFERROR(__xludf.DUMMYFUNCTION("""COMPUTED_VALUE"""),2.0)</f>
        <v>2</v>
      </c>
      <c r="T311" s="1">
        <f>IFERROR(__xludf.DUMMYFUNCTION("""COMPUTED_VALUE"""),2900.0)</f>
        <v>2900</v>
      </c>
      <c r="U311" s="1">
        <f>IFERROR(__xludf.DUMMYFUNCTION("""COMPUTED_VALUE"""),180.0)</f>
        <v>180</v>
      </c>
      <c r="V311" s="1"/>
      <c r="W311" s="1"/>
      <c r="X311" s="1">
        <f>IFERROR(__xludf.DUMMYFUNCTION("""COMPUTED_VALUE"""),0.0)</f>
        <v>0</v>
      </c>
      <c r="Y311" s="1">
        <f>IFERROR(__xludf.DUMMYFUNCTION("""COMPUTED_VALUE"""),2700.0)</f>
        <v>2700</v>
      </c>
      <c r="Z311" s="1">
        <f>IFERROR(__xludf.DUMMYFUNCTION("""COMPUTED_VALUE"""),84.0)</f>
        <v>84</v>
      </c>
      <c r="AA311" s="1">
        <f>IFERROR(__xludf.DUMMYFUNCTION("""COMPUTED_VALUE"""),3070.0)</f>
        <v>3070</v>
      </c>
      <c r="AB311" s="1">
        <f>IFERROR(__xludf.DUMMYFUNCTION("""COMPUTED_VALUE"""),2348.0)</f>
        <v>2348</v>
      </c>
      <c r="AC311" s="1">
        <f>IFERROR(__xludf.DUMMYFUNCTION("""COMPUTED_VALUE"""),5.0)</f>
        <v>5</v>
      </c>
      <c r="AD311" s="1">
        <f>IFERROR(__xludf.DUMMYFUNCTION("""COMPUTED_VALUE"""),2700.0)</f>
        <v>2700</v>
      </c>
      <c r="AE311" s="1">
        <f>IFERROR(__xludf.DUMMYFUNCTION("""COMPUTED_VALUE"""),515.0)</f>
        <v>515</v>
      </c>
      <c r="AF311" s="1">
        <f>IFERROR(__xludf.DUMMYFUNCTION("""COMPUTED_VALUE"""),2560.0)</f>
        <v>2560</v>
      </c>
      <c r="AG311" s="1"/>
      <c r="AH311" s="1"/>
      <c r="AI311" s="1">
        <f>IFERROR(__xludf.DUMMYFUNCTION("""COMPUTED_VALUE"""),0.0)</f>
        <v>0</v>
      </c>
      <c r="AJ311" s="1"/>
      <c r="AK311" s="1"/>
      <c r="AL311" s="1">
        <f>IFERROR(__xludf.DUMMYFUNCTION("""COMPUTED_VALUE"""),0.0)</f>
        <v>0</v>
      </c>
      <c r="AM311" s="1">
        <f>IFERROR(__xludf.DUMMYFUNCTION("""COMPUTED_VALUE"""),2800.0)</f>
        <v>2800</v>
      </c>
      <c r="AN311" s="1">
        <f>IFERROR(__xludf.DUMMYFUNCTION("""COMPUTED_VALUE"""),1813.0)</f>
        <v>1813</v>
      </c>
      <c r="AO311" s="1">
        <f>IFERROR(__xludf.DUMMYFUNCTION("""COMPUTED_VALUE"""),2800.0)</f>
        <v>2800</v>
      </c>
      <c r="AP311" s="1">
        <f>IFERROR(__xludf.DUMMYFUNCTION("""COMPUTED_VALUE"""),7537.0)</f>
        <v>7537</v>
      </c>
      <c r="AQ311" s="1">
        <f>IFERROR(__xludf.DUMMYFUNCTION("""COMPUTED_VALUE"""),200.0)</f>
        <v>200</v>
      </c>
      <c r="AR311" s="1">
        <f>IFERROR(__xludf.DUMMYFUNCTION("""COMPUTED_VALUE"""),2600.0)</f>
        <v>2600</v>
      </c>
      <c r="AS311" s="1">
        <f>IFERROR(__xludf.DUMMYFUNCTION("""COMPUTED_VALUE"""),300.0)</f>
        <v>300</v>
      </c>
    </row>
    <row r="312">
      <c r="A312" s="1" t="str">
        <f>IFERROR(__xludf.DUMMYFUNCTION("""COMPUTED_VALUE"""),"SPT")</f>
        <v>SPT</v>
      </c>
      <c r="B312" s="1"/>
      <c r="C312" s="1"/>
      <c r="D312" s="1">
        <f>IFERROR(__xludf.DUMMYFUNCTION("""COMPUTED_VALUE"""),1000.0)</f>
        <v>1000</v>
      </c>
      <c r="E312" s="1">
        <f>IFERROR(__xludf.DUMMYFUNCTION("""COMPUTED_VALUE"""),99.0)</f>
        <v>99</v>
      </c>
      <c r="F312" s="1">
        <f>IFERROR(__xludf.DUMMYFUNCTION("""COMPUTED_VALUE"""),1000.0)</f>
        <v>1000</v>
      </c>
      <c r="G312" s="1">
        <f>IFERROR(__xludf.DUMMYFUNCTION("""COMPUTED_VALUE"""),31612.0)</f>
        <v>31612</v>
      </c>
      <c r="H312" s="1">
        <f>IFERROR(__xludf.DUMMYFUNCTION("""COMPUTED_VALUE"""),80.0)</f>
        <v>80</v>
      </c>
      <c r="I312" s="1">
        <f>IFERROR(__xludf.DUMMYFUNCTION("""COMPUTED_VALUE"""),400.0)</f>
        <v>400</v>
      </c>
      <c r="J312" s="1">
        <f>IFERROR(__xludf.DUMMYFUNCTION("""COMPUTED_VALUE"""),80.0)</f>
        <v>80</v>
      </c>
      <c r="K312" s="1">
        <f>IFERROR(__xludf.DUMMYFUNCTION("""COMPUTED_VALUE"""),189.0)</f>
        <v>189</v>
      </c>
      <c r="L312" s="1">
        <f>IFERROR(__xludf.DUMMYFUNCTION("""COMPUTED_VALUE"""),100.0)</f>
        <v>100</v>
      </c>
      <c r="M312" s="1">
        <f>IFERROR(__xludf.DUMMYFUNCTION("""COMPUTED_VALUE"""),470.0)</f>
        <v>470</v>
      </c>
      <c r="N312" s="1">
        <f>IFERROR(__xludf.DUMMYFUNCTION("""COMPUTED_VALUE"""),200.0)</f>
        <v>200</v>
      </c>
      <c r="O312" s="1"/>
      <c r="P312" s="1"/>
      <c r="Q312" s="1">
        <f>IFERROR(__xludf.DUMMYFUNCTION("""COMPUTED_VALUE"""),0.0)</f>
        <v>0</v>
      </c>
      <c r="R312" s="1">
        <f>IFERROR(__xludf.DUMMYFUNCTION("""COMPUTED_VALUE"""),189.0)</f>
        <v>189</v>
      </c>
      <c r="S312" s="1"/>
      <c r="T312" s="1"/>
      <c r="U312" s="1">
        <f>IFERROR(__xludf.DUMMYFUNCTION("""COMPUTED_VALUE"""),0.0)</f>
        <v>0</v>
      </c>
      <c r="V312" s="1"/>
      <c r="W312" s="1"/>
      <c r="X312" s="1">
        <f>IFERROR(__xludf.DUMMYFUNCTION("""COMPUTED_VALUE"""),0.0)</f>
        <v>0</v>
      </c>
      <c r="Y312" s="1">
        <f>IFERROR(__xludf.DUMMYFUNCTION("""COMPUTED_VALUE"""),222.0)</f>
        <v>222</v>
      </c>
      <c r="Z312" s="1">
        <f>IFERROR(__xludf.DUMMYFUNCTION("""COMPUTED_VALUE"""),397.0)</f>
        <v>397</v>
      </c>
      <c r="AA312" s="1">
        <f>IFERROR(__xludf.DUMMYFUNCTION("""COMPUTED_VALUE"""),640.0)</f>
        <v>640</v>
      </c>
      <c r="AB312" s="1">
        <f>IFERROR(__xludf.DUMMYFUNCTION("""COMPUTED_VALUE"""),30597.0)</f>
        <v>30597</v>
      </c>
      <c r="AC312" s="1">
        <f>IFERROR(__xludf.DUMMYFUNCTION("""COMPUTED_VALUE"""),1000.0)</f>
        <v>1000</v>
      </c>
      <c r="AD312" s="1">
        <f>IFERROR(__xludf.DUMMYFUNCTION("""COMPUTED_VALUE"""),142.0)</f>
        <v>142</v>
      </c>
      <c r="AE312" s="1">
        <f>IFERROR(__xludf.DUMMYFUNCTION("""COMPUTED_VALUE"""),1000.0)</f>
        <v>1000</v>
      </c>
      <c r="AF312" s="1">
        <f>IFERROR(__xludf.DUMMYFUNCTION("""COMPUTED_VALUE"""),189.0)</f>
        <v>189</v>
      </c>
      <c r="AG312" s="1"/>
      <c r="AH312" s="1"/>
      <c r="AI312" s="1">
        <f>IFERROR(__xludf.DUMMYFUNCTION("""COMPUTED_VALUE"""),0.0)</f>
        <v>0</v>
      </c>
      <c r="AJ312" s="1"/>
      <c r="AK312" s="1"/>
      <c r="AL312" s="1">
        <f>IFERROR(__xludf.DUMMYFUNCTION("""COMPUTED_VALUE"""),0.0)</f>
        <v>0</v>
      </c>
      <c r="AM312" s="1">
        <f>IFERROR(__xludf.DUMMYFUNCTION("""COMPUTED_VALUE"""),800.0)</f>
        <v>800</v>
      </c>
      <c r="AN312" s="1">
        <f>IFERROR(__xludf.DUMMYFUNCTION("""COMPUTED_VALUE"""),95.0)</f>
        <v>95</v>
      </c>
      <c r="AO312" s="1">
        <f>IFERROR(__xludf.DUMMYFUNCTION("""COMPUTED_VALUE"""),790.0)</f>
        <v>790</v>
      </c>
      <c r="AP312" s="1">
        <f>IFERROR(__xludf.DUMMYFUNCTION("""COMPUTED_VALUE"""),12742.0)</f>
        <v>12742</v>
      </c>
      <c r="AQ312" s="1"/>
      <c r="AR312" s="1"/>
      <c r="AS312" s="1">
        <f>IFERROR(__xludf.DUMMYFUNCTION("""COMPUTED_VALUE"""),0.0)</f>
        <v>0</v>
      </c>
    </row>
    <row r="313">
      <c r="A313" s="1" t="str">
        <f>IFERROR(__xludf.DUMMYFUNCTION("""COMPUTED_VALUE"""),"SRD")</f>
        <v>SRD</v>
      </c>
      <c r="B313" s="1">
        <f>IFERROR(__xludf.DUMMYFUNCTION("""COMPUTED_VALUE"""),70000.0)</f>
        <v>70000</v>
      </c>
      <c r="C313" s="1"/>
      <c r="D313" s="1">
        <f>IFERROR(__xludf.DUMMYFUNCTION("""COMPUTED_VALUE"""),70000.0)</f>
        <v>70000</v>
      </c>
      <c r="E313" s="1">
        <f>IFERROR(__xludf.DUMMYFUNCTION("""COMPUTED_VALUE"""),85.0)</f>
        <v>85</v>
      </c>
      <c r="F313" s="1">
        <f>IFERROR(__xludf.DUMMYFUNCTION("""COMPUTED_VALUE"""),80000.0)</f>
        <v>80000</v>
      </c>
      <c r="G313" s="1">
        <f>IFERROR(__xludf.DUMMYFUNCTION("""COMPUTED_VALUE"""),125.0)</f>
        <v>125</v>
      </c>
      <c r="H313" s="1">
        <f>IFERROR(__xludf.DUMMYFUNCTION("""COMPUTED_VALUE"""),100.0)</f>
        <v>100</v>
      </c>
      <c r="I313" s="1">
        <f>IFERROR(__xludf.DUMMYFUNCTION("""COMPUTED_VALUE"""),70000.0)</f>
        <v>70000</v>
      </c>
      <c r="J313" s="1">
        <f>IFERROR(__xludf.DUMMYFUNCTION("""COMPUTED_VALUE"""),100.0)</f>
        <v>100</v>
      </c>
      <c r="K313" s="1">
        <f>IFERROR(__xludf.DUMMYFUNCTION("""COMPUTED_VALUE"""),100000.0)</f>
        <v>100000</v>
      </c>
      <c r="L313" s="1">
        <f>IFERROR(__xludf.DUMMYFUNCTION("""COMPUTED_VALUE"""),20.0)</f>
        <v>20</v>
      </c>
      <c r="M313" s="1">
        <f>IFERROR(__xludf.DUMMYFUNCTION("""COMPUTED_VALUE"""),100000.0)</f>
        <v>100000</v>
      </c>
      <c r="N313" s="1">
        <f>IFERROR(__xludf.DUMMYFUNCTION("""COMPUTED_VALUE"""),20.0)</f>
        <v>20</v>
      </c>
      <c r="O313" s="1">
        <f>IFERROR(__xludf.DUMMYFUNCTION("""COMPUTED_VALUE"""),100.0)</f>
        <v>100</v>
      </c>
      <c r="P313" s="1">
        <f>IFERROR(__xludf.DUMMYFUNCTION("""COMPUTED_VALUE"""),70000.0)</f>
        <v>70000</v>
      </c>
      <c r="Q313" s="1">
        <f>IFERROR(__xludf.DUMMYFUNCTION("""COMPUTED_VALUE"""),100.0)</f>
        <v>100</v>
      </c>
      <c r="R313" s="1">
        <f>IFERROR(__xludf.DUMMYFUNCTION("""COMPUTED_VALUE"""),29220.75)</f>
        <v>29220.75</v>
      </c>
      <c r="S313" s="1"/>
      <c r="T313" s="1"/>
      <c r="U313" s="1">
        <f>IFERROR(__xludf.DUMMYFUNCTION("""COMPUTED_VALUE"""),0.0)</f>
        <v>0</v>
      </c>
      <c r="V313" s="1"/>
      <c r="W313" s="1"/>
      <c r="X313" s="1">
        <f>IFERROR(__xludf.DUMMYFUNCTION("""COMPUTED_VALUE"""),0.0)</f>
        <v>0</v>
      </c>
      <c r="Y313" s="1">
        <f>IFERROR(__xludf.DUMMYFUNCTION("""COMPUTED_VALUE"""),70511.4921875)</f>
        <v>70511.49219</v>
      </c>
      <c r="Z313" s="1">
        <f>IFERROR(__xludf.DUMMYFUNCTION("""COMPUTED_VALUE"""),60.0)</f>
        <v>60</v>
      </c>
      <c r="AA313" s="1">
        <f>IFERROR(__xludf.DUMMYFUNCTION("""COMPUTED_VALUE"""),80000.0)</f>
        <v>80000</v>
      </c>
      <c r="AB313" s="1">
        <f>IFERROR(__xludf.DUMMYFUNCTION("""COMPUTED_VALUE"""),60.0)</f>
        <v>60</v>
      </c>
      <c r="AC313" s="1">
        <f>IFERROR(__xludf.DUMMYFUNCTION("""COMPUTED_VALUE"""),100.0)</f>
        <v>100</v>
      </c>
      <c r="AD313" s="1">
        <f>IFERROR(__xludf.DUMMYFUNCTION("""COMPUTED_VALUE"""),70000.0)</f>
        <v>70000</v>
      </c>
      <c r="AE313" s="1">
        <f>IFERROR(__xludf.DUMMYFUNCTION("""COMPUTED_VALUE"""),100.0)</f>
        <v>100</v>
      </c>
      <c r="AF313" s="1">
        <f>IFERROR(__xludf.DUMMYFUNCTION("""COMPUTED_VALUE"""),29220.75)</f>
        <v>29220.75</v>
      </c>
      <c r="AG313" s="1"/>
      <c r="AH313" s="1"/>
      <c r="AI313" s="1">
        <f>IFERROR(__xludf.DUMMYFUNCTION("""COMPUTED_VALUE"""),0.0)</f>
        <v>0</v>
      </c>
      <c r="AJ313" s="1"/>
      <c r="AK313" s="1"/>
      <c r="AL313" s="1">
        <f>IFERROR(__xludf.DUMMYFUNCTION("""COMPUTED_VALUE"""),0.0)</f>
        <v>0</v>
      </c>
      <c r="AM313" s="1">
        <f>IFERROR(__xludf.DUMMYFUNCTION("""COMPUTED_VALUE"""),70000.0)</f>
        <v>70000</v>
      </c>
      <c r="AN313" s="1"/>
      <c r="AO313" s="1"/>
      <c r="AP313" s="1">
        <f>IFERROR(__xludf.DUMMYFUNCTION("""COMPUTED_VALUE"""),0.0)</f>
        <v>0</v>
      </c>
      <c r="AQ313" s="1">
        <f>IFERROR(__xludf.DUMMYFUNCTION("""COMPUTED_VALUE"""),100.0)</f>
        <v>100</v>
      </c>
      <c r="AR313" s="1">
        <f>IFERROR(__xludf.DUMMYFUNCTION("""COMPUTED_VALUE"""),70000.0)</f>
        <v>70000</v>
      </c>
      <c r="AS313" s="1">
        <f>IFERROR(__xludf.DUMMYFUNCTION("""COMPUTED_VALUE"""),100.0)</f>
        <v>100</v>
      </c>
    </row>
    <row r="314">
      <c r="A314" s="1" t="str">
        <f>IFERROR(__xludf.DUMMYFUNCTION("""COMPUTED_VALUE"""),"SRP")</f>
        <v>SRP</v>
      </c>
      <c r="B314" s="1"/>
      <c r="C314" s="1"/>
      <c r="D314" s="1">
        <f>IFERROR(__xludf.DUMMYFUNCTION("""COMPUTED_VALUE"""),18900.0)</f>
        <v>18900</v>
      </c>
      <c r="E314" s="1">
        <f>IFERROR(__xludf.DUMMYFUNCTION("""COMPUTED_VALUE"""),190.0)</f>
        <v>190</v>
      </c>
      <c r="F314" s="1">
        <f>IFERROR(__xludf.DUMMYFUNCTION("""COMPUTED_VALUE"""),18500.0)</f>
        <v>18500</v>
      </c>
      <c r="G314" s="1">
        <f>IFERROR(__xludf.DUMMYFUNCTION("""COMPUTED_VALUE"""),452.0)</f>
        <v>452</v>
      </c>
      <c r="H314" s="1">
        <f>IFERROR(__xludf.DUMMYFUNCTION("""COMPUTED_VALUE"""),160.0)</f>
        <v>160</v>
      </c>
      <c r="I314" s="1">
        <f>IFERROR(__xludf.DUMMYFUNCTION("""COMPUTED_VALUE"""),14000.0)</f>
        <v>14000</v>
      </c>
      <c r="J314" s="1">
        <f>IFERROR(__xludf.DUMMYFUNCTION("""COMPUTED_VALUE"""),360.0)</f>
        <v>360</v>
      </c>
      <c r="K314" s="1">
        <f>IFERROR(__xludf.DUMMYFUNCTION("""COMPUTED_VALUE"""),19654.4609375)</f>
        <v>19654.46094</v>
      </c>
      <c r="L314" s="1">
        <f>IFERROR(__xludf.DUMMYFUNCTION("""COMPUTED_VALUE"""),39.0)</f>
        <v>39</v>
      </c>
      <c r="M314" s="1">
        <f>IFERROR(__xludf.DUMMYFUNCTION("""COMPUTED_VALUE"""),20000.0)</f>
        <v>20000</v>
      </c>
      <c r="N314" s="1">
        <f>IFERROR(__xludf.DUMMYFUNCTION("""COMPUTED_VALUE"""),39.0)</f>
        <v>39</v>
      </c>
      <c r="O314" s="1">
        <f>IFERROR(__xludf.DUMMYFUNCTION("""COMPUTED_VALUE"""),60.0)</f>
        <v>60</v>
      </c>
      <c r="P314" s="1">
        <f>IFERROR(__xludf.DUMMYFUNCTION("""COMPUTED_VALUE"""),17000.0)</f>
        <v>17000</v>
      </c>
      <c r="Q314" s="1">
        <f>IFERROR(__xludf.DUMMYFUNCTION("""COMPUTED_VALUE"""),60.0)</f>
        <v>60</v>
      </c>
      <c r="R314" s="1">
        <f>IFERROR(__xludf.DUMMYFUNCTION("""COMPUTED_VALUE"""),6950.52978515625)</f>
        <v>6950.529785</v>
      </c>
      <c r="S314" s="1"/>
      <c r="T314" s="1"/>
      <c r="U314" s="1">
        <f>IFERROR(__xludf.DUMMYFUNCTION("""COMPUTED_VALUE"""),0.0)</f>
        <v>0</v>
      </c>
      <c r="V314" s="1"/>
      <c r="W314" s="1"/>
      <c r="X314" s="1">
        <f>IFERROR(__xludf.DUMMYFUNCTION("""COMPUTED_VALUE"""),0.0)</f>
        <v>0</v>
      </c>
      <c r="Y314" s="1">
        <f>IFERROR(__xludf.DUMMYFUNCTION("""COMPUTED_VALUE"""),23900.0)</f>
        <v>23900</v>
      </c>
      <c r="Z314" s="1">
        <f>IFERROR(__xludf.DUMMYFUNCTION("""COMPUTED_VALUE"""),94.0)</f>
        <v>94</v>
      </c>
      <c r="AA314" s="1">
        <f>IFERROR(__xludf.DUMMYFUNCTION("""COMPUTED_VALUE"""),23900.0)</f>
        <v>23900</v>
      </c>
      <c r="AB314" s="1">
        <f>IFERROR(__xludf.DUMMYFUNCTION("""COMPUTED_VALUE"""),132.0)</f>
        <v>132</v>
      </c>
      <c r="AC314" s="1">
        <f>IFERROR(__xludf.DUMMYFUNCTION("""COMPUTED_VALUE"""),40.0)</f>
        <v>40</v>
      </c>
      <c r="AD314" s="1">
        <f>IFERROR(__xludf.DUMMYFUNCTION("""COMPUTED_VALUE"""),17000.0)</f>
        <v>17000</v>
      </c>
      <c r="AE314" s="1">
        <f>IFERROR(__xludf.DUMMYFUNCTION("""COMPUTED_VALUE"""),390.0)</f>
        <v>390</v>
      </c>
      <c r="AF314" s="1">
        <f>IFERROR(__xludf.DUMMYFUNCTION("""COMPUTED_VALUE"""),6950.52978515625)</f>
        <v>6950.529785</v>
      </c>
      <c r="AG314" s="1"/>
      <c r="AH314" s="1"/>
      <c r="AI314" s="1">
        <f>IFERROR(__xludf.DUMMYFUNCTION("""COMPUTED_VALUE"""),0.0)</f>
        <v>0</v>
      </c>
      <c r="AJ314" s="1"/>
      <c r="AK314" s="1"/>
      <c r="AL314" s="1">
        <f>IFERROR(__xludf.DUMMYFUNCTION("""COMPUTED_VALUE"""),0.0)</f>
        <v>0</v>
      </c>
      <c r="AM314" s="1">
        <f>IFERROR(__xludf.DUMMYFUNCTION("""COMPUTED_VALUE"""),6950.52978515625)</f>
        <v>6950.529785</v>
      </c>
      <c r="AN314" s="1">
        <f>IFERROR(__xludf.DUMMYFUNCTION("""COMPUTED_VALUE"""),200.0)</f>
        <v>200</v>
      </c>
      <c r="AO314" s="1">
        <f>IFERROR(__xludf.DUMMYFUNCTION("""COMPUTED_VALUE"""),19600.0)</f>
        <v>19600</v>
      </c>
      <c r="AP314" s="1">
        <f>IFERROR(__xludf.DUMMYFUNCTION("""COMPUTED_VALUE"""),288.0)</f>
        <v>288</v>
      </c>
      <c r="AQ314" s="1"/>
      <c r="AR314" s="1"/>
      <c r="AS314" s="1">
        <f>IFERROR(__xludf.DUMMYFUNCTION("""COMPUTED_VALUE"""),0.0)</f>
        <v>0</v>
      </c>
    </row>
    <row r="315">
      <c r="A315" s="1" t="str">
        <f>IFERROR(__xludf.DUMMYFUNCTION("""COMPUTED_VALUE"""),"SSC")</f>
        <v>SSC</v>
      </c>
      <c r="B315" s="1"/>
      <c r="C315" s="1"/>
      <c r="D315" s="1">
        <f>IFERROR(__xludf.DUMMYFUNCTION("""COMPUTED_VALUE"""),499.0)</f>
        <v>499</v>
      </c>
      <c r="E315" s="1">
        <f>IFERROR(__xludf.DUMMYFUNCTION("""COMPUTED_VALUE"""),414.0)</f>
        <v>414</v>
      </c>
      <c r="F315" s="1">
        <f>IFERROR(__xludf.DUMMYFUNCTION("""COMPUTED_VALUE"""),499.0)</f>
        <v>499</v>
      </c>
      <c r="G315" s="1">
        <f>IFERROR(__xludf.DUMMYFUNCTION("""COMPUTED_VALUE"""),7351.0)</f>
        <v>7351</v>
      </c>
      <c r="H315" s="1">
        <f>IFERROR(__xludf.DUMMYFUNCTION("""COMPUTED_VALUE"""),595.0)</f>
        <v>595</v>
      </c>
      <c r="I315" s="1">
        <f>IFERROR(__xludf.DUMMYFUNCTION("""COMPUTED_VALUE"""),470.0)</f>
        <v>470</v>
      </c>
      <c r="J315" s="1">
        <f>IFERROR(__xludf.DUMMYFUNCTION("""COMPUTED_VALUE"""),2595.0)</f>
        <v>2595</v>
      </c>
      <c r="K315" s="1">
        <f>IFERROR(__xludf.DUMMYFUNCTION("""COMPUTED_VALUE"""),493.0)</f>
        <v>493</v>
      </c>
      <c r="L315" s="1">
        <f>IFERROR(__xludf.DUMMYFUNCTION("""COMPUTED_VALUE"""),1157.0)</f>
        <v>1157</v>
      </c>
      <c r="M315" s="1">
        <f>IFERROR(__xludf.DUMMYFUNCTION("""COMPUTED_VALUE"""),494.0)</f>
        <v>494</v>
      </c>
      <c r="N315" s="1">
        <f>IFERROR(__xludf.DUMMYFUNCTION("""COMPUTED_VALUE"""),5454.0)</f>
        <v>5454</v>
      </c>
      <c r="O315" s="1">
        <f>IFERROR(__xludf.DUMMYFUNCTION("""COMPUTED_VALUE"""),1.0)</f>
        <v>1</v>
      </c>
      <c r="P315" s="1">
        <f>IFERROR(__xludf.DUMMYFUNCTION("""COMPUTED_VALUE"""),493.0)</f>
        <v>493</v>
      </c>
      <c r="Q315" s="1">
        <f>IFERROR(__xludf.DUMMYFUNCTION("""COMPUTED_VALUE"""),2042.0)</f>
        <v>2042</v>
      </c>
      <c r="R315" s="1">
        <f>IFERROR(__xludf.DUMMYFUNCTION("""COMPUTED_VALUE"""),500.0)</f>
        <v>500</v>
      </c>
      <c r="S315" s="1"/>
      <c r="T315" s="1"/>
      <c r="U315" s="1">
        <f>IFERROR(__xludf.DUMMYFUNCTION("""COMPUTED_VALUE"""),0.0)</f>
        <v>0</v>
      </c>
      <c r="V315" s="1"/>
      <c r="W315" s="1"/>
      <c r="X315" s="1">
        <f>IFERROR(__xludf.DUMMYFUNCTION("""COMPUTED_VALUE"""),0.0)</f>
        <v>0</v>
      </c>
      <c r="Y315" s="1">
        <f>IFERROR(__xludf.DUMMYFUNCTION("""COMPUTED_VALUE"""),465.0)</f>
        <v>465</v>
      </c>
      <c r="Z315" s="1">
        <f>IFERROR(__xludf.DUMMYFUNCTION("""COMPUTED_VALUE"""),106.0)</f>
        <v>106</v>
      </c>
      <c r="AA315" s="1">
        <f>IFERROR(__xludf.DUMMYFUNCTION("""COMPUTED_VALUE"""),465.0)</f>
        <v>465</v>
      </c>
      <c r="AB315" s="1">
        <f>IFERROR(__xludf.DUMMYFUNCTION("""COMPUTED_VALUE"""),33320.0)</f>
        <v>33320</v>
      </c>
      <c r="AC315" s="1">
        <f>IFERROR(__xludf.DUMMYFUNCTION("""COMPUTED_VALUE"""),1.0)</f>
        <v>1</v>
      </c>
      <c r="AD315" s="1">
        <f>IFERROR(__xludf.DUMMYFUNCTION("""COMPUTED_VALUE"""),392.0)</f>
        <v>392</v>
      </c>
      <c r="AE315" s="1">
        <f>IFERROR(__xludf.DUMMYFUNCTION("""COMPUTED_VALUE"""),10253.0)</f>
        <v>10253</v>
      </c>
      <c r="AF315" s="1">
        <f>IFERROR(__xludf.DUMMYFUNCTION("""COMPUTED_VALUE"""),450.0)</f>
        <v>450</v>
      </c>
      <c r="AG315" s="1">
        <f>IFERROR(__xludf.DUMMYFUNCTION("""COMPUTED_VALUE"""),17.0)</f>
        <v>17</v>
      </c>
      <c r="AH315" s="1">
        <f>IFERROR(__xludf.DUMMYFUNCTION("""COMPUTED_VALUE"""),450.0)</f>
        <v>450</v>
      </c>
      <c r="AI315" s="1">
        <f>IFERROR(__xludf.DUMMYFUNCTION("""COMPUTED_VALUE"""),247.0)</f>
        <v>247</v>
      </c>
      <c r="AJ315" s="1"/>
      <c r="AK315" s="1"/>
      <c r="AL315" s="1">
        <f>IFERROR(__xludf.DUMMYFUNCTION("""COMPUTED_VALUE"""),0.0)</f>
        <v>0</v>
      </c>
      <c r="AM315" s="1">
        <f>IFERROR(__xludf.DUMMYFUNCTION("""COMPUTED_VALUE"""),458.0)</f>
        <v>458</v>
      </c>
      <c r="AN315" s="1">
        <f>IFERROR(__xludf.DUMMYFUNCTION("""COMPUTED_VALUE"""),1419.0)</f>
        <v>1419</v>
      </c>
      <c r="AO315" s="1">
        <f>IFERROR(__xludf.DUMMYFUNCTION("""COMPUTED_VALUE"""),457.0)</f>
        <v>457</v>
      </c>
      <c r="AP315" s="1">
        <f>IFERROR(__xludf.DUMMYFUNCTION("""COMPUTED_VALUE"""),14279.0)</f>
        <v>14279</v>
      </c>
      <c r="AQ315" s="1">
        <f>IFERROR(__xludf.DUMMYFUNCTION("""COMPUTED_VALUE"""),100.0)</f>
        <v>100</v>
      </c>
      <c r="AR315" s="1">
        <f>IFERROR(__xludf.DUMMYFUNCTION("""COMPUTED_VALUE"""),350.0)</f>
        <v>350</v>
      </c>
      <c r="AS315" s="1">
        <f>IFERROR(__xludf.DUMMYFUNCTION("""COMPUTED_VALUE"""),130.0)</f>
        <v>130</v>
      </c>
    </row>
    <row r="316">
      <c r="A316" s="1" t="str">
        <f>IFERROR(__xludf.DUMMYFUNCTION("""COMPUTED_VALUE"""),"SSL")</f>
        <v>SSL</v>
      </c>
      <c r="B316" s="1"/>
      <c r="C316" s="1"/>
      <c r="D316" s="1">
        <f>IFERROR(__xludf.DUMMYFUNCTION("""COMPUTED_VALUE"""),64700.0)</f>
        <v>64700</v>
      </c>
      <c r="E316" s="1">
        <f>IFERROR(__xludf.DUMMYFUNCTION("""COMPUTED_VALUE"""),1.0)</f>
        <v>1</v>
      </c>
      <c r="F316" s="1">
        <f>IFERROR(__xludf.DUMMYFUNCTION("""COMPUTED_VALUE"""),64700.0)</f>
        <v>64700</v>
      </c>
      <c r="G316" s="1">
        <f>IFERROR(__xludf.DUMMYFUNCTION("""COMPUTED_VALUE"""),13.0)</f>
        <v>13</v>
      </c>
      <c r="H316" s="1"/>
      <c r="I316" s="1"/>
      <c r="J316" s="1">
        <f>IFERROR(__xludf.DUMMYFUNCTION("""COMPUTED_VALUE"""),0.0)</f>
        <v>0</v>
      </c>
      <c r="K316" s="1">
        <f>IFERROR(__xludf.DUMMYFUNCTION("""COMPUTED_VALUE"""),35000.0)</f>
        <v>35000</v>
      </c>
      <c r="L316" s="1">
        <f>IFERROR(__xludf.DUMMYFUNCTION("""COMPUTED_VALUE"""),9.0)</f>
        <v>9</v>
      </c>
      <c r="M316" s="1">
        <f>IFERROR(__xludf.DUMMYFUNCTION("""COMPUTED_VALUE"""),35000.0)</f>
        <v>35000</v>
      </c>
      <c r="N316" s="1">
        <f>IFERROR(__xludf.DUMMYFUNCTION("""COMPUTED_VALUE"""),17.0)</f>
        <v>17</v>
      </c>
      <c r="O316" s="1"/>
      <c r="P316" s="1"/>
      <c r="Q316" s="1">
        <f>IFERROR(__xludf.DUMMYFUNCTION("""COMPUTED_VALUE"""),0.0)</f>
        <v>0</v>
      </c>
      <c r="R316" s="1">
        <f>IFERROR(__xludf.DUMMYFUNCTION("""COMPUTED_VALUE"""),18158.619140625)</f>
        <v>18158.61914</v>
      </c>
      <c r="S316" s="1"/>
      <c r="T316" s="1"/>
      <c r="U316" s="1">
        <f>IFERROR(__xludf.DUMMYFUNCTION("""COMPUTED_VALUE"""),0.0)</f>
        <v>0</v>
      </c>
      <c r="V316" s="1"/>
      <c r="W316" s="1"/>
      <c r="X316" s="1">
        <f>IFERROR(__xludf.DUMMYFUNCTION("""COMPUTED_VALUE"""),0.0)</f>
        <v>0</v>
      </c>
      <c r="Y316" s="1">
        <f>IFERROR(__xludf.DUMMYFUNCTION("""COMPUTED_VALUE"""),47300.0)</f>
        <v>47300</v>
      </c>
      <c r="Z316" s="1">
        <f>IFERROR(__xludf.DUMMYFUNCTION("""COMPUTED_VALUE"""),21.0)</f>
        <v>21</v>
      </c>
      <c r="AA316" s="1">
        <f>IFERROR(__xludf.DUMMYFUNCTION("""COMPUTED_VALUE"""),47300.0)</f>
        <v>47300</v>
      </c>
      <c r="AB316" s="1">
        <f>IFERROR(__xludf.DUMMYFUNCTION("""COMPUTED_VALUE"""),54.0)</f>
        <v>54</v>
      </c>
      <c r="AC316" s="1"/>
      <c r="AD316" s="1"/>
      <c r="AE316" s="1">
        <f>IFERROR(__xludf.DUMMYFUNCTION("""COMPUTED_VALUE"""),0.0)</f>
        <v>0</v>
      </c>
      <c r="AF316" s="1">
        <f>IFERROR(__xludf.DUMMYFUNCTION("""COMPUTED_VALUE"""),18158.619140625)</f>
        <v>18158.61914</v>
      </c>
      <c r="AG316" s="1"/>
      <c r="AH316" s="1"/>
      <c r="AI316" s="1">
        <f>IFERROR(__xludf.DUMMYFUNCTION("""COMPUTED_VALUE"""),0.0)</f>
        <v>0</v>
      </c>
      <c r="AJ316" s="1"/>
      <c r="AK316" s="1"/>
      <c r="AL316" s="1">
        <f>IFERROR(__xludf.DUMMYFUNCTION("""COMPUTED_VALUE"""),0.0)</f>
        <v>0</v>
      </c>
      <c r="AM316" s="1">
        <f>IFERROR(__xludf.DUMMYFUNCTION("""COMPUTED_VALUE"""),45000.0)</f>
        <v>45000</v>
      </c>
      <c r="AN316" s="1">
        <f>IFERROR(__xludf.DUMMYFUNCTION("""COMPUTED_VALUE"""),1.0)</f>
        <v>1</v>
      </c>
      <c r="AO316" s="1">
        <f>IFERROR(__xludf.DUMMYFUNCTION("""COMPUTED_VALUE"""),44500.0)</f>
        <v>44500</v>
      </c>
      <c r="AP316" s="1">
        <f>IFERROR(__xludf.DUMMYFUNCTION("""COMPUTED_VALUE"""),28.0)</f>
        <v>28</v>
      </c>
      <c r="AQ316" s="1"/>
      <c r="AR316" s="1"/>
      <c r="AS316" s="1">
        <f>IFERROR(__xludf.DUMMYFUNCTION("""COMPUTED_VALUE"""),0.0)</f>
        <v>0</v>
      </c>
    </row>
    <row r="317">
      <c r="A317" s="1" t="str">
        <f>IFERROR(__xludf.DUMMYFUNCTION("""COMPUTED_VALUE"""),"SST")</f>
        <v>SST</v>
      </c>
      <c r="B317" s="1"/>
      <c r="C317" s="1"/>
      <c r="D317" s="1">
        <f>IFERROR(__xludf.DUMMYFUNCTION("""COMPUTED_VALUE"""),3795380.5)</f>
        <v>3795380.5</v>
      </c>
      <c r="E317" s="1"/>
      <c r="F317" s="1"/>
      <c r="G317" s="1">
        <f>IFERROR(__xludf.DUMMYFUNCTION("""COMPUTED_VALUE"""),0.0)</f>
        <v>0</v>
      </c>
      <c r="H317" s="1"/>
      <c r="I317" s="1"/>
      <c r="J317" s="1">
        <f>IFERROR(__xludf.DUMMYFUNCTION("""COMPUTED_VALUE"""),0.0)</f>
        <v>0</v>
      </c>
      <c r="K317" s="1">
        <f>IFERROR(__xludf.DUMMYFUNCTION("""COMPUTED_VALUE"""),3795380.5)</f>
        <v>3795380.5</v>
      </c>
      <c r="L317" s="1"/>
      <c r="M317" s="1"/>
      <c r="N317" s="1">
        <f>IFERROR(__xludf.DUMMYFUNCTION("""COMPUTED_VALUE"""),0.0)</f>
        <v>0</v>
      </c>
      <c r="O317" s="1"/>
      <c r="P317" s="1"/>
      <c r="Q317" s="1">
        <f>IFERROR(__xludf.DUMMYFUNCTION("""COMPUTED_VALUE"""),0.0)</f>
        <v>0</v>
      </c>
      <c r="R317" s="1">
        <f>IFERROR(__xludf.DUMMYFUNCTION("""COMPUTED_VALUE"""),3795380.5)</f>
        <v>3795380.5</v>
      </c>
      <c r="S317" s="1"/>
      <c r="T317" s="1"/>
      <c r="U317" s="1">
        <f>IFERROR(__xludf.DUMMYFUNCTION("""COMPUTED_VALUE"""),0.0)</f>
        <v>0</v>
      </c>
      <c r="V317" s="1"/>
      <c r="W317" s="1"/>
      <c r="X317" s="1">
        <f>IFERROR(__xludf.DUMMYFUNCTION("""COMPUTED_VALUE"""),0.0)</f>
        <v>0</v>
      </c>
      <c r="Y317" s="1">
        <f>IFERROR(__xludf.DUMMYFUNCTION("""COMPUTED_VALUE"""),3795380.5)</f>
        <v>3795380.5</v>
      </c>
      <c r="Z317" s="1"/>
      <c r="AA317" s="1"/>
      <c r="AB317" s="1">
        <f>IFERROR(__xludf.DUMMYFUNCTION("""COMPUTED_VALUE"""),0.0)</f>
        <v>0</v>
      </c>
      <c r="AC317" s="1"/>
      <c r="AD317" s="1"/>
      <c r="AE317" s="1">
        <f>IFERROR(__xludf.DUMMYFUNCTION("""COMPUTED_VALUE"""),0.0)</f>
        <v>0</v>
      </c>
      <c r="AF317" s="1">
        <f>IFERROR(__xludf.DUMMYFUNCTION("""COMPUTED_VALUE"""),3795380.5)</f>
        <v>3795380.5</v>
      </c>
      <c r="AG317" s="1"/>
      <c r="AH317" s="1"/>
      <c r="AI317" s="1">
        <f>IFERROR(__xludf.DUMMYFUNCTION("""COMPUTED_VALUE"""),0.0)</f>
        <v>0</v>
      </c>
      <c r="AJ317" s="1"/>
      <c r="AK317" s="1"/>
      <c r="AL317" s="1">
        <f>IFERROR(__xludf.DUMMYFUNCTION("""COMPUTED_VALUE"""),0.0)</f>
        <v>0</v>
      </c>
      <c r="AM317" s="1">
        <f>IFERROR(__xludf.DUMMYFUNCTION("""COMPUTED_VALUE"""),3795380.5)</f>
        <v>3795380.5</v>
      </c>
      <c r="AN317" s="1"/>
      <c r="AO317" s="1"/>
      <c r="AP317" s="1">
        <f>IFERROR(__xludf.DUMMYFUNCTION("""COMPUTED_VALUE"""),0.0)</f>
        <v>0</v>
      </c>
      <c r="AQ317" s="1"/>
      <c r="AR317" s="1"/>
      <c r="AS317" s="1">
        <f>IFERROR(__xludf.DUMMYFUNCTION("""COMPUTED_VALUE"""),0.0)</f>
        <v>0</v>
      </c>
    </row>
    <row r="318">
      <c r="A318" s="1" t="str">
        <f>IFERROR(__xludf.DUMMYFUNCTION("""COMPUTED_VALUE"""),"STL")</f>
        <v>STL</v>
      </c>
      <c r="B318" s="1"/>
      <c r="C318" s="1"/>
      <c r="D318" s="1">
        <f>IFERROR(__xludf.DUMMYFUNCTION("""COMPUTED_VALUE"""),1956.5)</f>
        <v>1956.5</v>
      </c>
      <c r="E318" s="1">
        <f>IFERROR(__xludf.DUMMYFUNCTION("""COMPUTED_VALUE"""),19.0)</f>
        <v>19</v>
      </c>
      <c r="F318" s="1">
        <f>IFERROR(__xludf.DUMMYFUNCTION("""COMPUTED_VALUE"""),1970.0)</f>
        <v>1970</v>
      </c>
      <c r="G318" s="1">
        <f>IFERROR(__xludf.DUMMYFUNCTION("""COMPUTED_VALUE"""),6211.0)</f>
        <v>6211</v>
      </c>
      <c r="H318" s="1">
        <f>IFERROR(__xludf.DUMMYFUNCTION("""COMPUTED_VALUE"""),36.0)</f>
        <v>36</v>
      </c>
      <c r="I318" s="1">
        <f>IFERROR(__xludf.DUMMYFUNCTION("""COMPUTED_VALUE"""),1750.0)</f>
        <v>1750</v>
      </c>
      <c r="J318" s="1">
        <f>IFERROR(__xludf.DUMMYFUNCTION("""COMPUTED_VALUE"""),3491.0)</f>
        <v>3491</v>
      </c>
      <c r="K318" s="1">
        <f>IFERROR(__xludf.DUMMYFUNCTION("""COMPUTED_VALUE"""),1926.42004394531)</f>
        <v>1926.420044</v>
      </c>
      <c r="L318" s="1">
        <f>IFERROR(__xludf.DUMMYFUNCTION("""COMPUTED_VALUE"""),201.0)</f>
        <v>201</v>
      </c>
      <c r="M318" s="1">
        <f>IFERROR(__xludf.DUMMYFUNCTION("""COMPUTED_VALUE"""),1950.0)</f>
        <v>1950</v>
      </c>
      <c r="N318" s="1">
        <f>IFERROR(__xludf.DUMMYFUNCTION("""COMPUTED_VALUE"""),4027.0)</f>
        <v>4027</v>
      </c>
      <c r="O318" s="1">
        <f>IFERROR(__xludf.DUMMYFUNCTION("""COMPUTED_VALUE"""),96.0)</f>
        <v>96</v>
      </c>
      <c r="P318" s="1">
        <f>IFERROR(__xludf.DUMMYFUNCTION("""COMPUTED_VALUE"""),1700.0)</f>
        <v>1700</v>
      </c>
      <c r="Q318" s="1">
        <f>IFERROR(__xludf.DUMMYFUNCTION("""COMPUTED_VALUE"""),1473.0)</f>
        <v>1473</v>
      </c>
      <c r="R318" s="1">
        <f>IFERROR(__xludf.DUMMYFUNCTION("""COMPUTED_VALUE"""),1600.0)</f>
        <v>1600</v>
      </c>
      <c r="S318" s="1"/>
      <c r="T318" s="1"/>
      <c r="U318" s="1">
        <f>IFERROR(__xludf.DUMMYFUNCTION("""COMPUTED_VALUE"""),0.0)</f>
        <v>0</v>
      </c>
      <c r="V318" s="1"/>
      <c r="W318" s="1"/>
      <c r="X318" s="1">
        <f>IFERROR(__xludf.DUMMYFUNCTION("""COMPUTED_VALUE"""),0.0)</f>
        <v>0</v>
      </c>
      <c r="Y318" s="1">
        <f>IFERROR(__xludf.DUMMYFUNCTION("""COMPUTED_VALUE"""),1920.0)</f>
        <v>1920</v>
      </c>
      <c r="Z318" s="1">
        <f>IFERROR(__xludf.DUMMYFUNCTION("""COMPUTED_VALUE"""),126.0)</f>
        <v>126</v>
      </c>
      <c r="AA318" s="1">
        <f>IFERROR(__xludf.DUMMYFUNCTION("""COMPUTED_VALUE"""),1910.0)</f>
        <v>1910</v>
      </c>
      <c r="AB318" s="1">
        <f>IFERROR(__xludf.DUMMYFUNCTION("""COMPUTED_VALUE"""),15819.0)</f>
        <v>15819</v>
      </c>
      <c r="AC318" s="1">
        <f>IFERROR(__xludf.DUMMYFUNCTION("""COMPUTED_VALUE"""),939.0)</f>
        <v>939</v>
      </c>
      <c r="AD318" s="1">
        <f>IFERROR(__xludf.DUMMYFUNCTION("""COMPUTED_VALUE"""),1860.0)</f>
        <v>1860</v>
      </c>
      <c r="AE318" s="1">
        <f>IFERROR(__xludf.DUMMYFUNCTION("""COMPUTED_VALUE"""),8634.0)</f>
        <v>8634</v>
      </c>
      <c r="AF318" s="1">
        <f>IFERROR(__xludf.DUMMYFUNCTION("""COMPUTED_VALUE"""),1900.0)</f>
        <v>1900</v>
      </c>
      <c r="AG318" s="1">
        <f>IFERROR(__xludf.DUMMYFUNCTION("""COMPUTED_VALUE"""),22.0)</f>
        <v>22</v>
      </c>
      <c r="AH318" s="1">
        <f>IFERROR(__xludf.DUMMYFUNCTION("""COMPUTED_VALUE"""),1900.0)</f>
        <v>1900</v>
      </c>
      <c r="AI318" s="1">
        <f>IFERROR(__xludf.DUMMYFUNCTION("""COMPUTED_VALUE"""),22.0)</f>
        <v>22</v>
      </c>
      <c r="AJ318" s="1">
        <f>IFERROR(__xludf.DUMMYFUNCTION("""COMPUTED_VALUE"""),100.0)</f>
        <v>100</v>
      </c>
      <c r="AK318" s="1">
        <f>IFERROR(__xludf.DUMMYFUNCTION("""COMPUTED_VALUE"""),1000.0)</f>
        <v>1000</v>
      </c>
      <c r="AL318" s="1">
        <f>IFERROR(__xludf.DUMMYFUNCTION("""COMPUTED_VALUE"""),100.0)</f>
        <v>100</v>
      </c>
      <c r="AM318" s="1">
        <f>IFERROR(__xludf.DUMMYFUNCTION("""COMPUTED_VALUE"""),1950.0)</f>
        <v>1950</v>
      </c>
      <c r="AN318" s="1">
        <f>IFERROR(__xludf.DUMMYFUNCTION("""COMPUTED_VALUE"""),230.0)</f>
        <v>230</v>
      </c>
      <c r="AO318" s="1">
        <f>IFERROR(__xludf.DUMMYFUNCTION("""COMPUTED_VALUE"""),2150.0)</f>
        <v>2150</v>
      </c>
      <c r="AP318" s="1">
        <f>IFERROR(__xludf.DUMMYFUNCTION("""COMPUTED_VALUE"""),4074.0)</f>
        <v>4074</v>
      </c>
      <c r="AQ318" s="1">
        <f>IFERROR(__xludf.DUMMYFUNCTION("""COMPUTED_VALUE"""),100.0)</f>
        <v>100</v>
      </c>
      <c r="AR318" s="1">
        <f>IFERROR(__xludf.DUMMYFUNCTION("""COMPUTED_VALUE"""),1790.0)</f>
        <v>1790</v>
      </c>
      <c r="AS318" s="1">
        <f>IFERROR(__xludf.DUMMYFUNCTION("""COMPUTED_VALUE"""),1682.0)</f>
        <v>1682</v>
      </c>
    </row>
    <row r="319">
      <c r="A319" s="1" t="str">
        <f>IFERROR(__xludf.DUMMYFUNCTION("""COMPUTED_VALUE"""),"STR")</f>
        <v>STR</v>
      </c>
      <c r="B319" s="1">
        <f>IFERROR(__xludf.DUMMYFUNCTION("""COMPUTED_VALUE"""),1750.0)</f>
        <v>1750</v>
      </c>
      <c r="C319" s="1"/>
      <c r="D319" s="1">
        <f>IFERROR(__xludf.DUMMYFUNCTION("""COMPUTED_VALUE"""),2750.0)</f>
        <v>2750</v>
      </c>
      <c r="E319" s="1">
        <f>IFERROR(__xludf.DUMMYFUNCTION("""COMPUTED_VALUE"""),20.0)</f>
        <v>20</v>
      </c>
      <c r="F319" s="1">
        <f>IFERROR(__xludf.DUMMYFUNCTION("""COMPUTED_VALUE"""),2450.0)</f>
        <v>2450</v>
      </c>
      <c r="G319" s="1">
        <f>IFERROR(__xludf.DUMMYFUNCTION("""COMPUTED_VALUE"""),775.0)</f>
        <v>775</v>
      </c>
      <c r="H319" s="1">
        <f>IFERROR(__xludf.DUMMYFUNCTION("""COMPUTED_VALUE"""),33.0)</f>
        <v>33</v>
      </c>
      <c r="I319" s="1">
        <f>IFERROR(__xludf.DUMMYFUNCTION("""COMPUTED_VALUE"""),1800.0)</f>
        <v>1800</v>
      </c>
      <c r="J319" s="1">
        <f>IFERROR(__xludf.DUMMYFUNCTION("""COMPUTED_VALUE"""),1441.0)</f>
        <v>1441</v>
      </c>
      <c r="K319" s="1">
        <f>IFERROR(__xludf.DUMMYFUNCTION("""COMPUTED_VALUE"""),1800.0)</f>
        <v>1800</v>
      </c>
      <c r="L319" s="1">
        <f>IFERROR(__xludf.DUMMYFUNCTION("""COMPUTED_VALUE"""),54.0)</f>
        <v>54</v>
      </c>
      <c r="M319" s="1">
        <f>IFERROR(__xludf.DUMMYFUNCTION("""COMPUTED_VALUE"""),2890.0)</f>
        <v>2890</v>
      </c>
      <c r="N319" s="1">
        <f>IFERROR(__xludf.DUMMYFUNCTION("""COMPUTED_VALUE"""),99.0)</f>
        <v>99</v>
      </c>
      <c r="O319" s="1">
        <f>IFERROR(__xludf.DUMMYFUNCTION("""COMPUTED_VALUE"""),89.0)</f>
        <v>89</v>
      </c>
      <c r="P319" s="1">
        <f>IFERROR(__xludf.DUMMYFUNCTION("""COMPUTED_VALUE"""),1800.0)</f>
        <v>1800</v>
      </c>
      <c r="Q319" s="1">
        <f>IFERROR(__xludf.DUMMYFUNCTION("""COMPUTED_VALUE"""),289.0)</f>
        <v>289</v>
      </c>
      <c r="R319" s="1">
        <f>IFERROR(__xludf.DUMMYFUNCTION("""COMPUTED_VALUE"""),2350.0)</f>
        <v>2350</v>
      </c>
      <c r="S319" s="1">
        <f>IFERROR(__xludf.DUMMYFUNCTION("""COMPUTED_VALUE"""),1.0)</f>
        <v>1</v>
      </c>
      <c r="T319" s="1">
        <f>IFERROR(__xludf.DUMMYFUNCTION("""COMPUTED_VALUE"""),2350.0)</f>
        <v>2350</v>
      </c>
      <c r="U319" s="1">
        <f>IFERROR(__xludf.DUMMYFUNCTION("""COMPUTED_VALUE"""),1.0)</f>
        <v>1</v>
      </c>
      <c r="V319" s="1"/>
      <c r="W319" s="1"/>
      <c r="X319" s="1">
        <f>IFERROR(__xludf.DUMMYFUNCTION("""COMPUTED_VALUE"""),0.0)</f>
        <v>0</v>
      </c>
      <c r="Y319" s="1">
        <f>IFERROR(__xludf.DUMMYFUNCTION("""COMPUTED_VALUE"""),1800.0)</f>
        <v>1800</v>
      </c>
      <c r="Z319" s="1">
        <f>IFERROR(__xludf.DUMMYFUNCTION("""COMPUTED_VALUE"""),594.0)</f>
        <v>594</v>
      </c>
      <c r="AA319" s="1">
        <f>IFERROR(__xludf.DUMMYFUNCTION("""COMPUTED_VALUE"""),3250.0)</f>
        <v>3250</v>
      </c>
      <c r="AB319" s="1">
        <f>IFERROR(__xludf.DUMMYFUNCTION("""COMPUTED_VALUE"""),737.0)</f>
        <v>737</v>
      </c>
      <c r="AC319" s="1">
        <f>IFERROR(__xludf.DUMMYFUNCTION("""COMPUTED_VALUE"""),214.0)</f>
        <v>214</v>
      </c>
      <c r="AD319" s="1">
        <f>IFERROR(__xludf.DUMMYFUNCTION("""COMPUTED_VALUE"""),1800.0)</f>
        <v>1800</v>
      </c>
      <c r="AE319" s="1">
        <f>IFERROR(__xludf.DUMMYFUNCTION("""COMPUTED_VALUE"""),438.0)</f>
        <v>438</v>
      </c>
      <c r="AF319" s="1">
        <f>IFERROR(__xludf.DUMMYFUNCTION("""COMPUTED_VALUE"""),2000.0)</f>
        <v>2000</v>
      </c>
      <c r="AG319" s="1">
        <f>IFERROR(__xludf.DUMMYFUNCTION("""COMPUTED_VALUE"""),30.0)</f>
        <v>30</v>
      </c>
      <c r="AH319" s="1">
        <f>IFERROR(__xludf.DUMMYFUNCTION("""COMPUTED_VALUE"""),1950.0)</f>
        <v>1950</v>
      </c>
      <c r="AI319" s="1">
        <f>IFERROR(__xludf.DUMMYFUNCTION("""COMPUTED_VALUE"""),30.0)</f>
        <v>30</v>
      </c>
      <c r="AJ319" s="1"/>
      <c r="AK319" s="1"/>
      <c r="AL319" s="1">
        <f>IFERROR(__xludf.DUMMYFUNCTION("""COMPUTED_VALUE"""),0.0)</f>
        <v>0</v>
      </c>
      <c r="AM319" s="1">
        <f>IFERROR(__xludf.DUMMYFUNCTION("""COMPUTED_VALUE"""),2052.60009765625)</f>
        <v>2052.600098</v>
      </c>
      <c r="AN319" s="1">
        <f>IFERROR(__xludf.DUMMYFUNCTION("""COMPUTED_VALUE"""),179.0)</f>
        <v>179</v>
      </c>
      <c r="AO319" s="1">
        <f>IFERROR(__xludf.DUMMYFUNCTION("""COMPUTED_VALUE"""),1950.0)</f>
        <v>1950</v>
      </c>
      <c r="AP319" s="1">
        <f>IFERROR(__xludf.DUMMYFUNCTION("""COMPUTED_VALUE"""),2953.0)</f>
        <v>2953</v>
      </c>
      <c r="AQ319" s="1">
        <f>IFERROR(__xludf.DUMMYFUNCTION("""COMPUTED_VALUE"""),100.0)</f>
        <v>100</v>
      </c>
      <c r="AR319" s="1">
        <f>IFERROR(__xludf.DUMMYFUNCTION("""COMPUTED_VALUE"""),1750.0)</f>
        <v>1750</v>
      </c>
      <c r="AS319" s="1">
        <f>IFERROR(__xludf.DUMMYFUNCTION("""COMPUTED_VALUE"""),300.0)</f>
        <v>300</v>
      </c>
    </row>
    <row r="320">
      <c r="A320" s="1" t="str">
        <f>IFERROR(__xludf.DUMMYFUNCTION("""COMPUTED_VALUE"""),"STS")</f>
        <v>STS</v>
      </c>
      <c r="B320" s="1"/>
      <c r="C320" s="1"/>
      <c r="D320" s="1">
        <f>IFERROR(__xludf.DUMMYFUNCTION("""COMPUTED_VALUE"""),159000.0)</f>
        <v>159000</v>
      </c>
      <c r="E320" s="1">
        <f>IFERROR(__xludf.DUMMYFUNCTION("""COMPUTED_VALUE"""),1.0)</f>
        <v>1</v>
      </c>
      <c r="F320" s="1">
        <f>IFERROR(__xludf.DUMMYFUNCTION("""COMPUTED_VALUE"""),159000.0)</f>
        <v>159000</v>
      </c>
      <c r="G320" s="1">
        <f>IFERROR(__xludf.DUMMYFUNCTION("""COMPUTED_VALUE"""),42.0)</f>
        <v>42</v>
      </c>
      <c r="H320" s="1"/>
      <c r="I320" s="1"/>
      <c r="J320" s="1">
        <f>IFERROR(__xludf.DUMMYFUNCTION("""COMPUTED_VALUE"""),0.0)</f>
        <v>0</v>
      </c>
      <c r="K320" s="1">
        <f>IFERROR(__xludf.DUMMYFUNCTION("""COMPUTED_VALUE"""),176000.0)</f>
        <v>176000</v>
      </c>
      <c r="L320" s="1">
        <f>IFERROR(__xludf.DUMMYFUNCTION("""COMPUTED_VALUE"""),1.0)</f>
        <v>1</v>
      </c>
      <c r="M320" s="1">
        <f>IFERROR(__xludf.DUMMYFUNCTION("""COMPUTED_VALUE"""),176000.0)</f>
        <v>176000</v>
      </c>
      <c r="N320" s="1">
        <f>IFERROR(__xludf.DUMMYFUNCTION("""COMPUTED_VALUE"""),4.0)</f>
        <v>4</v>
      </c>
      <c r="O320" s="1"/>
      <c r="P320" s="1"/>
      <c r="Q320" s="1">
        <f>IFERROR(__xludf.DUMMYFUNCTION("""COMPUTED_VALUE"""),0.0)</f>
        <v>0</v>
      </c>
      <c r="R320" s="1">
        <f>IFERROR(__xludf.DUMMYFUNCTION("""COMPUTED_VALUE"""),95518.15625)</f>
        <v>95518.15625</v>
      </c>
      <c r="S320" s="1"/>
      <c r="T320" s="1"/>
      <c r="U320" s="1">
        <f>IFERROR(__xludf.DUMMYFUNCTION("""COMPUTED_VALUE"""),0.0)</f>
        <v>0</v>
      </c>
      <c r="V320" s="1"/>
      <c r="W320" s="1"/>
      <c r="X320" s="1">
        <f>IFERROR(__xludf.DUMMYFUNCTION("""COMPUTED_VALUE"""),0.0)</f>
        <v>0</v>
      </c>
      <c r="Y320" s="1">
        <f>IFERROR(__xludf.DUMMYFUNCTION("""COMPUTED_VALUE"""),249000.0)</f>
        <v>249000</v>
      </c>
      <c r="Z320" s="1">
        <f>IFERROR(__xludf.DUMMYFUNCTION("""COMPUTED_VALUE"""),1.0)</f>
        <v>1</v>
      </c>
      <c r="AA320" s="1">
        <f>IFERROR(__xludf.DUMMYFUNCTION("""COMPUTED_VALUE"""),249000.0)</f>
        <v>249000</v>
      </c>
      <c r="AB320" s="1">
        <f>IFERROR(__xludf.DUMMYFUNCTION("""COMPUTED_VALUE"""),3.0)</f>
        <v>3</v>
      </c>
      <c r="AC320" s="1">
        <f>IFERROR(__xludf.DUMMYFUNCTION("""COMPUTED_VALUE"""),3.0)</f>
        <v>3</v>
      </c>
      <c r="AD320" s="1">
        <f>IFERROR(__xludf.DUMMYFUNCTION("""COMPUTED_VALUE"""),150000.0)</f>
        <v>150000</v>
      </c>
      <c r="AE320" s="1">
        <f>IFERROR(__xludf.DUMMYFUNCTION("""COMPUTED_VALUE"""),3.0)</f>
        <v>3</v>
      </c>
      <c r="AF320" s="1">
        <f>IFERROR(__xludf.DUMMYFUNCTION("""COMPUTED_VALUE"""),95518.15625)</f>
        <v>95518.15625</v>
      </c>
      <c r="AG320" s="1"/>
      <c r="AH320" s="1"/>
      <c r="AI320" s="1">
        <f>IFERROR(__xludf.DUMMYFUNCTION("""COMPUTED_VALUE"""),0.0)</f>
        <v>0</v>
      </c>
      <c r="AJ320" s="1"/>
      <c r="AK320" s="1"/>
      <c r="AL320" s="1">
        <f>IFERROR(__xludf.DUMMYFUNCTION("""COMPUTED_VALUE"""),0.0)</f>
        <v>0</v>
      </c>
      <c r="AM320" s="1">
        <f>IFERROR(__xludf.DUMMYFUNCTION("""COMPUTED_VALUE"""),188000.0)</f>
        <v>188000</v>
      </c>
      <c r="AN320" s="1">
        <f>IFERROR(__xludf.DUMMYFUNCTION("""COMPUTED_VALUE"""),1.0)</f>
        <v>1</v>
      </c>
      <c r="AO320" s="1">
        <f>IFERROR(__xludf.DUMMYFUNCTION("""COMPUTED_VALUE"""),188000.0)</f>
        <v>188000</v>
      </c>
      <c r="AP320" s="1">
        <f>IFERROR(__xludf.DUMMYFUNCTION("""COMPUTED_VALUE"""),3.0)</f>
        <v>3</v>
      </c>
      <c r="AQ320" s="1">
        <f>IFERROR(__xludf.DUMMYFUNCTION("""COMPUTED_VALUE"""),1.0)</f>
        <v>1</v>
      </c>
      <c r="AR320" s="1">
        <f>IFERROR(__xludf.DUMMYFUNCTION("""COMPUTED_VALUE"""),1.0)</f>
        <v>1</v>
      </c>
      <c r="AS320" s="1">
        <f>IFERROR(__xludf.DUMMYFUNCTION("""COMPUTED_VALUE"""),1.0)</f>
        <v>1</v>
      </c>
    </row>
    <row r="321">
      <c r="A321" s="1" t="str">
        <f>IFERROR(__xludf.DUMMYFUNCTION("""COMPUTED_VALUE"""),"SU")</f>
        <v>SU</v>
      </c>
      <c r="B321" s="1"/>
      <c r="C321" s="1"/>
      <c r="D321" s="1">
        <f>IFERROR(__xludf.DUMMYFUNCTION("""COMPUTED_VALUE"""),160000.0)</f>
        <v>160000</v>
      </c>
      <c r="E321" s="1">
        <f>IFERROR(__xludf.DUMMYFUNCTION("""COMPUTED_VALUE"""),1.0)</f>
        <v>1</v>
      </c>
      <c r="F321" s="1">
        <f>IFERROR(__xludf.DUMMYFUNCTION("""COMPUTED_VALUE"""),160000.0)</f>
        <v>160000</v>
      </c>
      <c r="G321" s="1">
        <f>IFERROR(__xludf.DUMMYFUNCTION("""COMPUTED_VALUE"""),1.0)</f>
        <v>1</v>
      </c>
      <c r="H321" s="1">
        <f>IFERROR(__xludf.DUMMYFUNCTION("""COMPUTED_VALUE"""),5.0)</f>
        <v>5</v>
      </c>
      <c r="I321" s="1">
        <f>IFERROR(__xludf.DUMMYFUNCTION("""COMPUTED_VALUE"""),120000.0)</f>
        <v>120000</v>
      </c>
      <c r="J321" s="1">
        <f>IFERROR(__xludf.DUMMYFUNCTION("""COMPUTED_VALUE"""),5.0)</f>
        <v>5</v>
      </c>
      <c r="K321" s="1">
        <f>IFERROR(__xludf.DUMMYFUNCTION("""COMPUTED_VALUE"""),200000.0)</f>
        <v>200000</v>
      </c>
      <c r="L321" s="1"/>
      <c r="M321" s="1"/>
      <c r="N321" s="1">
        <f>IFERROR(__xludf.DUMMYFUNCTION("""COMPUTED_VALUE"""),0.0)</f>
        <v>0</v>
      </c>
      <c r="O321" s="1"/>
      <c r="P321" s="1"/>
      <c r="Q321" s="1">
        <f>IFERROR(__xludf.DUMMYFUNCTION("""COMPUTED_VALUE"""),0.0)</f>
        <v>0</v>
      </c>
      <c r="R321" s="1">
        <f>IFERROR(__xludf.DUMMYFUNCTION("""COMPUTED_VALUE"""),110719.96875)</f>
        <v>110719.9688</v>
      </c>
      <c r="S321" s="1"/>
      <c r="T321" s="1"/>
      <c r="U321" s="1">
        <f>IFERROR(__xludf.DUMMYFUNCTION("""COMPUTED_VALUE"""),0.0)</f>
        <v>0</v>
      </c>
      <c r="V321" s="1"/>
      <c r="W321" s="1"/>
      <c r="X321" s="1">
        <f>IFERROR(__xludf.DUMMYFUNCTION("""COMPUTED_VALUE"""),0.0)</f>
        <v>0</v>
      </c>
      <c r="Y321" s="1">
        <f>IFERROR(__xludf.DUMMYFUNCTION("""COMPUTED_VALUE"""),300000.0)</f>
        <v>300000</v>
      </c>
      <c r="Z321" s="1"/>
      <c r="AA321" s="1"/>
      <c r="AB321" s="1">
        <f>IFERROR(__xludf.DUMMYFUNCTION("""COMPUTED_VALUE"""),0.0)</f>
        <v>0</v>
      </c>
      <c r="AC321" s="1"/>
      <c r="AD321" s="1"/>
      <c r="AE321" s="1">
        <f>IFERROR(__xludf.DUMMYFUNCTION("""COMPUTED_VALUE"""),0.0)</f>
        <v>0</v>
      </c>
      <c r="AF321" s="1">
        <f>IFERROR(__xludf.DUMMYFUNCTION("""COMPUTED_VALUE"""),110719.96875)</f>
        <v>110719.9688</v>
      </c>
      <c r="AG321" s="1"/>
      <c r="AH321" s="1"/>
      <c r="AI321" s="1">
        <f>IFERROR(__xludf.DUMMYFUNCTION("""COMPUTED_VALUE"""),0.0)</f>
        <v>0</v>
      </c>
      <c r="AJ321" s="1"/>
      <c r="AK321" s="1"/>
      <c r="AL321" s="1">
        <f>IFERROR(__xludf.DUMMYFUNCTION("""COMPUTED_VALUE"""),0.0)</f>
        <v>0</v>
      </c>
      <c r="AM321" s="1">
        <f>IFERROR(__xludf.DUMMYFUNCTION("""COMPUTED_VALUE"""),110719.96875)</f>
        <v>110719.9688</v>
      </c>
      <c r="AN321" s="1"/>
      <c r="AO321" s="1"/>
      <c r="AP321" s="1">
        <f>IFERROR(__xludf.DUMMYFUNCTION("""COMPUTED_VALUE"""),0.0)</f>
        <v>0</v>
      </c>
      <c r="AQ321" s="1"/>
      <c r="AR321" s="1"/>
      <c r="AS321" s="1">
        <f>IFERROR(__xludf.DUMMYFUNCTION("""COMPUTED_VALUE"""),0.0)</f>
        <v>0</v>
      </c>
    </row>
    <row r="322">
      <c r="A322" s="1" t="str">
        <f>IFERROR(__xludf.DUMMYFUNCTION("""COMPUTED_VALUE"""),"SUD")</f>
        <v>SUD</v>
      </c>
      <c r="B322" s="1">
        <f>IFERROR(__xludf.DUMMYFUNCTION("""COMPUTED_VALUE"""),100000.0)</f>
        <v>100000</v>
      </c>
      <c r="C322" s="1"/>
      <c r="D322" s="1">
        <f>IFERROR(__xludf.DUMMYFUNCTION("""COMPUTED_VALUE"""),150000.0)</f>
        <v>150000</v>
      </c>
      <c r="E322" s="1"/>
      <c r="F322" s="1"/>
      <c r="G322" s="1">
        <f>IFERROR(__xludf.DUMMYFUNCTION("""COMPUTED_VALUE"""),0.0)</f>
        <v>0</v>
      </c>
      <c r="H322" s="1">
        <f>IFERROR(__xludf.DUMMYFUNCTION("""COMPUTED_VALUE"""),10.0)</f>
        <v>10</v>
      </c>
      <c r="I322" s="1">
        <f>IFERROR(__xludf.DUMMYFUNCTION("""COMPUTED_VALUE"""),101000.0)</f>
        <v>101000</v>
      </c>
      <c r="J322" s="1">
        <f>IFERROR(__xludf.DUMMYFUNCTION("""COMPUTED_VALUE"""),110.0)</f>
        <v>110</v>
      </c>
      <c r="K322" s="1">
        <f>IFERROR(__xludf.DUMMYFUNCTION("""COMPUTED_VALUE"""),100000.0)</f>
        <v>100000</v>
      </c>
      <c r="L322" s="1"/>
      <c r="M322" s="1"/>
      <c r="N322" s="1">
        <f>IFERROR(__xludf.DUMMYFUNCTION("""COMPUTED_VALUE"""),0.0)</f>
        <v>0</v>
      </c>
      <c r="O322" s="1">
        <f>IFERROR(__xludf.DUMMYFUNCTION("""COMPUTED_VALUE"""),100.0)</f>
        <v>100</v>
      </c>
      <c r="P322" s="1">
        <f>IFERROR(__xludf.DUMMYFUNCTION("""COMPUTED_VALUE"""),100000.0)</f>
        <v>100000</v>
      </c>
      <c r="Q322" s="1">
        <f>IFERROR(__xludf.DUMMYFUNCTION("""COMPUTED_VALUE"""),100.0)</f>
        <v>100</v>
      </c>
      <c r="R322" s="1">
        <f>IFERROR(__xludf.DUMMYFUNCTION("""COMPUTED_VALUE"""),37702.078125)</f>
        <v>37702.07813</v>
      </c>
      <c r="S322" s="1"/>
      <c r="T322" s="1"/>
      <c r="U322" s="1">
        <f>IFERROR(__xludf.DUMMYFUNCTION("""COMPUTED_VALUE"""),0.0)</f>
        <v>0</v>
      </c>
      <c r="V322" s="1"/>
      <c r="W322" s="1"/>
      <c r="X322" s="1">
        <f>IFERROR(__xludf.DUMMYFUNCTION("""COMPUTED_VALUE"""),0.0)</f>
        <v>0</v>
      </c>
      <c r="Y322" s="1">
        <f>IFERROR(__xludf.DUMMYFUNCTION("""COMPUTED_VALUE"""),100000.0)</f>
        <v>100000</v>
      </c>
      <c r="Z322" s="1"/>
      <c r="AA322" s="1"/>
      <c r="AB322" s="1">
        <f>IFERROR(__xludf.DUMMYFUNCTION("""COMPUTED_VALUE"""),0.0)</f>
        <v>0</v>
      </c>
      <c r="AC322" s="1">
        <f>IFERROR(__xludf.DUMMYFUNCTION("""COMPUTED_VALUE"""),100.0)</f>
        <v>100</v>
      </c>
      <c r="AD322" s="1">
        <f>IFERROR(__xludf.DUMMYFUNCTION("""COMPUTED_VALUE"""),100000.0)</f>
        <v>100000</v>
      </c>
      <c r="AE322" s="1">
        <f>IFERROR(__xludf.DUMMYFUNCTION("""COMPUTED_VALUE"""),100.0)</f>
        <v>100</v>
      </c>
      <c r="AF322" s="1">
        <f>IFERROR(__xludf.DUMMYFUNCTION("""COMPUTED_VALUE"""),37702.078125)</f>
        <v>37702.07813</v>
      </c>
      <c r="AG322" s="1"/>
      <c r="AH322" s="1"/>
      <c r="AI322" s="1">
        <f>IFERROR(__xludf.DUMMYFUNCTION("""COMPUTED_VALUE"""),0.0)</f>
        <v>0</v>
      </c>
      <c r="AJ322" s="1"/>
      <c r="AK322" s="1"/>
      <c r="AL322" s="1">
        <f>IFERROR(__xludf.DUMMYFUNCTION("""COMPUTED_VALUE"""),0.0)</f>
        <v>0</v>
      </c>
      <c r="AM322" s="1">
        <f>IFERROR(__xludf.DUMMYFUNCTION("""COMPUTED_VALUE"""),100000.0)</f>
        <v>100000</v>
      </c>
      <c r="AN322" s="1"/>
      <c r="AO322" s="1"/>
      <c r="AP322" s="1">
        <f>IFERROR(__xludf.DUMMYFUNCTION("""COMPUTED_VALUE"""),0.0)</f>
        <v>0</v>
      </c>
      <c r="AQ322" s="1">
        <f>IFERROR(__xludf.DUMMYFUNCTION("""COMPUTED_VALUE"""),100.0)</f>
        <v>100</v>
      </c>
      <c r="AR322" s="1">
        <f>IFERROR(__xludf.DUMMYFUNCTION("""COMPUTED_VALUE"""),100000.0)</f>
        <v>100000</v>
      </c>
      <c r="AS322" s="1">
        <f>IFERROR(__xludf.DUMMYFUNCTION("""COMPUTED_VALUE"""),100.0)</f>
        <v>100</v>
      </c>
    </row>
    <row r="323">
      <c r="A323" s="1" t="str">
        <f>IFERROR(__xludf.DUMMYFUNCTION("""COMPUTED_VALUE"""),"SUN")</f>
        <v>SUN</v>
      </c>
      <c r="B323" s="1"/>
      <c r="C323" s="1"/>
      <c r="D323" s="1">
        <f>IFERROR(__xludf.DUMMYFUNCTION("""COMPUTED_VALUE"""),589.02001953125)</f>
        <v>589.0200195</v>
      </c>
      <c r="E323" s="1">
        <f>IFERROR(__xludf.DUMMYFUNCTION("""COMPUTED_VALUE"""),10.0)</f>
        <v>10</v>
      </c>
      <c r="F323" s="1">
        <f>IFERROR(__xludf.DUMMYFUNCTION("""COMPUTED_VALUE"""),590.0)</f>
        <v>590</v>
      </c>
      <c r="G323" s="1">
        <f>IFERROR(__xludf.DUMMYFUNCTION("""COMPUTED_VALUE"""),6460.0)</f>
        <v>6460</v>
      </c>
      <c r="H323" s="1">
        <f>IFERROR(__xludf.DUMMYFUNCTION("""COMPUTED_VALUE"""),20.0)</f>
        <v>20</v>
      </c>
      <c r="I323" s="1">
        <f>IFERROR(__xludf.DUMMYFUNCTION("""COMPUTED_VALUE"""),540.0)</f>
        <v>540</v>
      </c>
      <c r="J323" s="1">
        <f>IFERROR(__xludf.DUMMYFUNCTION("""COMPUTED_VALUE"""),2515.0)</f>
        <v>2515</v>
      </c>
      <c r="K323" s="1">
        <f>IFERROR(__xludf.DUMMYFUNCTION("""COMPUTED_VALUE"""),630.0)</f>
        <v>630</v>
      </c>
      <c r="L323" s="1">
        <f>IFERROR(__xludf.DUMMYFUNCTION("""COMPUTED_VALUE"""),130.0)</f>
        <v>130</v>
      </c>
      <c r="M323" s="1">
        <f>IFERROR(__xludf.DUMMYFUNCTION("""COMPUTED_VALUE"""),630.0)</f>
        <v>630</v>
      </c>
      <c r="N323" s="1">
        <f>IFERROR(__xludf.DUMMYFUNCTION("""COMPUTED_VALUE"""),690.0)</f>
        <v>690</v>
      </c>
      <c r="O323" s="1">
        <f>IFERROR(__xludf.DUMMYFUNCTION("""COMPUTED_VALUE"""),841.0)</f>
        <v>841</v>
      </c>
      <c r="P323" s="1">
        <f>IFERROR(__xludf.DUMMYFUNCTION("""COMPUTED_VALUE"""),204.0)</f>
        <v>204</v>
      </c>
      <c r="Q323" s="1">
        <f>IFERROR(__xludf.DUMMYFUNCTION("""COMPUTED_VALUE"""),1054.0)</f>
        <v>1054</v>
      </c>
      <c r="R323" s="1">
        <f>IFERROR(__xludf.DUMMYFUNCTION("""COMPUTED_VALUE"""),475.0)</f>
        <v>475</v>
      </c>
      <c r="S323" s="1">
        <f>IFERROR(__xludf.DUMMYFUNCTION("""COMPUTED_VALUE"""),200.0)</f>
        <v>200</v>
      </c>
      <c r="T323" s="1">
        <f>IFERROR(__xludf.DUMMYFUNCTION("""COMPUTED_VALUE"""),1000.0)</f>
        <v>1000</v>
      </c>
      <c r="U323" s="1">
        <f>IFERROR(__xludf.DUMMYFUNCTION("""COMPUTED_VALUE"""),200.0)</f>
        <v>200</v>
      </c>
      <c r="V323" s="1"/>
      <c r="W323" s="1"/>
      <c r="X323" s="1">
        <f>IFERROR(__xludf.DUMMYFUNCTION("""COMPUTED_VALUE"""),0.0)</f>
        <v>0</v>
      </c>
      <c r="Y323" s="1">
        <f>IFERROR(__xludf.DUMMYFUNCTION("""COMPUTED_VALUE"""),567.0)</f>
        <v>567</v>
      </c>
      <c r="Z323" s="1">
        <f>IFERROR(__xludf.DUMMYFUNCTION("""COMPUTED_VALUE"""),140.0)</f>
        <v>140</v>
      </c>
      <c r="AA323" s="1">
        <f>IFERROR(__xludf.DUMMYFUNCTION("""COMPUTED_VALUE"""),566.0)</f>
        <v>566</v>
      </c>
      <c r="AB323" s="1">
        <f>IFERROR(__xludf.DUMMYFUNCTION("""COMPUTED_VALUE"""),3796.0)</f>
        <v>3796</v>
      </c>
      <c r="AC323" s="1">
        <f>IFERROR(__xludf.DUMMYFUNCTION("""COMPUTED_VALUE"""),360.0)</f>
        <v>360</v>
      </c>
      <c r="AD323" s="1">
        <f>IFERROR(__xludf.DUMMYFUNCTION("""COMPUTED_VALUE"""),480.0)</f>
        <v>480</v>
      </c>
      <c r="AE323" s="1">
        <f>IFERROR(__xludf.DUMMYFUNCTION("""COMPUTED_VALUE"""),13117.0)</f>
        <v>13117</v>
      </c>
      <c r="AF323" s="1">
        <f>IFERROR(__xludf.DUMMYFUNCTION("""COMPUTED_VALUE"""),500.0)</f>
        <v>500</v>
      </c>
      <c r="AG323" s="1">
        <f>IFERROR(__xludf.DUMMYFUNCTION("""COMPUTED_VALUE"""),120.0)</f>
        <v>120</v>
      </c>
      <c r="AH323" s="1">
        <f>IFERROR(__xludf.DUMMYFUNCTION("""COMPUTED_VALUE"""),1000.0)</f>
        <v>1000</v>
      </c>
      <c r="AI323" s="1">
        <f>IFERROR(__xludf.DUMMYFUNCTION("""COMPUTED_VALUE"""),120.0)</f>
        <v>120</v>
      </c>
      <c r="AJ323" s="1"/>
      <c r="AK323" s="1"/>
      <c r="AL323" s="1">
        <f>IFERROR(__xludf.DUMMYFUNCTION("""COMPUTED_VALUE"""),0.0)</f>
        <v>0</v>
      </c>
      <c r="AM323" s="1">
        <f>IFERROR(__xludf.DUMMYFUNCTION("""COMPUTED_VALUE"""),500.0)</f>
        <v>500</v>
      </c>
      <c r="AN323" s="1">
        <f>IFERROR(__xludf.DUMMYFUNCTION("""COMPUTED_VALUE"""),120.0)</f>
        <v>120</v>
      </c>
      <c r="AO323" s="1">
        <f>IFERROR(__xludf.DUMMYFUNCTION("""COMPUTED_VALUE"""),600.0)</f>
        <v>600</v>
      </c>
      <c r="AP323" s="1">
        <f>IFERROR(__xludf.DUMMYFUNCTION("""COMPUTED_VALUE"""),6989.0)</f>
        <v>6989</v>
      </c>
      <c r="AQ323" s="1">
        <f>IFERROR(__xludf.DUMMYFUNCTION("""COMPUTED_VALUE"""),100.0)</f>
        <v>100</v>
      </c>
      <c r="AR323" s="1">
        <f>IFERROR(__xludf.DUMMYFUNCTION("""COMPUTED_VALUE"""),500.0)</f>
        <v>500</v>
      </c>
      <c r="AS323" s="1">
        <f>IFERROR(__xludf.DUMMYFUNCTION("""COMPUTED_VALUE"""),100.0)</f>
        <v>100</v>
      </c>
    </row>
    <row r="324">
      <c r="A324" s="1" t="str">
        <f>IFERROR(__xludf.DUMMYFUNCTION("""COMPUTED_VALUE"""),"SWF")</f>
        <v>SWF</v>
      </c>
      <c r="B324" s="1"/>
      <c r="C324" s="1"/>
      <c r="D324" s="1">
        <f>IFERROR(__xludf.DUMMYFUNCTION("""COMPUTED_VALUE"""),219.369995117187)</f>
        <v>219.3699951</v>
      </c>
      <c r="E324" s="1">
        <f>IFERROR(__xludf.DUMMYFUNCTION("""COMPUTED_VALUE"""),114.0)</f>
        <v>114</v>
      </c>
      <c r="F324" s="1">
        <f>IFERROR(__xludf.DUMMYFUNCTION("""COMPUTED_VALUE"""),219.0)</f>
        <v>219</v>
      </c>
      <c r="G324" s="1">
        <f>IFERROR(__xludf.DUMMYFUNCTION("""COMPUTED_VALUE"""),64957.0)</f>
        <v>64957</v>
      </c>
      <c r="H324" s="1">
        <f>IFERROR(__xludf.DUMMYFUNCTION("""COMPUTED_VALUE"""),300.0)</f>
        <v>300</v>
      </c>
      <c r="I324" s="1">
        <f>IFERROR(__xludf.DUMMYFUNCTION("""COMPUTED_VALUE"""),197.0)</f>
        <v>197</v>
      </c>
      <c r="J324" s="1">
        <f>IFERROR(__xludf.DUMMYFUNCTION("""COMPUTED_VALUE"""),134421.0)</f>
        <v>134421</v>
      </c>
      <c r="K324" s="1">
        <f>IFERROR(__xludf.DUMMYFUNCTION("""COMPUTED_VALUE"""),190.0)</f>
        <v>190</v>
      </c>
      <c r="L324" s="1">
        <f>IFERROR(__xludf.DUMMYFUNCTION("""COMPUTED_VALUE"""),211.0)</f>
        <v>211</v>
      </c>
      <c r="M324" s="1">
        <f>IFERROR(__xludf.DUMMYFUNCTION("""COMPUTED_VALUE"""),206.0)</f>
        <v>206</v>
      </c>
      <c r="N324" s="1">
        <f>IFERROR(__xludf.DUMMYFUNCTION("""COMPUTED_VALUE"""),25886.0)</f>
        <v>25886</v>
      </c>
      <c r="O324" s="1">
        <f>IFERROR(__xludf.DUMMYFUNCTION("""COMPUTED_VALUE"""),2940.0)</f>
        <v>2940</v>
      </c>
      <c r="P324" s="1">
        <f>IFERROR(__xludf.DUMMYFUNCTION("""COMPUTED_VALUE"""),184.0)</f>
        <v>184</v>
      </c>
      <c r="Q324" s="1">
        <f>IFERROR(__xludf.DUMMYFUNCTION("""COMPUTED_VALUE"""),109776.0)</f>
        <v>109776</v>
      </c>
      <c r="R324" s="1">
        <f>IFERROR(__xludf.DUMMYFUNCTION("""COMPUTED_VALUE"""),80.2200012207031)</f>
        <v>80.22000122</v>
      </c>
      <c r="S324" s="1"/>
      <c r="T324" s="1"/>
      <c r="U324" s="1">
        <f>IFERROR(__xludf.DUMMYFUNCTION("""COMPUTED_VALUE"""),0.0)</f>
        <v>0</v>
      </c>
      <c r="V324" s="1"/>
      <c r="W324" s="1"/>
      <c r="X324" s="1">
        <f>IFERROR(__xludf.DUMMYFUNCTION("""COMPUTED_VALUE"""),0.0)</f>
        <v>0</v>
      </c>
      <c r="Y324" s="1">
        <f>IFERROR(__xludf.DUMMYFUNCTION("""COMPUTED_VALUE"""),185.0)</f>
        <v>185</v>
      </c>
      <c r="Z324" s="1">
        <f>IFERROR(__xludf.DUMMYFUNCTION("""COMPUTED_VALUE"""),1.0)</f>
        <v>1</v>
      </c>
      <c r="AA324" s="1">
        <f>IFERROR(__xludf.DUMMYFUNCTION("""COMPUTED_VALUE"""),185.0)</f>
        <v>185</v>
      </c>
      <c r="AB324" s="1">
        <f>IFERROR(__xludf.DUMMYFUNCTION("""COMPUTED_VALUE"""),48686.0)</f>
        <v>48686</v>
      </c>
      <c r="AC324" s="1">
        <f>IFERROR(__xludf.DUMMYFUNCTION("""COMPUTED_VALUE"""),2019.0)</f>
        <v>2019</v>
      </c>
      <c r="AD324" s="1">
        <f>IFERROR(__xludf.DUMMYFUNCTION("""COMPUTED_VALUE"""),181.0)</f>
        <v>181</v>
      </c>
      <c r="AE324" s="1">
        <f>IFERROR(__xludf.DUMMYFUNCTION("""COMPUTED_VALUE"""),113076.0)</f>
        <v>113076</v>
      </c>
      <c r="AF324" s="1">
        <f>IFERROR(__xludf.DUMMYFUNCTION("""COMPUTED_VALUE"""),110.0)</f>
        <v>110</v>
      </c>
      <c r="AG324" s="1">
        <f>IFERROR(__xludf.DUMMYFUNCTION("""COMPUTED_VALUE"""),100.0)</f>
        <v>100</v>
      </c>
      <c r="AH324" s="1">
        <f>IFERROR(__xludf.DUMMYFUNCTION("""COMPUTED_VALUE"""),240.0)</f>
        <v>240</v>
      </c>
      <c r="AI324" s="1">
        <f>IFERROR(__xludf.DUMMYFUNCTION("""COMPUTED_VALUE"""),100.0)</f>
        <v>100</v>
      </c>
      <c r="AJ324" s="1"/>
      <c r="AK324" s="1"/>
      <c r="AL324" s="1">
        <f>IFERROR(__xludf.DUMMYFUNCTION("""COMPUTED_VALUE"""),0.0)</f>
        <v>0</v>
      </c>
      <c r="AM324" s="1">
        <f>IFERROR(__xludf.DUMMYFUNCTION("""COMPUTED_VALUE"""),179.0)</f>
        <v>179</v>
      </c>
      <c r="AN324" s="1">
        <f>IFERROR(__xludf.DUMMYFUNCTION("""COMPUTED_VALUE"""),3571.0)</f>
        <v>3571</v>
      </c>
      <c r="AO324" s="1">
        <f>IFERROR(__xludf.DUMMYFUNCTION("""COMPUTED_VALUE"""),179.0)</f>
        <v>179</v>
      </c>
      <c r="AP324" s="1">
        <f>IFERROR(__xludf.DUMMYFUNCTION("""COMPUTED_VALUE"""),35461.0)</f>
        <v>35461</v>
      </c>
      <c r="AQ324" s="1">
        <f>IFERROR(__xludf.DUMMYFUNCTION("""COMPUTED_VALUE"""),300.0)</f>
        <v>300</v>
      </c>
      <c r="AR324" s="1">
        <f>IFERROR(__xludf.DUMMYFUNCTION("""COMPUTED_VALUE"""),155.0)</f>
        <v>155</v>
      </c>
      <c r="AS324" s="1">
        <f>IFERROR(__xludf.DUMMYFUNCTION("""COMPUTED_VALUE"""),113752.0)</f>
        <v>113752</v>
      </c>
    </row>
    <row r="325">
      <c r="A325" s="1" t="str">
        <f>IFERROR(__xludf.DUMMYFUNCTION("""COMPUTED_VALUE"""),"TA")</f>
        <v>TA</v>
      </c>
      <c r="B325" s="1"/>
      <c r="C325" s="1"/>
      <c r="D325" s="1">
        <f>IFERROR(__xludf.DUMMYFUNCTION("""COMPUTED_VALUE"""),19800.0)</f>
        <v>19800</v>
      </c>
      <c r="E325" s="1">
        <f>IFERROR(__xludf.DUMMYFUNCTION("""COMPUTED_VALUE"""),98.0)</f>
        <v>98</v>
      </c>
      <c r="F325" s="1">
        <f>IFERROR(__xludf.DUMMYFUNCTION("""COMPUTED_VALUE"""),19800.0)</f>
        <v>19800</v>
      </c>
      <c r="G325" s="1">
        <f>IFERROR(__xludf.DUMMYFUNCTION("""COMPUTED_VALUE"""),485.0)</f>
        <v>485</v>
      </c>
      <c r="H325" s="1">
        <f>IFERROR(__xludf.DUMMYFUNCTION("""COMPUTED_VALUE"""),5.0)</f>
        <v>5</v>
      </c>
      <c r="I325" s="1">
        <f>IFERROR(__xludf.DUMMYFUNCTION("""COMPUTED_VALUE"""),11000.0)</f>
        <v>11000</v>
      </c>
      <c r="J325" s="1">
        <f>IFERROR(__xludf.DUMMYFUNCTION("""COMPUTED_VALUE"""),10.0)</f>
        <v>10</v>
      </c>
      <c r="K325" s="1">
        <f>IFERROR(__xludf.DUMMYFUNCTION("""COMPUTED_VALUE"""),13000.0)</f>
        <v>13000</v>
      </c>
      <c r="L325" s="1">
        <f>IFERROR(__xludf.DUMMYFUNCTION("""COMPUTED_VALUE"""),187.0)</f>
        <v>187</v>
      </c>
      <c r="M325" s="1">
        <f>IFERROR(__xludf.DUMMYFUNCTION("""COMPUTED_VALUE"""),13000.0)</f>
        <v>13000</v>
      </c>
      <c r="N325" s="1">
        <f>IFERROR(__xludf.DUMMYFUNCTION("""COMPUTED_VALUE"""),211.0)</f>
        <v>211</v>
      </c>
      <c r="O325" s="1">
        <f>IFERROR(__xludf.DUMMYFUNCTION("""COMPUTED_VALUE"""),22.0)</f>
        <v>22</v>
      </c>
      <c r="P325" s="1">
        <f>IFERROR(__xludf.DUMMYFUNCTION("""COMPUTED_VALUE"""),8160.0)</f>
        <v>8160</v>
      </c>
      <c r="Q325" s="1">
        <f>IFERROR(__xludf.DUMMYFUNCTION("""COMPUTED_VALUE"""),138.0)</f>
        <v>138</v>
      </c>
      <c r="R325" s="1">
        <f>IFERROR(__xludf.DUMMYFUNCTION("""COMPUTED_VALUE"""),6462.43017578125)</f>
        <v>6462.430176</v>
      </c>
      <c r="S325" s="1"/>
      <c r="T325" s="1"/>
      <c r="U325" s="1">
        <f>IFERROR(__xludf.DUMMYFUNCTION("""COMPUTED_VALUE"""),0.0)</f>
        <v>0</v>
      </c>
      <c r="V325" s="1">
        <f>IFERROR(__xludf.DUMMYFUNCTION("""COMPUTED_VALUE"""),50.0)</f>
        <v>50</v>
      </c>
      <c r="W325" s="1">
        <f>IFERROR(__xludf.DUMMYFUNCTION("""COMPUTED_VALUE"""),8000.0)</f>
        <v>8000</v>
      </c>
      <c r="X325" s="1">
        <f>IFERROR(__xludf.DUMMYFUNCTION("""COMPUTED_VALUE"""),50.0)</f>
        <v>50</v>
      </c>
      <c r="Y325" s="1">
        <f>IFERROR(__xludf.DUMMYFUNCTION("""COMPUTED_VALUE"""),12400.0)</f>
        <v>12400</v>
      </c>
      <c r="Z325" s="1">
        <f>IFERROR(__xludf.DUMMYFUNCTION("""COMPUTED_VALUE"""),100.0)</f>
        <v>100</v>
      </c>
      <c r="AA325" s="1">
        <f>IFERROR(__xludf.DUMMYFUNCTION("""COMPUTED_VALUE"""),12400.0)</f>
        <v>12400</v>
      </c>
      <c r="AB325" s="1">
        <f>IFERROR(__xludf.DUMMYFUNCTION("""COMPUTED_VALUE"""),3013.0)</f>
        <v>3013</v>
      </c>
      <c r="AC325" s="1">
        <f>IFERROR(__xludf.DUMMYFUNCTION("""COMPUTED_VALUE"""),50.0)</f>
        <v>50</v>
      </c>
      <c r="AD325" s="1">
        <f>IFERROR(__xludf.DUMMYFUNCTION("""COMPUTED_VALUE"""),9000.0)</f>
        <v>9000</v>
      </c>
      <c r="AE325" s="1">
        <f>IFERROR(__xludf.DUMMYFUNCTION("""COMPUTED_VALUE"""),594.0)</f>
        <v>594</v>
      </c>
      <c r="AF325" s="1">
        <f>IFERROR(__xludf.DUMMYFUNCTION("""COMPUTED_VALUE"""),6462.43017578125)</f>
        <v>6462.430176</v>
      </c>
      <c r="AG325" s="1">
        <f>IFERROR(__xludf.DUMMYFUNCTION("""COMPUTED_VALUE"""),10.0)</f>
        <v>10</v>
      </c>
      <c r="AH325" s="1">
        <f>IFERROR(__xludf.DUMMYFUNCTION("""COMPUTED_VALUE"""),10400.0)</f>
        <v>10400</v>
      </c>
      <c r="AI325" s="1">
        <f>IFERROR(__xludf.DUMMYFUNCTION("""COMPUTED_VALUE"""),10.0)</f>
        <v>10</v>
      </c>
      <c r="AJ325" s="1"/>
      <c r="AK325" s="1"/>
      <c r="AL325" s="1">
        <f>IFERROR(__xludf.DUMMYFUNCTION("""COMPUTED_VALUE"""),0.0)</f>
        <v>0</v>
      </c>
      <c r="AM325" s="1">
        <f>IFERROR(__xludf.DUMMYFUNCTION("""COMPUTED_VALUE"""),13000.0)</f>
        <v>13000</v>
      </c>
      <c r="AN325" s="1">
        <f>IFERROR(__xludf.DUMMYFUNCTION("""COMPUTED_VALUE"""),95.0)</f>
        <v>95</v>
      </c>
      <c r="AO325" s="1">
        <f>IFERROR(__xludf.DUMMYFUNCTION("""COMPUTED_VALUE"""),13000.0)</f>
        <v>13000</v>
      </c>
      <c r="AP325" s="1">
        <f>IFERROR(__xludf.DUMMYFUNCTION("""COMPUTED_VALUE"""),170.0)</f>
        <v>170</v>
      </c>
      <c r="AQ325" s="1">
        <f>IFERROR(__xludf.DUMMYFUNCTION("""COMPUTED_VALUE"""),33.0)</f>
        <v>33</v>
      </c>
      <c r="AR325" s="1">
        <f>IFERROR(__xludf.DUMMYFUNCTION("""COMPUTED_VALUE"""),10000.0)</f>
        <v>10000</v>
      </c>
      <c r="AS325" s="1">
        <f>IFERROR(__xludf.DUMMYFUNCTION("""COMPUTED_VALUE"""),33.0)</f>
        <v>33</v>
      </c>
    </row>
    <row r="326">
      <c r="A326" s="1" t="str">
        <f>IFERROR(__xludf.DUMMYFUNCTION("""COMPUTED_VALUE"""),"TAC")</f>
        <v>TAC</v>
      </c>
      <c r="B326" s="1"/>
      <c r="C326" s="1"/>
      <c r="D326" s="1">
        <f>IFERROR(__xludf.DUMMYFUNCTION("""COMPUTED_VALUE"""),150000.0)</f>
        <v>150000</v>
      </c>
      <c r="E326" s="1">
        <f>IFERROR(__xludf.DUMMYFUNCTION("""COMPUTED_VALUE"""),13.0)</f>
        <v>13</v>
      </c>
      <c r="F326" s="1">
        <f>IFERROR(__xludf.DUMMYFUNCTION("""COMPUTED_VALUE"""),499000.0)</f>
        <v>499000</v>
      </c>
      <c r="G326" s="1">
        <f>IFERROR(__xludf.DUMMYFUNCTION("""COMPUTED_VALUE"""),77.0)</f>
        <v>77</v>
      </c>
      <c r="H326" s="1"/>
      <c r="I326" s="1"/>
      <c r="J326" s="1">
        <f>IFERROR(__xludf.DUMMYFUNCTION("""COMPUTED_VALUE"""),0.0)</f>
        <v>0</v>
      </c>
      <c r="K326" s="1">
        <f>IFERROR(__xludf.DUMMYFUNCTION("""COMPUTED_VALUE"""),500000.0)</f>
        <v>500000</v>
      </c>
      <c r="L326" s="1">
        <f>IFERROR(__xludf.DUMMYFUNCTION("""COMPUTED_VALUE"""),1.0)</f>
        <v>1</v>
      </c>
      <c r="M326" s="1">
        <f>IFERROR(__xludf.DUMMYFUNCTION("""COMPUTED_VALUE"""),475000.0)</f>
        <v>475000</v>
      </c>
      <c r="N326" s="1">
        <f>IFERROR(__xludf.DUMMYFUNCTION("""COMPUTED_VALUE"""),2.0)</f>
        <v>2</v>
      </c>
      <c r="O326" s="1"/>
      <c r="P326" s="1"/>
      <c r="Q326" s="1">
        <f>IFERROR(__xludf.DUMMYFUNCTION("""COMPUTED_VALUE"""),0.0)</f>
        <v>0</v>
      </c>
      <c r="R326" s="1">
        <f>IFERROR(__xludf.DUMMYFUNCTION("""COMPUTED_VALUE"""),91458.328125)</f>
        <v>91458.32813</v>
      </c>
      <c r="S326" s="1">
        <f>IFERROR(__xludf.DUMMYFUNCTION("""COMPUTED_VALUE"""),1.0)</f>
        <v>1</v>
      </c>
      <c r="T326" s="1">
        <f>IFERROR(__xludf.DUMMYFUNCTION("""COMPUTED_VALUE"""),350000.0)</f>
        <v>350000</v>
      </c>
      <c r="U326" s="1">
        <f>IFERROR(__xludf.DUMMYFUNCTION("""COMPUTED_VALUE"""),1.0)</f>
        <v>1</v>
      </c>
      <c r="V326" s="1"/>
      <c r="W326" s="1"/>
      <c r="X326" s="1">
        <f>IFERROR(__xludf.DUMMYFUNCTION("""COMPUTED_VALUE"""),0.0)</f>
        <v>0</v>
      </c>
      <c r="Y326" s="1">
        <f>IFERROR(__xludf.DUMMYFUNCTION("""COMPUTED_VALUE"""),550000.0)</f>
        <v>550000</v>
      </c>
      <c r="Z326" s="1">
        <f>IFERROR(__xludf.DUMMYFUNCTION("""COMPUTED_VALUE"""),6.0)</f>
        <v>6</v>
      </c>
      <c r="AA326" s="1">
        <f>IFERROR(__xludf.DUMMYFUNCTION("""COMPUTED_VALUE"""),500000.0)</f>
        <v>500000</v>
      </c>
      <c r="AB326" s="1">
        <f>IFERROR(__xludf.DUMMYFUNCTION("""COMPUTED_VALUE"""),6.0)</f>
        <v>6</v>
      </c>
      <c r="AC326" s="1"/>
      <c r="AD326" s="1"/>
      <c r="AE326" s="1">
        <f>IFERROR(__xludf.DUMMYFUNCTION("""COMPUTED_VALUE"""),0.0)</f>
        <v>0</v>
      </c>
      <c r="AF326" s="1">
        <f>IFERROR(__xludf.DUMMYFUNCTION("""COMPUTED_VALUE"""),91458.328125)</f>
        <v>91458.32813</v>
      </c>
      <c r="AG326" s="1"/>
      <c r="AH326" s="1"/>
      <c r="AI326" s="1">
        <f>IFERROR(__xludf.DUMMYFUNCTION("""COMPUTED_VALUE"""),0.0)</f>
        <v>0</v>
      </c>
      <c r="AJ326" s="1"/>
      <c r="AK326" s="1"/>
      <c r="AL326" s="1">
        <f>IFERROR(__xludf.DUMMYFUNCTION("""COMPUTED_VALUE"""),0.0)</f>
        <v>0</v>
      </c>
      <c r="AM326" s="1">
        <f>IFERROR(__xludf.DUMMYFUNCTION("""COMPUTED_VALUE"""),91458.328125)</f>
        <v>91458.32813</v>
      </c>
      <c r="AN326" s="1"/>
      <c r="AO326" s="1"/>
      <c r="AP326" s="1">
        <f>IFERROR(__xludf.DUMMYFUNCTION("""COMPUTED_VALUE"""),0.0)</f>
        <v>0</v>
      </c>
      <c r="AQ326" s="1">
        <f>IFERROR(__xludf.DUMMYFUNCTION("""COMPUTED_VALUE"""),2.0)</f>
        <v>2</v>
      </c>
      <c r="AR326" s="1">
        <f>IFERROR(__xludf.DUMMYFUNCTION("""COMPUTED_VALUE"""),50000.0)</f>
        <v>50000</v>
      </c>
      <c r="AS326" s="1">
        <f>IFERROR(__xludf.DUMMYFUNCTION("""COMPUTED_VALUE"""),2.0)</f>
        <v>2</v>
      </c>
    </row>
    <row r="327">
      <c r="A327" s="1" t="str">
        <f>IFERROR(__xludf.DUMMYFUNCTION("""COMPUTED_VALUE"""),"TAI")</f>
        <v>TAI</v>
      </c>
      <c r="B327" s="1"/>
      <c r="C327" s="1"/>
      <c r="D327" s="1">
        <f>IFERROR(__xludf.DUMMYFUNCTION("""COMPUTED_VALUE"""),672.0)</f>
        <v>672</v>
      </c>
      <c r="E327" s="1">
        <f>IFERROR(__xludf.DUMMYFUNCTION("""COMPUTED_VALUE"""),300.0)</f>
        <v>300</v>
      </c>
      <c r="F327" s="1">
        <f>IFERROR(__xludf.DUMMYFUNCTION("""COMPUTED_VALUE"""),1000.0)</f>
        <v>1000</v>
      </c>
      <c r="G327" s="1">
        <f>IFERROR(__xludf.DUMMYFUNCTION("""COMPUTED_VALUE"""),1480.0)</f>
        <v>1480</v>
      </c>
      <c r="H327" s="1">
        <f>IFERROR(__xludf.DUMMYFUNCTION("""COMPUTED_VALUE"""),100.0)</f>
        <v>100</v>
      </c>
      <c r="I327" s="1">
        <f>IFERROR(__xludf.DUMMYFUNCTION("""COMPUTED_VALUE"""),700.0)</f>
        <v>700</v>
      </c>
      <c r="J327" s="1">
        <f>IFERROR(__xludf.DUMMYFUNCTION("""COMPUTED_VALUE"""),3644.0)</f>
        <v>3644</v>
      </c>
      <c r="K327" s="1">
        <f>IFERROR(__xludf.DUMMYFUNCTION("""COMPUTED_VALUE"""),700.0)</f>
        <v>700</v>
      </c>
      <c r="L327" s="1">
        <f>IFERROR(__xludf.DUMMYFUNCTION("""COMPUTED_VALUE"""),251.0)</f>
        <v>251</v>
      </c>
      <c r="M327" s="1">
        <f>IFERROR(__xludf.DUMMYFUNCTION("""COMPUTED_VALUE"""),3900.0)</f>
        <v>3900</v>
      </c>
      <c r="N327" s="1">
        <f>IFERROR(__xludf.DUMMYFUNCTION("""COMPUTED_VALUE"""),1455.0)</f>
        <v>1455</v>
      </c>
      <c r="O327" s="1">
        <f>IFERROR(__xludf.DUMMYFUNCTION("""COMPUTED_VALUE"""),10.0)</f>
        <v>10</v>
      </c>
      <c r="P327" s="1">
        <f>IFERROR(__xludf.DUMMYFUNCTION("""COMPUTED_VALUE"""),750.0)</f>
        <v>750</v>
      </c>
      <c r="Q327" s="1">
        <f>IFERROR(__xludf.DUMMYFUNCTION("""COMPUTED_VALUE"""),2109.0)</f>
        <v>2109</v>
      </c>
      <c r="R327" s="1">
        <f>IFERROR(__xludf.DUMMYFUNCTION("""COMPUTED_VALUE"""),121.01000213623)</f>
        <v>121.0100021</v>
      </c>
      <c r="S327" s="1"/>
      <c r="T327" s="1"/>
      <c r="U327" s="1">
        <f>IFERROR(__xludf.DUMMYFUNCTION("""COMPUTED_VALUE"""),0.0)</f>
        <v>0</v>
      </c>
      <c r="V327" s="1"/>
      <c r="W327" s="1"/>
      <c r="X327" s="1">
        <f>IFERROR(__xludf.DUMMYFUNCTION("""COMPUTED_VALUE"""),0.0)</f>
        <v>0</v>
      </c>
      <c r="Y327" s="1">
        <f>IFERROR(__xludf.DUMMYFUNCTION("""COMPUTED_VALUE"""),600.0)</f>
        <v>600</v>
      </c>
      <c r="Z327" s="1">
        <f>IFERROR(__xludf.DUMMYFUNCTION("""COMPUTED_VALUE"""),50.0)</f>
        <v>50</v>
      </c>
      <c r="AA327" s="1">
        <f>IFERROR(__xludf.DUMMYFUNCTION("""COMPUTED_VALUE"""),1200.0)</f>
        <v>1200</v>
      </c>
      <c r="AB327" s="1">
        <f>IFERROR(__xludf.DUMMYFUNCTION("""COMPUTED_VALUE"""),8988.0)</f>
        <v>8988</v>
      </c>
      <c r="AC327" s="1">
        <f>IFERROR(__xludf.DUMMYFUNCTION("""COMPUTED_VALUE"""),200.0)</f>
        <v>200</v>
      </c>
      <c r="AD327" s="1">
        <f>IFERROR(__xludf.DUMMYFUNCTION("""COMPUTED_VALUE"""),700.0)</f>
        <v>700</v>
      </c>
      <c r="AE327" s="1">
        <f>IFERROR(__xludf.DUMMYFUNCTION("""COMPUTED_VALUE"""),2304.0)</f>
        <v>2304</v>
      </c>
      <c r="AF327" s="1">
        <f>IFERROR(__xludf.DUMMYFUNCTION("""COMPUTED_VALUE"""),812.0)</f>
        <v>812</v>
      </c>
      <c r="AG327" s="1">
        <f>IFERROR(__xludf.DUMMYFUNCTION("""COMPUTED_VALUE"""),10.0)</f>
        <v>10</v>
      </c>
      <c r="AH327" s="1">
        <f>IFERROR(__xludf.DUMMYFUNCTION("""COMPUTED_VALUE"""),1000.0)</f>
        <v>1000</v>
      </c>
      <c r="AI327" s="1">
        <f>IFERROR(__xludf.DUMMYFUNCTION("""COMPUTED_VALUE"""),10.0)</f>
        <v>10</v>
      </c>
      <c r="AJ327" s="1"/>
      <c r="AK327" s="1"/>
      <c r="AL327" s="1">
        <f>IFERROR(__xludf.DUMMYFUNCTION("""COMPUTED_VALUE"""),0.0)</f>
        <v>0</v>
      </c>
      <c r="AM327" s="1">
        <f>IFERROR(__xludf.DUMMYFUNCTION("""COMPUTED_VALUE"""),602.0)</f>
        <v>602</v>
      </c>
      <c r="AN327" s="1">
        <f>IFERROR(__xludf.DUMMYFUNCTION("""COMPUTED_VALUE"""),37.0)</f>
        <v>37</v>
      </c>
      <c r="AO327" s="1">
        <f>IFERROR(__xludf.DUMMYFUNCTION("""COMPUTED_VALUE"""),1500.0)</f>
        <v>1500</v>
      </c>
      <c r="AP327" s="1">
        <f>IFERROR(__xludf.DUMMYFUNCTION("""COMPUTED_VALUE"""),37.0)</f>
        <v>37</v>
      </c>
      <c r="AQ327" s="1">
        <f>IFERROR(__xludf.DUMMYFUNCTION("""COMPUTED_VALUE"""),25.0)</f>
        <v>25</v>
      </c>
      <c r="AR327" s="1">
        <f>IFERROR(__xludf.DUMMYFUNCTION("""COMPUTED_VALUE"""),602.0)</f>
        <v>602</v>
      </c>
      <c r="AS327" s="1">
        <f>IFERROR(__xludf.DUMMYFUNCTION("""COMPUTED_VALUE"""),1225.0)</f>
        <v>1225</v>
      </c>
    </row>
    <row r="328">
      <c r="A328" s="1" t="str">
        <f>IFERROR(__xludf.DUMMYFUNCTION("""COMPUTED_VALUE"""),"TBU")</f>
        <v>TBU</v>
      </c>
      <c r="B328" s="1"/>
      <c r="C328" s="1"/>
      <c r="D328" s="1">
        <f>IFERROR(__xludf.DUMMYFUNCTION("""COMPUTED_VALUE"""),58000.0)</f>
        <v>58000</v>
      </c>
      <c r="E328" s="1">
        <f>IFERROR(__xludf.DUMMYFUNCTION("""COMPUTED_VALUE"""),41.0)</f>
        <v>41</v>
      </c>
      <c r="F328" s="1">
        <f>IFERROR(__xludf.DUMMYFUNCTION("""COMPUTED_VALUE"""),58000.0)</f>
        <v>58000</v>
      </c>
      <c r="G328" s="1">
        <f>IFERROR(__xludf.DUMMYFUNCTION("""COMPUTED_VALUE"""),41.0)</f>
        <v>41</v>
      </c>
      <c r="H328" s="1">
        <f>IFERROR(__xludf.DUMMYFUNCTION("""COMPUTED_VALUE"""),20.0)</f>
        <v>20</v>
      </c>
      <c r="I328" s="1">
        <f>IFERROR(__xludf.DUMMYFUNCTION("""COMPUTED_VALUE"""),55000.0)</f>
        <v>55000</v>
      </c>
      <c r="J328" s="1">
        <f>IFERROR(__xludf.DUMMYFUNCTION("""COMPUTED_VALUE"""),40.0)</f>
        <v>40</v>
      </c>
      <c r="K328" s="1">
        <f>IFERROR(__xludf.DUMMYFUNCTION("""COMPUTED_VALUE"""),58000.0)</f>
        <v>58000</v>
      </c>
      <c r="L328" s="1">
        <f>IFERROR(__xludf.DUMMYFUNCTION("""COMPUTED_VALUE"""),31.0)</f>
        <v>31</v>
      </c>
      <c r="M328" s="1">
        <f>IFERROR(__xludf.DUMMYFUNCTION("""COMPUTED_VALUE"""),58000.0)</f>
        <v>58000</v>
      </c>
      <c r="N328" s="1">
        <f>IFERROR(__xludf.DUMMYFUNCTION("""COMPUTED_VALUE"""),131.0)</f>
        <v>131</v>
      </c>
      <c r="O328" s="1">
        <f>IFERROR(__xludf.DUMMYFUNCTION("""COMPUTED_VALUE"""),3.0)</f>
        <v>3</v>
      </c>
      <c r="P328" s="1">
        <f>IFERROR(__xludf.DUMMYFUNCTION("""COMPUTED_VALUE"""),51000.0)</f>
        <v>51000</v>
      </c>
      <c r="Q328" s="1">
        <f>IFERROR(__xludf.DUMMYFUNCTION("""COMPUTED_VALUE"""),33.0)</f>
        <v>33</v>
      </c>
      <c r="R328" s="1">
        <f>IFERROR(__xludf.DUMMYFUNCTION("""COMPUTED_VALUE"""),22694.48046875)</f>
        <v>22694.48047</v>
      </c>
      <c r="S328" s="1"/>
      <c r="T328" s="1"/>
      <c r="U328" s="1">
        <f>IFERROR(__xludf.DUMMYFUNCTION("""COMPUTED_VALUE"""),0.0)</f>
        <v>0</v>
      </c>
      <c r="V328" s="1"/>
      <c r="W328" s="1"/>
      <c r="X328" s="1">
        <f>IFERROR(__xludf.DUMMYFUNCTION("""COMPUTED_VALUE"""),0.0)</f>
        <v>0</v>
      </c>
      <c r="Y328" s="1">
        <f>IFERROR(__xludf.DUMMYFUNCTION("""COMPUTED_VALUE"""),57500.0)</f>
        <v>57500</v>
      </c>
      <c r="Z328" s="1">
        <f>IFERROR(__xludf.DUMMYFUNCTION("""COMPUTED_VALUE"""),16.0)</f>
        <v>16</v>
      </c>
      <c r="AA328" s="1">
        <f>IFERROR(__xludf.DUMMYFUNCTION("""COMPUTED_VALUE"""),57500.0)</f>
        <v>57500</v>
      </c>
      <c r="AB328" s="1">
        <f>IFERROR(__xludf.DUMMYFUNCTION("""COMPUTED_VALUE"""),125.0)</f>
        <v>125</v>
      </c>
      <c r="AC328" s="1">
        <f>IFERROR(__xludf.DUMMYFUNCTION("""COMPUTED_VALUE"""),4.0)</f>
        <v>4</v>
      </c>
      <c r="AD328" s="1">
        <f>IFERROR(__xludf.DUMMYFUNCTION("""COMPUTED_VALUE"""),57000.0)</f>
        <v>57000</v>
      </c>
      <c r="AE328" s="1">
        <f>IFERROR(__xludf.DUMMYFUNCTION("""COMPUTED_VALUE"""),36.0)</f>
        <v>36</v>
      </c>
      <c r="AF328" s="1">
        <f>IFERROR(__xludf.DUMMYFUNCTION("""COMPUTED_VALUE"""),22694.48046875)</f>
        <v>22694.48047</v>
      </c>
      <c r="AG328" s="1"/>
      <c r="AH328" s="1"/>
      <c r="AI328" s="1">
        <f>IFERROR(__xludf.DUMMYFUNCTION("""COMPUTED_VALUE"""),0.0)</f>
        <v>0</v>
      </c>
      <c r="AJ328" s="1"/>
      <c r="AK328" s="1"/>
      <c r="AL328" s="1">
        <f>IFERROR(__xludf.DUMMYFUNCTION("""COMPUTED_VALUE"""),0.0)</f>
        <v>0</v>
      </c>
      <c r="AM328" s="1">
        <f>IFERROR(__xludf.DUMMYFUNCTION("""COMPUTED_VALUE"""),58000.0)</f>
        <v>58000</v>
      </c>
      <c r="AN328" s="1">
        <f>IFERROR(__xludf.DUMMYFUNCTION("""COMPUTED_VALUE"""),1.0)</f>
        <v>1</v>
      </c>
      <c r="AO328" s="1">
        <f>IFERROR(__xludf.DUMMYFUNCTION("""COMPUTED_VALUE"""),57900.0)</f>
        <v>57900</v>
      </c>
      <c r="AP328" s="1">
        <f>IFERROR(__xludf.DUMMYFUNCTION("""COMPUTED_VALUE"""),184.0)</f>
        <v>184</v>
      </c>
      <c r="AQ328" s="1"/>
      <c r="AR328" s="1"/>
      <c r="AS328" s="1">
        <f>IFERROR(__xludf.DUMMYFUNCTION("""COMPUTED_VALUE"""),0.0)</f>
        <v>0</v>
      </c>
    </row>
    <row r="329">
      <c r="A329" s="1" t="str">
        <f>IFERROR(__xludf.DUMMYFUNCTION("""COMPUTED_VALUE"""),"TC")</f>
        <v>TC</v>
      </c>
      <c r="B329" s="1"/>
      <c r="C329" s="1"/>
      <c r="D329" s="1">
        <f>IFERROR(__xludf.DUMMYFUNCTION("""COMPUTED_VALUE"""),8500.0)</f>
        <v>8500</v>
      </c>
      <c r="E329" s="1">
        <f>IFERROR(__xludf.DUMMYFUNCTION("""COMPUTED_VALUE"""),184.0)</f>
        <v>184</v>
      </c>
      <c r="F329" s="1">
        <f>IFERROR(__xludf.DUMMYFUNCTION("""COMPUTED_VALUE"""),8500.0)</f>
        <v>8500</v>
      </c>
      <c r="G329" s="1">
        <f>IFERROR(__xludf.DUMMYFUNCTION("""COMPUTED_VALUE"""),793.0)</f>
        <v>793</v>
      </c>
      <c r="H329" s="1">
        <f>IFERROR(__xludf.DUMMYFUNCTION("""COMPUTED_VALUE"""),100.0)</f>
        <v>100</v>
      </c>
      <c r="I329" s="1">
        <f>IFERROR(__xludf.DUMMYFUNCTION("""COMPUTED_VALUE"""),4000.0)</f>
        <v>4000</v>
      </c>
      <c r="J329" s="1">
        <f>IFERROR(__xludf.DUMMYFUNCTION("""COMPUTED_VALUE"""),100.0)</f>
        <v>100</v>
      </c>
      <c r="K329" s="1">
        <f>IFERROR(__xludf.DUMMYFUNCTION("""COMPUTED_VALUE"""),8000.0)</f>
        <v>8000</v>
      </c>
      <c r="L329" s="1"/>
      <c r="M329" s="1"/>
      <c r="N329" s="1">
        <f>IFERROR(__xludf.DUMMYFUNCTION("""COMPUTED_VALUE"""),0.0)</f>
        <v>0</v>
      </c>
      <c r="O329" s="1">
        <f>IFERROR(__xludf.DUMMYFUNCTION("""COMPUTED_VALUE"""),10.0)</f>
        <v>10</v>
      </c>
      <c r="P329" s="1">
        <f>IFERROR(__xludf.DUMMYFUNCTION("""COMPUTED_VALUE"""),4000.0)</f>
        <v>4000</v>
      </c>
      <c r="Q329" s="1">
        <f>IFERROR(__xludf.DUMMYFUNCTION("""COMPUTED_VALUE"""),168.0)</f>
        <v>168</v>
      </c>
      <c r="R329" s="1">
        <f>IFERROR(__xludf.DUMMYFUNCTION("""COMPUTED_VALUE"""),3830.89990234375)</f>
        <v>3830.899902</v>
      </c>
      <c r="S329" s="1"/>
      <c r="T329" s="1"/>
      <c r="U329" s="1">
        <f>IFERROR(__xludf.DUMMYFUNCTION("""COMPUTED_VALUE"""),0.0)</f>
        <v>0</v>
      </c>
      <c r="V329" s="1"/>
      <c r="W329" s="1"/>
      <c r="X329" s="1">
        <f>IFERROR(__xludf.DUMMYFUNCTION("""COMPUTED_VALUE"""),0.0)</f>
        <v>0</v>
      </c>
      <c r="Y329" s="1">
        <f>IFERROR(__xludf.DUMMYFUNCTION("""COMPUTED_VALUE"""),18000.0)</f>
        <v>18000</v>
      </c>
      <c r="Z329" s="1">
        <f>IFERROR(__xludf.DUMMYFUNCTION("""COMPUTED_VALUE"""),70.0)</f>
        <v>70</v>
      </c>
      <c r="AA329" s="1">
        <f>IFERROR(__xludf.DUMMYFUNCTION("""COMPUTED_VALUE"""),23000.0)</f>
        <v>23000</v>
      </c>
      <c r="AB329" s="1">
        <f>IFERROR(__xludf.DUMMYFUNCTION("""COMPUTED_VALUE"""),160.0)</f>
        <v>160</v>
      </c>
      <c r="AC329" s="1">
        <f>IFERROR(__xludf.DUMMYFUNCTION("""COMPUTED_VALUE"""),20.0)</f>
        <v>20</v>
      </c>
      <c r="AD329" s="1">
        <f>IFERROR(__xludf.DUMMYFUNCTION("""COMPUTED_VALUE"""),4000.0)</f>
        <v>4000</v>
      </c>
      <c r="AE329" s="1">
        <f>IFERROR(__xludf.DUMMYFUNCTION("""COMPUTED_VALUE"""),20.0)</f>
        <v>20</v>
      </c>
      <c r="AF329" s="1">
        <f>IFERROR(__xludf.DUMMYFUNCTION("""COMPUTED_VALUE"""),7500.0)</f>
        <v>7500</v>
      </c>
      <c r="AG329" s="1">
        <f>IFERROR(__xludf.DUMMYFUNCTION("""COMPUTED_VALUE"""),10.0)</f>
        <v>10</v>
      </c>
      <c r="AH329" s="1">
        <f>IFERROR(__xludf.DUMMYFUNCTION("""COMPUTED_VALUE"""),18000.0)</f>
        <v>18000</v>
      </c>
      <c r="AI329" s="1">
        <f>IFERROR(__xludf.DUMMYFUNCTION("""COMPUTED_VALUE"""),10.0)</f>
        <v>10</v>
      </c>
      <c r="AJ329" s="1"/>
      <c r="AK329" s="1"/>
      <c r="AL329" s="1">
        <f>IFERROR(__xludf.DUMMYFUNCTION("""COMPUTED_VALUE"""),0.0)</f>
        <v>0</v>
      </c>
      <c r="AM329" s="1">
        <f>IFERROR(__xludf.DUMMYFUNCTION("""COMPUTED_VALUE"""),10000.0)</f>
        <v>10000</v>
      </c>
      <c r="AN329" s="1">
        <f>IFERROR(__xludf.DUMMYFUNCTION("""COMPUTED_VALUE"""),10.0)</f>
        <v>10</v>
      </c>
      <c r="AO329" s="1">
        <f>IFERROR(__xludf.DUMMYFUNCTION("""COMPUTED_VALUE"""),10000.0)</f>
        <v>10000</v>
      </c>
      <c r="AP329" s="1">
        <f>IFERROR(__xludf.DUMMYFUNCTION("""COMPUTED_VALUE"""),10.0)</f>
        <v>10</v>
      </c>
      <c r="AQ329" s="1">
        <f>IFERROR(__xludf.DUMMYFUNCTION("""COMPUTED_VALUE"""),2.0)</f>
        <v>2</v>
      </c>
      <c r="AR329" s="1">
        <f>IFERROR(__xludf.DUMMYFUNCTION("""COMPUTED_VALUE"""),6800.0)</f>
        <v>6800</v>
      </c>
      <c r="AS329" s="1">
        <f>IFERROR(__xludf.DUMMYFUNCTION("""COMPUTED_VALUE"""),187.0)</f>
        <v>187</v>
      </c>
    </row>
    <row r="330">
      <c r="A330" s="1" t="str">
        <f>IFERROR(__xludf.DUMMYFUNCTION("""COMPUTED_VALUE"""),"TCB")</f>
        <v>TCB</v>
      </c>
      <c r="B330" s="1"/>
      <c r="C330" s="1"/>
      <c r="D330" s="1">
        <f>IFERROR(__xludf.DUMMYFUNCTION("""COMPUTED_VALUE"""),35000.0)</f>
        <v>35000</v>
      </c>
      <c r="E330" s="1"/>
      <c r="F330" s="1"/>
      <c r="G330" s="1">
        <f>IFERROR(__xludf.DUMMYFUNCTION("""COMPUTED_VALUE"""),0.0)</f>
        <v>0</v>
      </c>
      <c r="H330" s="1"/>
      <c r="I330" s="1"/>
      <c r="J330" s="1">
        <f>IFERROR(__xludf.DUMMYFUNCTION("""COMPUTED_VALUE"""),0.0)</f>
        <v>0</v>
      </c>
      <c r="K330" s="1">
        <f>IFERROR(__xludf.DUMMYFUNCTION("""COMPUTED_VALUE"""),16800.0)</f>
        <v>16800</v>
      </c>
      <c r="L330" s="1">
        <f>IFERROR(__xludf.DUMMYFUNCTION("""COMPUTED_VALUE"""),1.0)</f>
        <v>1</v>
      </c>
      <c r="M330" s="1">
        <f>IFERROR(__xludf.DUMMYFUNCTION("""COMPUTED_VALUE"""),25000.0)</f>
        <v>25000</v>
      </c>
      <c r="N330" s="1">
        <f>IFERROR(__xludf.DUMMYFUNCTION("""COMPUTED_VALUE"""),3.0)</f>
        <v>3</v>
      </c>
      <c r="O330" s="1"/>
      <c r="P330" s="1"/>
      <c r="Q330" s="1">
        <f>IFERROR(__xludf.DUMMYFUNCTION("""COMPUTED_VALUE"""),0.0)</f>
        <v>0</v>
      </c>
      <c r="R330" s="1">
        <f>IFERROR(__xludf.DUMMYFUNCTION("""COMPUTED_VALUE"""),9647.73046875)</f>
        <v>9647.730469</v>
      </c>
      <c r="S330" s="1"/>
      <c r="T330" s="1"/>
      <c r="U330" s="1">
        <f>IFERROR(__xludf.DUMMYFUNCTION("""COMPUTED_VALUE"""),0.0)</f>
        <v>0</v>
      </c>
      <c r="V330" s="1"/>
      <c r="W330" s="1"/>
      <c r="X330" s="1">
        <f>IFERROR(__xludf.DUMMYFUNCTION("""COMPUTED_VALUE"""),0.0)</f>
        <v>0</v>
      </c>
      <c r="Y330" s="1">
        <f>IFERROR(__xludf.DUMMYFUNCTION("""COMPUTED_VALUE"""),38000.0)</f>
        <v>38000</v>
      </c>
      <c r="Z330" s="1">
        <f>IFERROR(__xludf.DUMMYFUNCTION("""COMPUTED_VALUE"""),1.0)</f>
        <v>1</v>
      </c>
      <c r="AA330" s="1">
        <f>IFERROR(__xludf.DUMMYFUNCTION("""COMPUTED_VALUE"""),29400.0)</f>
        <v>29400</v>
      </c>
      <c r="AB330" s="1">
        <f>IFERROR(__xludf.DUMMYFUNCTION("""COMPUTED_VALUE"""),10.0)</f>
        <v>10</v>
      </c>
      <c r="AC330" s="1"/>
      <c r="AD330" s="1"/>
      <c r="AE330" s="1">
        <f>IFERROR(__xludf.DUMMYFUNCTION("""COMPUTED_VALUE"""),0.0)</f>
        <v>0</v>
      </c>
      <c r="AF330" s="1">
        <f>IFERROR(__xludf.DUMMYFUNCTION("""COMPUTED_VALUE"""),9647.73046875)</f>
        <v>9647.730469</v>
      </c>
      <c r="AG330" s="1"/>
      <c r="AH330" s="1"/>
      <c r="AI330" s="1">
        <f>IFERROR(__xludf.DUMMYFUNCTION("""COMPUTED_VALUE"""),0.0)</f>
        <v>0</v>
      </c>
      <c r="AJ330" s="1"/>
      <c r="AK330" s="1"/>
      <c r="AL330" s="1">
        <f>IFERROR(__xludf.DUMMYFUNCTION("""COMPUTED_VALUE"""),0.0)</f>
        <v>0</v>
      </c>
      <c r="AM330" s="1">
        <f>IFERROR(__xludf.DUMMYFUNCTION("""COMPUTED_VALUE"""),29900.0)</f>
        <v>29900</v>
      </c>
      <c r="AN330" s="1">
        <f>IFERROR(__xludf.DUMMYFUNCTION("""COMPUTED_VALUE"""),1.0)</f>
        <v>1</v>
      </c>
      <c r="AO330" s="1">
        <f>IFERROR(__xludf.DUMMYFUNCTION("""COMPUTED_VALUE"""),29800.0)</f>
        <v>29800</v>
      </c>
      <c r="AP330" s="1">
        <f>IFERROR(__xludf.DUMMYFUNCTION("""COMPUTED_VALUE"""),4.0)</f>
        <v>4</v>
      </c>
      <c r="AQ330" s="1"/>
      <c r="AR330" s="1"/>
      <c r="AS330" s="1">
        <f>IFERROR(__xludf.DUMMYFUNCTION("""COMPUTED_VALUE"""),0.0)</f>
        <v>0</v>
      </c>
    </row>
    <row r="331">
      <c r="A331" s="1" t="str">
        <f>IFERROR(__xludf.DUMMYFUNCTION("""COMPUTED_VALUE"""),"TCL")</f>
        <v>TCL</v>
      </c>
      <c r="B331" s="1"/>
      <c r="C331" s="1"/>
      <c r="D331" s="1">
        <f>IFERROR(__xludf.DUMMYFUNCTION("""COMPUTED_VALUE"""),3150.0)</f>
        <v>3150</v>
      </c>
      <c r="E331" s="1">
        <f>IFERROR(__xludf.DUMMYFUNCTION("""COMPUTED_VALUE"""),252.0)</f>
        <v>252</v>
      </c>
      <c r="F331" s="1">
        <f>IFERROR(__xludf.DUMMYFUNCTION("""COMPUTED_VALUE"""),3400.0)</f>
        <v>3400</v>
      </c>
      <c r="G331" s="1">
        <f>IFERROR(__xludf.DUMMYFUNCTION("""COMPUTED_VALUE"""),3659.0)</f>
        <v>3659</v>
      </c>
      <c r="H331" s="1">
        <f>IFERROR(__xludf.DUMMYFUNCTION("""COMPUTED_VALUE"""),93.0)</f>
        <v>93</v>
      </c>
      <c r="I331" s="1">
        <f>IFERROR(__xludf.DUMMYFUNCTION("""COMPUTED_VALUE"""),3150.0)</f>
        <v>3150</v>
      </c>
      <c r="J331" s="1">
        <f>IFERROR(__xludf.DUMMYFUNCTION("""COMPUTED_VALUE"""),5755.0)</f>
        <v>5755</v>
      </c>
      <c r="K331" s="1">
        <f>IFERROR(__xludf.DUMMYFUNCTION("""COMPUTED_VALUE"""),2760.0)</f>
        <v>2760</v>
      </c>
      <c r="L331" s="1">
        <f>IFERROR(__xludf.DUMMYFUNCTION("""COMPUTED_VALUE"""),15.0)</f>
        <v>15</v>
      </c>
      <c r="M331" s="1">
        <f>IFERROR(__xludf.DUMMYFUNCTION("""COMPUTED_VALUE"""),4100.0)</f>
        <v>4100</v>
      </c>
      <c r="N331" s="1">
        <f>IFERROR(__xludf.DUMMYFUNCTION("""COMPUTED_VALUE"""),1015.0)</f>
        <v>1015</v>
      </c>
      <c r="O331" s="1">
        <f>IFERROR(__xludf.DUMMYFUNCTION("""COMPUTED_VALUE"""),272.0)</f>
        <v>272</v>
      </c>
      <c r="P331" s="1">
        <f>IFERROR(__xludf.DUMMYFUNCTION("""COMPUTED_VALUE"""),2400.0)</f>
        <v>2400</v>
      </c>
      <c r="Q331" s="1">
        <f>IFERROR(__xludf.DUMMYFUNCTION("""COMPUTED_VALUE"""),272.0)</f>
        <v>272</v>
      </c>
      <c r="R331" s="1">
        <f>IFERROR(__xludf.DUMMYFUNCTION("""COMPUTED_VALUE"""),4000.0)</f>
        <v>4000</v>
      </c>
      <c r="S331" s="1">
        <f>IFERROR(__xludf.DUMMYFUNCTION("""COMPUTED_VALUE"""),12.0)</f>
        <v>12</v>
      </c>
      <c r="T331" s="1">
        <f>IFERROR(__xludf.DUMMYFUNCTION("""COMPUTED_VALUE"""),3500.0)</f>
        <v>3500</v>
      </c>
      <c r="U331" s="1">
        <f>IFERROR(__xludf.DUMMYFUNCTION("""COMPUTED_VALUE"""),441.0)</f>
        <v>441</v>
      </c>
      <c r="V331" s="1"/>
      <c r="W331" s="1"/>
      <c r="X331" s="1">
        <f>IFERROR(__xludf.DUMMYFUNCTION("""COMPUTED_VALUE"""),0.0)</f>
        <v>0</v>
      </c>
      <c r="Y331" s="1">
        <f>IFERROR(__xludf.DUMMYFUNCTION("""COMPUTED_VALUE"""),3400.0)</f>
        <v>3400</v>
      </c>
      <c r="Z331" s="1">
        <f>IFERROR(__xludf.DUMMYFUNCTION("""COMPUTED_VALUE"""),373.0)</f>
        <v>373</v>
      </c>
      <c r="AA331" s="1">
        <f>IFERROR(__xludf.DUMMYFUNCTION("""COMPUTED_VALUE"""),3400.0)</f>
        <v>3400</v>
      </c>
      <c r="AB331" s="1">
        <f>IFERROR(__xludf.DUMMYFUNCTION("""COMPUTED_VALUE"""),5861.0)</f>
        <v>5861</v>
      </c>
      <c r="AC331" s="1">
        <f>IFERROR(__xludf.DUMMYFUNCTION("""COMPUTED_VALUE"""),1000.0)</f>
        <v>1000</v>
      </c>
      <c r="AD331" s="1">
        <f>IFERROR(__xludf.DUMMYFUNCTION("""COMPUTED_VALUE"""),3000.0)</f>
        <v>3000</v>
      </c>
      <c r="AE331" s="1">
        <f>IFERROR(__xludf.DUMMYFUNCTION("""COMPUTED_VALUE"""),3412.0)</f>
        <v>3412</v>
      </c>
      <c r="AF331" s="1">
        <f>IFERROR(__xludf.DUMMYFUNCTION("""COMPUTED_VALUE"""),3000.0)</f>
        <v>3000</v>
      </c>
      <c r="AG331" s="1">
        <f>IFERROR(__xludf.DUMMYFUNCTION("""COMPUTED_VALUE"""),20.0)</f>
        <v>20</v>
      </c>
      <c r="AH331" s="1">
        <f>IFERROR(__xludf.DUMMYFUNCTION("""COMPUTED_VALUE"""),3500.0)</f>
        <v>3500</v>
      </c>
      <c r="AI331" s="1">
        <f>IFERROR(__xludf.DUMMYFUNCTION("""COMPUTED_VALUE"""),20.0)</f>
        <v>20</v>
      </c>
      <c r="AJ331" s="1">
        <f>IFERROR(__xludf.DUMMYFUNCTION("""COMPUTED_VALUE"""),20.0)</f>
        <v>20</v>
      </c>
      <c r="AK331" s="1">
        <f>IFERROR(__xludf.DUMMYFUNCTION("""COMPUTED_VALUE"""),2000.0)</f>
        <v>2000</v>
      </c>
      <c r="AL331" s="1">
        <f>IFERROR(__xludf.DUMMYFUNCTION("""COMPUTED_VALUE"""),20.0)</f>
        <v>20</v>
      </c>
      <c r="AM331" s="1">
        <f>IFERROR(__xludf.DUMMYFUNCTION("""COMPUTED_VALUE"""),2900.0)</f>
        <v>2900</v>
      </c>
      <c r="AN331" s="1">
        <f>IFERROR(__xludf.DUMMYFUNCTION("""COMPUTED_VALUE"""),170.0)</f>
        <v>170</v>
      </c>
      <c r="AO331" s="1">
        <f>IFERROR(__xludf.DUMMYFUNCTION("""COMPUTED_VALUE"""),3500.0)</f>
        <v>3500</v>
      </c>
      <c r="AP331" s="1">
        <f>IFERROR(__xludf.DUMMYFUNCTION("""COMPUTED_VALUE"""),3567.0)</f>
        <v>3567</v>
      </c>
      <c r="AQ331" s="1">
        <f>IFERROR(__xludf.DUMMYFUNCTION("""COMPUTED_VALUE"""),1721.0)</f>
        <v>1721</v>
      </c>
      <c r="AR331" s="1">
        <f>IFERROR(__xludf.DUMMYFUNCTION("""COMPUTED_VALUE"""),2900.0)</f>
        <v>2900</v>
      </c>
      <c r="AS331" s="1">
        <f>IFERROR(__xludf.DUMMYFUNCTION("""COMPUTED_VALUE"""),3239.0)</f>
        <v>3239</v>
      </c>
    </row>
    <row r="332">
      <c r="A332" s="1" t="str">
        <f>IFERROR(__xludf.DUMMYFUNCTION("""COMPUTED_VALUE"""),"TCO")</f>
        <v>TCO</v>
      </c>
      <c r="B332" s="1"/>
      <c r="C332" s="1"/>
      <c r="D332" s="1">
        <f>IFERROR(__xludf.DUMMYFUNCTION("""COMPUTED_VALUE"""),800.0)</f>
        <v>800</v>
      </c>
      <c r="E332" s="1">
        <f>IFERROR(__xludf.DUMMYFUNCTION("""COMPUTED_VALUE"""),202.0)</f>
        <v>202</v>
      </c>
      <c r="F332" s="1">
        <f>IFERROR(__xludf.DUMMYFUNCTION("""COMPUTED_VALUE"""),599.0)</f>
        <v>599</v>
      </c>
      <c r="G332" s="1">
        <f>IFERROR(__xludf.DUMMYFUNCTION("""COMPUTED_VALUE"""),2829.0)</f>
        <v>2829</v>
      </c>
      <c r="H332" s="1">
        <f>IFERROR(__xludf.DUMMYFUNCTION("""COMPUTED_VALUE"""),387.0)</f>
        <v>387</v>
      </c>
      <c r="I332" s="1">
        <f>IFERROR(__xludf.DUMMYFUNCTION("""COMPUTED_VALUE"""),511.0)</f>
        <v>511</v>
      </c>
      <c r="J332" s="1">
        <f>IFERROR(__xludf.DUMMYFUNCTION("""COMPUTED_VALUE"""),653.0)</f>
        <v>653</v>
      </c>
      <c r="K332" s="1">
        <f>IFERROR(__xludf.DUMMYFUNCTION("""COMPUTED_VALUE"""),409.0)</f>
        <v>409</v>
      </c>
      <c r="L332" s="1">
        <f>IFERROR(__xludf.DUMMYFUNCTION("""COMPUTED_VALUE"""),100.0)</f>
        <v>100</v>
      </c>
      <c r="M332" s="1">
        <f>IFERROR(__xludf.DUMMYFUNCTION("""COMPUTED_VALUE"""),725.0)</f>
        <v>725</v>
      </c>
      <c r="N332" s="1">
        <f>IFERROR(__xludf.DUMMYFUNCTION("""COMPUTED_VALUE"""),916.0)</f>
        <v>916</v>
      </c>
      <c r="O332" s="1">
        <f>IFERROR(__xludf.DUMMYFUNCTION("""COMPUTED_VALUE"""),445.0)</f>
        <v>445</v>
      </c>
      <c r="P332" s="1">
        <f>IFERROR(__xludf.DUMMYFUNCTION("""COMPUTED_VALUE"""),408.0)</f>
        <v>408</v>
      </c>
      <c r="Q332" s="1">
        <f>IFERROR(__xludf.DUMMYFUNCTION("""COMPUTED_VALUE"""),854.0)</f>
        <v>854</v>
      </c>
      <c r="R332" s="1">
        <f>IFERROR(__xludf.DUMMYFUNCTION("""COMPUTED_VALUE"""),350.0)</f>
        <v>350</v>
      </c>
      <c r="S332" s="1">
        <f>IFERROR(__xludf.DUMMYFUNCTION("""COMPUTED_VALUE"""),1026.0)</f>
        <v>1026</v>
      </c>
      <c r="T332" s="1">
        <f>IFERROR(__xludf.DUMMYFUNCTION("""COMPUTED_VALUE"""),506.0)</f>
        <v>506</v>
      </c>
      <c r="U332" s="1">
        <f>IFERROR(__xludf.DUMMYFUNCTION("""COMPUTED_VALUE"""),1955.0)</f>
        <v>1955</v>
      </c>
      <c r="V332" s="1"/>
      <c r="W332" s="1"/>
      <c r="X332" s="1">
        <f>IFERROR(__xludf.DUMMYFUNCTION("""COMPUTED_VALUE"""),0.0)</f>
        <v>0</v>
      </c>
      <c r="Y332" s="1">
        <f>IFERROR(__xludf.DUMMYFUNCTION("""COMPUTED_VALUE"""),826.840026855468)</f>
        <v>826.8400269</v>
      </c>
      <c r="Z332" s="1">
        <f>IFERROR(__xludf.DUMMYFUNCTION("""COMPUTED_VALUE"""),648.0)</f>
        <v>648</v>
      </c>
      <c r="AA332" s="1">
        <f>IFERROR(__xludf.DUMMYFUNCTION("""COMPUTED_VALUE"""),900.0)</f>
        <v>900</v>
      </c>
      <c r="AB332" s="1">
        <f>IFERROR(__xludf.DUMMYFUNCTION("""COMPUTED_VALUE"""),1320.0)</f>
        <v>1320</v>
      </c>
      <c r="AC332" s="1">
        <f>IFERROR(__xludf.DUMMYFUNCTION("""COMPUTED_VALUE"""),217.0)</f>
        <v>217</v>
      </c>
      <c r="AD332" s="1">
        <f>IFERROR(__xludf.DUMMYFUNCTION("""COMPUTED_VALUE"""),700.0)</f>
        <v>700</v>
      </c>
      <c r="AE332" s="1">
        <f>IFERROR(__xludf.DUMMYFUNCTION("""COMPUTED_VALUE"""),1227.0)</f>
        <v>1227</v>
      </c>
      <c r="AF332" s="1">
        <f>IFERROR(__xludf.DUMMYFUNCTION("""COMPUTED_VALUE"""),130.0)</f>
        <v>130</v>
      </c>
      <c r="AG332" s="1">
        <f>IFERROR(__xludf.DUMMYFUNCTION("""COMPUTED_VALUE"""),93.0)</f>
        <v>93</v>
      </c>
      <c r="AH332" s="1">
        <f>IFERROR(__xludf.DUMMYFUNCTION("""COMPUTED_VALUE"""),650.0)</f>
        <v>650</v>
      </c>
      <c r="AI332" s="1">
        <f>IFERROR(__xludf.DUMMYFUNCTION("""COMPUTED_VALUE"""),535.0)</f>
        <v>535</v>
      </c>
      <c r="AJ332" s="1"/>
      <c r="AK332" s="1"/>
      <c r="AL332" s="1">
        <f>IFERROR(__xludf.DUMMYFUNCTION("""COMPUTED_VALUE"""),0.0)</f>
        <v>0</v>
      </c>
      <c r="AM332" s="1">
        <f>IFERROR(__xludf.DUMMYFUNCTION("""COMPUTED_VALUE"""),1000.0)</f>
        <v>1000</v>
      </c>
      <c r="AN332" s="1"/>
      <c r="AO332" s="1"/>
      <c r="AP332" s="1">
        <f>IFERROR(__xludf.DUMMYFUNCTION("""COMPUTED_VALUE"""),0.0)</f>
        <v>0</v>
      </c>
      <c r="AQ332" s="1"/>
      <c r="AR332" s="1"/>
      <c r="AS332" s="1">
        <f>IFERROR(__xludf.DUMMYFUNCTION("""COMPUTED_VALUE"""),0.0)</f>
        <v>0</v>
      </c>
    </row>
    <row r="333">
      <c r="A333" s="1" t="str">
        <f>IFERROR(__xludf.DUMMYFUNCTION("""COMPUTED_VALUE"""),"TCS")</f>
        <v>TCS</v>
      </c>
      <c r="B333" s="1"/>
      <c r="C333" s="1"/>
      <c r="D333" s="1">
        <f>IFERROR(__xludf.DUMMYFUNCTION("""COMPUTED_VALUE"""),4800.0)</f>
        <v>4800</v>
      </c>
      <c r="E333" s="1">
        <f>IFERROR(__xludf.DUMMYFUNCTION("""COMPUTED_VALUE"""),6.0)</f>
        <v>6</v>
      </c>
      <c r="F333" s="1">
        <f>IFERROR(__xludf.DUMMYFUNCTION("""COMPUTED_VALUE"""),4800.0)</f>
        <v>4800</v>
      </c>
      <c r="G333" s="1">
        <f>IFERROR(__xludf.DUMMYFUNCTION("""COMPUTED_VALUE"""),1293.0)</f>
        <v>1293</v>
      </c>
      <c r="H333" s="1">
        <f>IFERROR(__xludf.DUMMYFUNCTION("""COMPUTED_VALUE"""),100.0)</f>
        <v>100</v>
      </c>
      <c r="I333" s="1">
        <f>IFERROR(__xludf.DUMMYFUNCTION("""COMPUTED_VALUE"""),4100.0)</f>
        <v>4100</v>
      </c>
      <c r="J333" s="1">
        <f>IFERROR(__xludf.DUMMYFUNCTION("""COMPUTED_VALUE"""),256.0)</f>
        <v>256</v>
      </c>
      <c r="K333" s="1">
        <f>IFERROR(__xludf.DUMMYFUNCTION("""COMPUTED_VALUE"""),7500.0)</f>
        <v>7500</v>
      </c>
      <c r="L333" s="1">
        <f>IFERROR(__xludf.DUMMYFUNCTION("""COMPUTED_VALUE"""),4.0)</f>
        <v>4</v>
      </c>
      <c r="M333" s="1">
        <f>IFERROR(__xludf.DUMMYFUNCTION("""COMPUTED_VALUE"""),7500.0)</f>
        <v>7500</v>
      </c>
      <c r="N333" s="1">
        <f>IFERROR(__xludf.DUMMYFUNCTION("""COMPUTED_VALUE"""),4.0)</f>
        <v>4</v>
      </c>
      <c r="O333" s="1">
        <f>IFERROR(__xludf.DUMMYFUNCTION("""COMPUTED_VALUE"""),300.0)</f>
        <v>300</v>
      </c>
      <c r="P333" s="1">
        <f>IFERROR(__xludf.DUMMYFUNCTION("""COMPUTED_VALUE"""),3000.0)</f>
        <v>3000</v>
      </c>
      <c r="Q333" s="1">
        <f>IFERROR(__xludf.DUMMYFUNCTION("""COMPUTED_VALUE"""),871.0)</f>
        <v>871</v>
      </c>
      <c r="R333" s="1">
        <f>IFERROR(__xludf.DUMMYFUNCTION("""COMPUTED_VALUE"""),3600.0)</f>
        <v>3600</v>
      </c>
      <c r="S333" s="1"/>
      <c r="T333" s="1"/>
      <c r="U333" s="1">
        <f>IFERROR(__xludf.DUMMYFUNCTION("""COMPUTED_VALUE"""),0.0)</f>
        <v>0</v>
      </c>
      <c r="V333" s="1"/>
      <c r="W333" s="1"/>
      <c r="X333" s="1">
        <f>IFERROR(__xludf.DUMMYFUNCTION("""COMPUTED_VALUE"""),0.0)</f>
        <v>0</v>
      </c>
      <c r="Y333" s="1">
        <f>IFERROR(__xludf.DUMMYFUNCTION("""COMPUTED_VALUE"""),4400.0)</f>
        <v>4400</v>
      </c>
      <c r="Z333" s="1">
        <f>IFERROR(__xludf.DUMMYFUNCTION("""COMPUTED_VALUE"""),474.0)</f>
        <v>474</v>
      </c>
      <c r="AA333" s="1">
        <f>IFERROR(__xludf.DUMMYFUNCTION("""COMPUTED_VALUE"""),4400.0)</f>
        <v>4400</v>
      </c>
      <c r="AB333" s="1">
        <f>IFERROR(__xludf.DUMMYFUNCTION("""COMPUTED_VALUE"""),2856.0)</f>
        <v>2856</v>
      </c>
      <c r="AC333" s="1">
        <f>IFERROR(__xludf.DUMMYFUNCTION("""COMPUTED_VALUE"""),331.0)</f>
        <v>331</v>
      </c>
      <c r="AD333" s="1">
        <f>IFERROR(__xludf.DUMMYFUNCTION("""COMPUTED_VALUE"""),3830.0)</f>
        <v>3830</v>
      </c>
      <c r="AE333" s="1">
        <f>IFERROR(__xludf.DUMMYFUNCTION("""COMPUTED_VALUE"""),2922.0)</f>
        <v>2922</v>
      </c>
      <c r="AF333" s="1">
        <f>IFERROR(__xludf.DUMMYFUNCTION("""COMPUTED_VALUE"""),2600.0)</f>
        <v>2600</v>
      </c>
      <c r="AG333" s="1">
        <f>IFERROR(__xludf.DUMMYFUNCTION("""COMPUTED_VALUE"""),10.0)</f>
        <v>10</v>
      </c>
      <c r="AH333" s="1">
        <f>IFERROR(__xludf.DUMMYFUNCTION("""COMPUTED_VALUE"""),4400.0)</f>
        <v>4400</v>
      </c>
      <c r="AI333" s="1">
        <f>IFERROR(__xludf.DUMMYFUNCTION("""COMPUTED_VALUE"""),10.0)</f>
        <v>10</v>
      </c>
      <c r="AJ333" s="1"/>
      <c r="AK333" s="1"/>
      <c r="AL333" s="1">
        <f>IFERROR(__xludf.DUMMYFUNCTION("""COMPUTED_VALUE"""),0.0)</f>
        <v>0</v>
      </c>
      <c r="AM333" s="1">
        <f>IFERROR(__xludf.DUMMYFUNCTION("""COMPUTED_VALUE"""),4000.0)</f>
        <v>4000</v>
      </c>
      <c r="AN333" s="1"/>
      <c r="AO333" s="1"/>
      <c r="AP333" s="1">
        <f>IFERROR(__xludf.DUMMYFUNCTION("""COMPUTED_VALUE"""),0.0)</f>
        <v>0</v>
      </c>
      <c r="AQ333" s="1">
        <f>IFERROR(__xludf.DUMMYFUNCTION("""COMPUTED_VALUE"""),100.0)</f>
        <v>100</v>
      </c>
      <c r="AR333" s="1">
        <f>IFERROR(__xludf.DUMMYFUNCTION("""COMPUTED_VALUE"""),3020.0)</f>
        <v>3020</v>
      </c>
      <c r="AS333" s="1">
        <f>IFERROR(__xludf.DUMMYFUNCTION("""COMPUTED_VALUE"""),100.0)</f>
        <v>100</v>
      </c>
    </row>
    <row r="334">
      <c r="A334" s="1" t="str">
        <f>IFERROR(__xludf.DUMMYFUNCTION("""COMPUTED_VALUE"""),"TCU")</f>
        <v>TCU</v>
      </c>
      <c r="B334" s="1"/>
      <c r="C334" s="1"/>
      <c r="D334" s="1">
        <f>IFERROR(__xludf.DUMMYFUNCTION("""COMPUTED_VALUE"""),91000.0)</f>
        <v>91000</v>
      </c>
      <c r="E334" s="1">
        <f>IFERROR(__xludf.DUMMYFUNCTION("""COMPUTED_VALUE"""),2.0)</f>
        <v>2</v>
      </c>
      <c r="F334" s="1">
        <f>IFERROR(__xludf.DUMMYFUNCTION("""COMPUTED_VALUE"""),164000.0)</f>
        <v>164000</v>
      </c>
      <c r="G334" s="1">
        <f>IFERROR(__xludf.DUMMYFUNCTION("""COMPUTED_VALUE"""),15.0)</f>
        <v>15</v>
      </c>
      <c r="H334" s="1">
        <f>IFERROR(__xludf.DUMMYFUNCTION("""COMPUTED_VALUE"""),2.0)</f>
        <v>2</v>
      </c>
      <c r="I334" s="1">
        <f>IFERROR(__xludf.DUMMYFUNCTION("""COMPUTED_VALUE"""),91000.0)</f>
        <v>91000</v>
      </c>
      <c r="J334" s="1">
        <f>IFERROR(__xludf.DUMMYFUNCTION("""COMPUTED_VALUE"""),4.0)</f>
        <v>4</v>
      </c>
      <c r="K334" s="1">
        <f>IFERROR(__xludf.DUMMYFUNCTION("""COMPUTED_VALUE"""),250000.0)</f>
        <v>250000</v>
      </c>
      <c r="L334" s="1"/>
      <c r="M334" s="1"/>
      <c r="N334" s="1">
        <f>IFERROR(__xludf.DUMMYFUNCTION("""COMPUTED_VALUE"""),0.0)</f>
        <v>0</v>
      </c>
      <c r="O334" s="1">
        <f>IFERROR(__xludf.DUMMYFUNCTION("""COMPUTED_VALUE"""),2.0)</f>
        <v>2</v>
      </c>
      <c r="P334" s="1">
        <f>IFERROR(__xludf.DUMMYFUNCTION("""COMPUTED_VALUE"""),120000.0)</f>
        <v>120000</v>
      </c>
      <c r="Q334" s="1">
        <f>IFERROR(__xludf.DUMMYFUNCTION("""COMPUTED_VALUE"""),2.0)</f>
        <v>2</v>
      </c>
      <c r="R334" s="1">
        <f>IFERROR(__xludf.DUMMYFUNCTION("""COMPUTED_VALUE"""),69644.7890625)</f>
        <v>69644.78906</v>
      </c>
      <c r="S334" s="1"/>
      <c r="T334" s="1"/>
      <c r="U334" s="1">
        <f>IFERROR(__xludf.DUMMYFUNCTION("""COMPUTED_VALUE"""),0.0)</f>
        <v>0</v>
      </c>
      <c r="V334" s="1"/>
      <c r="W334" s="1"/>
      <c r="X334" s="1">
        <f>IFERROR(__xludf.DUMMYFUNCTION("""COMPUTED_VALUE"""),0.0)</f>
        <v>0</v>
      </c>
      <c r="Y334" s="1">
        <f>IFERROR(__xludf.DUMMYFUNCTION("""COMPUTED_VALUE"""),170000.0)</f>
        <v>170000</v>
      </c>
      <c r="Z334" s="1">
        <f>IFERROR(__xludf.DUMMYFUNCTION("""COMPUTED_VALUE"""),4.0)</f>
        <v>4</v>
      </c>
      <c r="AA334" s="1">
        <f>IFERROR(__xludf.DUMMYFUNCTION("""COMPUTED_VALUE"""),170000.0)</f>
        <v>170000</v>
      </c>
      <c r="AB334" s="1">
        <f>IFERROR(__xludf.DUMMYFUNCTION("""COMPUTED_VALUE"""),4.0)</f>
        <v>4</v>
      </c>
      <c r="AC334" s="1">
        <f>IFERROR(__xludf.DUMMYFUNCTION("""COMPUTED_VALUE"""),5.0)</f>
        <v>5</v>
      </c>
      <c r="AD334" s="1">
        <f>IFERROR(__xludf.DUMMYFUNCTION("""COMPUTED_VALUE"""),95000.0)</f>
        <v>95000</v>
      </c>
      <c r="AE334" s="1">
        <f>IFERROR(__xludf.DUMMYFUNCTION("""COMPUTED_VALUE"""),8.0)</f>
        <v>8</v>
      </c>
      <c r="AF334" s="1">
        <f>IFERROR(__xludf.DUMMYFUNCTION("""COMPUTED_VALUE"""),69644.7890625)</f>
        <v>69644.78906</v>
      </c>
      <c r="AG334" s="1"/>
      <c r="AH334" s="1"/>
      <c r="AI334" s="1">
        <f>IFERROR(__xludf.DUMMYFUNCTION("""COMPUTED_VALUE"""),0.0)</f>
        <v>0</v>
      </c>
      <c r="AJ334" s="1"/>
      <c r="AK334" s="1"/>
      <c r="AL334" s="1">
        <f>IFERROR(__xludf.DUMMYFUNCTION("""COMPUTED_VALUE"""),0.0)</f>
        <v>0</v>
      </c>
      <c r="AM334" s="1">
        <f>IFERROR(__xludf.DUMMYFUNCTION("""COMPUTED_VALUE"""),175000.0)</f>
        <v>175000</v>
      </c>
      <c r="AN334" s="1">
        <f>IFERROR(__xludf.DUMMYFUNCTION("""COMPUTED_VALUE"""),4.0)</f>
        <v>4</v>
      </c>
      <c r="AO334" s="1">
        <f>IFERROR(__xludf.DUMMYFUNCTION("""COMPUTED_VALUE"""),175000.0)</f>
        <v>175000</v>
      </c>
      <c r="AP334" s="1">
        <f>IFERROR(__xludf.DUMMYFUNCTION("""COMPUTED_VALUE"""),5.0)</f>
        <v>5</v>
      </c>
      <c r="AQ334" s="1">
        <f>IFERROR(__xludf.DUMMYFUNCTION("""COMPUTED_VALUE"""),5.0)</f>
        <v>5</v>
      </c>
      <c r="AR334" s="1">
        <f>IFERROR(__xludf.DUMMYFUNCTION("""COMPUTED_VALUE"""),95000.0)</f>
        <v>95000</v>
      </c>
      <c r="AS334" s="1">
        <f>IFERROR(__xludf.DUMMYFUNCTION("""COMPUTED_VALUE"""),5.0)</f>
        <v>5</v>
      </c>
    </row>
    <row r="335">
      <c r="A335" s="1" t="str">
        <f>IFERROR(__xludf.DUMMYFUNCTION("""COMPUTED_VALUE"""),"THF")</f>
        <v>THF</v>
      </c>
      <c r="B335" s="1"/>
      <c r="C335" s="1"/>
      <c r="D335" s="1">
        <f>IFERROR(__xludf.DUMMYFUNCTION("""COMPUTED_VALUE"""),450.0)</f>
        <v>450</v>
      </c>
      <c r="E335" s="1">
        <f>IFERROR(__xludf.DUMMYFUNCTION("""COMPUTED_VALUE"""),3470.0)</f>
        <v>3470</v>
      </c>
      <c r="F335" s="1">
        <f>IFERROR(__xludf.DUMMYFUNCTION("""COMPUTED_VALUE"""),450.0)</f>
        <v>450</v>
      </c>
      <c r="G335" s="1">
        <f>IFERROR(__xludf.DUMMYFUNCTION("""COMPUTED_VALUE"""),7793.0)</f>
        <v>7793</v>
      </c>
      <c r="H335" s="1">
        <f>IFERROR(__xludf.DUMMYFUNCTION("""COMPUTED_VALUE"""),380.0)</f>
        <v>380</v>
      </c>
      <c r="I335" s="1">
        <f>IFERROR(__xludf.DUMMYFUNCTION("""COMPUTED_VALUE"""),410.0)</f>
        <v>410</v>
      </c>
      <c r="J335" s="1">
        <f>IFERROR(__xludf.DUMMYFUNCTION("""COMPUTED_VALUE"""),11191.0)</f>
        <v>11191</v>
      </c>
      <c r="K335" s="1">
        <f>IFERROR(__xludf.DUMMYFUNCTION("""COMPUTED_VALUE"""),500.0)</f>
        <v>500</v>
      </c>
      <c r="L335" s="1">
        <f>IFERROR(__xludf.DUMMYFUNCTION("""COMPUTED_VALUE"""),250.0)</f>
        <v>250</v>
      </c>
      <c r="M335" s="1">
        <f>IFERROR(__xludf.DUMMYFUNCTION("""COMPUTED_VALUE"""),500.0)</f>
        <v>500</v>
      </c>
      <c r="N335" s="1">
        <f>IFERROR(__xludf.DUMMYFUNCTION("""COMPUTED_VALUE"""),2659.0)</f>
        <v>2659</v>
      </c>
      <c r="O335" s="1"/>
      <c r="P335" s="1"/>
      <c r="Q335" s="1">
        <f>IFERROR(__xludf.DUMMYFUNCTION("""COMPUTED_VALUE"""),0.0)</f>
        <v>0</v>
      </c>
      <c r="R335" s="1">
        <f>IFERROR(__xludf.DUMMYFUNCTION("""COMPUTED_VALUE"""),400.0)</f>
        <v>400</v>
      </c>
      <c r="S335" s="1">
        <f>IFERROR(__xludf.DUMMYFUNCTION("""COMPUTED_VALUE"""),160.0)</f>
        <v>160</v>
      </c>
      <c r="T335" s="1">
        <f>IFERROR(__xludf.DUMMYFUNCTION("""COMPUTED_VALUE"""),450.0)</f>
        <v>450</v>
      </c>
      <c r="U335" s="1">
        <f>IFERROR(__xludf.DUMMYFUNCTION("""COMPUTED_VALUE"""),560.0)</f>
        <v>560</v>
      </c>
      <c r="V335" s="1"/>
      <c r="W335" s="1"/>
      <c r="X335" s="1">
        <f>IFERROR(__xludf.DUMMYFUNCTION("""COMPUTED_VALUE"""),0.0)</f>
        <v>0</v>
      </c>
      <c r="Y335" s="1">
        <f>IFERROR(__xludf.DUMMYFUNCTION("""COMPUTED_VALUE"""),470.0)</f>
        <v>470</v>
      </c>
      <c r="Z335" s="1">
        <f>IFERROR(__xludf.DUMMYFUNCTION("""COMPUTED_VALUE"""),47.0)</f>
        <v>47</v>
      </c>
      <c r="AA335" s="1">
        <f>IFERROR(__xludf.DUMMYFUNCTION("""COMPUTED_VALUE"""),470.0)</f>
        <v>470</v>
      </c>
      <c r="AB335" s="1">
        <f>IFERROR(__xludf.DUMMYFUNCTION("""COMPUTED_VALUE"""),39700.0)</f>
        <v>39700</v>
      </c>
      <c r="AC335" s="1">
        <f>IFERROR(__xludf.DUMMYFUNCTION("""COMPUTED_VALUE"""),199.0)</f>
        <v>199</v>
      </c>
      <c r="AD335" s="1">
        <f>IFERROR(__xludf.DUMMYFUNCTION("""COMPUTED_VALUE"""),430.0)</f>
        <v>430</v>
      </c>
      <c r="AE335" s="1">
        <f>IFERROR(__xludf.DUMMYFUNCTION("""COMPUTED_VALUE"""),10943.0)</f>
        <v>10943</v>
      </c>
      <c r="AF335" s="1">
        <f>IFERROR(__xludf.DUMMYFUNCTION("""COMPUTED_VALUE"""),450.0)</f>
        <v>450</v>
      </c>
      <c r="AG335" s="1">
        <f>IFERROR(__xludf.DUMMYFUNCTION("""COMPUTED_VALUE"""),83.0)</f>
        <v>83</v>
      </c>
      <c r="AH335" s="1">
        <f>IFERROR(__xludf.DUMMYFUNCTION("""COMPUTED_VALUE"""),450.0)</f>
        <v>450</v>
      </c>
      <c r="AI335" s="1">
        <f>IFERROR(__xludf.DUMMYFUNCTION("""COMPUTED_VALUE"""),83.0)</f>
        <v>83</v>
      </c>
      <c r="AJ335" s="1"/>
      <c r="AK335" s="1"/>
      <c r="AL335" s="1">
        <f>IFERROR(__xludf.DUMMYFUNCTION("""COMPUTED_VALUE"""),0.0)</f>
        <v>0</v>
      </c>
      <c r="AM335" s="1">
        <f>IFERROR(__xludf.DUMMYFUNCTION("""COMPUTED_VALUE"""),295.459991455078)</f>
        <v>295.4599915</v>
      </c>
      <c r="AN335" s="1">
        <f>IFERROR(__xludf.DUMMYFUNCTION("""COMPUTED_VALUE"""),869.0)</f>
        <v>869</v>
      </c>
      <c r="AO335" s="1">
        <f>IFERROR(__xludf.DUMMYFUNCTION("""COMPUTED_VALUE"""),450.0)</f>
        <v>450</v>
      </c>
      <c r="AP335" s="1">
        <f>IFERROR(__xludf.DUMMYFUNCTION("""COMPUTED_VALUE"""),4835.0)</f>
        <v>4835</v>
      </c>
      <c r="AQ335" s="1">
        <f>IFERROR(__xludf.DUMMYFUNCTION("""COMPUTED_VALUE"""),50.0)</f>
        <v>50</v>
      </c>
      <c r="AR335" s="1">
        <f>IFERROR(__xludf.DUMMYFUNCTION("""COMPUTED_VALUE"""),280.0)</f>
        <v>280</v>
      </c>
      <c r="AS335" s="1">
        <f>IFERROR(__xludf.DUMMYFUNCTION("""COMPUTED_VALUE"""),600.0)</f>
        <v>600</v>
      </c>
    </row>
    <row r="336">
      <c r="A336" s="1" t="str">
        <f>IFERROR(__xludf.DUMMYFUNCTION("""COMPUTED_VALUE"""),"THP")</f>
        <v>THP</v>
      </c>
      <c r="B336" s="1"/>
      <c r="C336" s="1"/>
      <c r="D336" s="1">
        <f>IFERROR(__xludf.DUMMYFUNCTION("""COMPUTED_VALUE"""),5000.0)</f>
        <v>5000</v>
      </c>
      <c r="E336" s="1">
        <f>IFERROR(__xludf.DUMMYFUNCTION("""COMPUTED_VALUE"""),40.0)</f>
        <v>40</v>
      </c>
      <c r="F336" s="1">
        <f>IFERROR(__xludf.DUMMYFUNCTION("""COMPUTED_VALUE"""),5970.0)</f>
        <v>5970</v>
      </c>
      <c r="G336" s="1">
        <f>IFERROR(__xludf.DUMMYFUNCTION("""COMPUTED_VALUE"""),101.0)</f>
        <v>101</v>
      </c>
      <c r="H336" s="1">
        <f>IFERROR(__xludf.DUMMYFUNCTION("""COMPUTED_VALUE"""),300.0)</f>
        <v>300</v>
      </c>
      <c r="I336" s="1">
        <f>IFERROR(__xludf.DUMMYFUNCTION("""COMPUTED_VALUE"""),4700.0)</f>
        <v>4700</v>
      </c>
      <c r="J336" s="1">
        <f>IFERROR(__xludf.DUMMYFUNCTION("""COMPUTED_VALUE"""),820.0)</f>
        <v>820</v>
      </c>
      <c r="K336" s="1">
        <f>IFERROR(__xludf.DUMMYFUNCTION("""COMPUTED_VALUE"""),4000.0)</f>
        <v>4000</v>
      </c>
      <c r="L336" s="1">
        <f>IFERROR(__xludf.DUMMYFUNCTION("""COMPUTED_VALUE"""),100.0)</f>
        <v>100</v>
      </c>
      <c r="M336" s="1">
        <f>IFERROR(__xludf.DUMMYFUNCTION("""COMPUTED_VALUE"""),4790.0)</f>
        <v>4790</v>
      </c>
      <c r="N336" s="1">
        <f>IFERROR(__xludf.DUMMYFUNCTION("""COMPUTED_VALUE"""),761.0)</f>
        <v>761</v>
      </c>
      <c r="O336" s="1"/>
      <c r="P336" s="1"/>
      <c r="Q336" s="1">
        <f>IFERROR(__xludf.DUMMYFUNCTION("""COMPUTED_VALUE"""),0.0)</f>
        <v>0</v>
      </c>
      <c r="R336" s="1">
        <f>IFERROR(__xludf.DUMMYFUNCTION("""COMPUTED_VALUE"""),2398.5)</f>
        <v>2398.5</v>
      </c>
      <c r="S336" s="1"/>
      <c r="T336" s="1"/>
      <c r="U336" s="1">
        <f>IFERROR(__xludf.DUMMYFUNCTION("""COMPUTED_VALUE"""),0.0)</f>
        <v>0</v>
      </c>
      <c r="V336" s="1"/>
      <c r="W336" s="1"/>
      <c r="X336" s="1">
        <f>IFERROR(__xludf.DUMMYFUNCTION("""COMPUTED_VALUE"""),0.0)</f>
        <v>0</v>
      </c>
      <c r="Y336" s="1">
        <f>IFERROR(__xludf.DUMMYFUNCTION("""COMPUTED_VALUE"""),5000.0)</f>
        <v>5000</v>
      </c>
      <c r="Z336" s="1">
        <f>IFERROR(__xludf.DUMMYFUNCTION("""COMPUTED_VALUE"""),120.0)</f>
        <v>120</v>
      </c>
      <c r="AA336" s="1">
        <f>IFERROR(__xludf.DUMMYFUNCTION("""COMPUTED_VALUE"""),5400.0)</f>
        <v>5400</v>
      </c>
      <c r="AB336" s="1">
        <f>IFERROR(__xludf.DUMMYFUNCTION("""COMPUTED_VALUE"""),170.0)</f>
        <v>170</v>
      </c>
      <c r="AC336" s="1">
        <f>IFERROR(__xludf.DUMMYFUNCTION("""COMPUTED_VALUE"""),28.0)</f>
        <v>28</v>
      </c>
      <c r="AD336" s="1">
        <f>IFERROR(__xludf.DUMMYFUNCTION("""COMPUTED_VALUE"""),5000.0)</f>
        <v>5000</v>
      </c>
      <c r="AE336" s="1">
        <f>IFERROR(__xludf.DUMMYFUNCTION("""COMPUTED_VALUE"""),28.0)</f>
        <v>28</v>
      </c>
      <c r="AF336" s="1">
        <f>IFERROR(__xludf.DUMMYFUNCTION("""COMPUTED_VALUE"""),2398.5)</f>
        <v>2398.5</v>
      </c>
      <c r="AG336" s="1"/>
      <c r="AH336" s="1"/>
      <c r="AI336" s="1">
        <f>IFERROR(__xludf.DUMMYFUNCTION("""COMPUTED_VALUE"""),0.0)</f>
        <v>0</v>
      </c>
      <c r="AJ336" s="1"/>
      <c r="AK336" s="1"/>
      <c r="AL336" s="1">
        <f>IFERROR(__xludf.DUMMYFUNCTION("""COMPUTED_VALUE"""),0.0)</f>
        <v>0</v>
      </c>
      <c r="AM336" s="1">
        <f>IFERROR(__xludf.DUMMYFUNCTION("""COMPUTED_VALUE"""),4500.0)</f>
        <v>4500</v>
      </c>
      <c r="AN336" s="1">
        <f>IFERROR(__xludf.DUMMYFUNCTION("""COMPUTED_VALUE"""),20.0)</f>
        <v>20</v>
      </c>
      <c r="AO336" s="1">
        <f>IFERROR(__xludf.DUMMYFUNCTION("""COMPUTED_VALUE"""),4770.0)</f>
        <v>4770</v>
      </c>
      <c r="AP336" s="1">
        <f>IFERROR(__xludf.DUMMYFUNCTION("""COMPUTED_VALUE"""),154.0)</f>
        <v>154</v>
      </c>
      <c r="AQ336" s="1"/>
      <c r="AR336" s="1"/>
      <c r="AS336" s="1">
        <f>IFERROR(__xludf.DUMMYFUNCTION("""COMPUTED_VALUE"""),0.0)</f>
        <v>0</v>
      </c>
    </row>
    <row r="337">
      <c r="A337" s="1" t="str">
        <f>IFERROR(__xludf.DUMMYFUNCTION("""COMPUTED_VALUE"""),"TI")</f>
        <v>TI</v>
      </c>
      <c r="B337" s="1"/>
      <c r="C337" s="1"/>
      <c r="D337" s="1">
        <f>IFERROR(__xludf.DUMMYFUNCTION("""COMPUTED_VALUE"""),3390.0)</f>
        <v>3390</v>
      </c>
      <c r="E337" s="1">
        <f>IFERROR(__xludf.DUMMYFUNCTION("""COMPUTED_VALUE"""),66.0)</f>
        <v>66</v>
      </c>
      <c r="F337" s="1">
        <f>IFERROR(__xludf.DUMMYFUNCTION("""COMPUTED_VALUE"""),3370.0)</f>
        <v>3370</v>
      </c>
      <c r="G337" s="1">
        <f>IFERROR(__xludf.DUMMYFUNCTION("""COMPUTED_VALUE"""),10325.0)</f>
        <v>10325</v>
      </c>
      <c r="H337" s="1">
        <f>IFERROR(__xludf.DUMMYFUNCTION("""COMPUTED_VALUE"""),100.0)</f>
        <v>100</v>
      </c>
      <c r="I337" s="1">
        <f>IFERROR(__xludf.DUMMYFUNCTION("""COMPUTED_VALUE"""),2520.0)</f>
        <v>2520</v>
      </c>
      <c r="J337" s="1">
        <f>IFERROR(__xludf.DUMMYFUNCTION("""COMPUTED_VALUE"""),22903.0)</f>
        <v>22903</v>
      </c>
      <c r="K337" s="1">
        <f>IFERROR(__xludf.DUMMYFUNCTION("""COMPUTED_VALUE"""),2510.0)</f>
        <v>2510</v>
      </c>
      <c r="L337" s="1">
        <f>IFERROR(__xludf.DUMMYFUNCTION("""COMPUTED_VALUE"""),8.0)</f>
        <v>8</v>
      </c>
      <c r="M337" s="1">
        <f>IFERROR(__xludf.DUMMYFUNCTION("""COMPUTED_VALUE"""),3970.0)</f>
        <v>3970</v>
      </c>
      <c r="N337" s="1">
        <f>IFERROR(__xludf.DUMMYFUNCTION("""COMPUTED_VALUE"""),960.0)</f>
        <v>960</v>
      </c>
      <c r="O337" s="1">
        <f>IFERROR(__xludf.DUMMYFUNCTION("""COMPUTED_VALUE"""),940.0)</f>
        <v>940</v>
      </c>
      <c r="P337" s="1">
        <f>IFERROR(__xludf.DUMMYFUNCTION("""COMPUTED_VALUE"""),2510.0)</f>
        <v>2510</v>
      </c>
      <c r="Q337" s="1">
        <f>IFERROR(__xludf.DUMMYFUNCTION("""COMPUTED_VALUE"""),1337.0)</f>
        <v>1337</v>
      </c>
      <c r="R337" s="1">
        <f>IFERROR(__xludf.DUMMYFUNCTION("""COMPUTED_VALUE"""),2000.0)</f>
        <v>2000</v>
      </c>
      <c r="S337" s="1"/>
      <c r="T337" s="1"/>
      <c r="U337" s="1">
        <f>IFERROR(__xludf.DUMMYFUNCTION("""COMPUTED_VALUE"""),0.0)</f>
        <v>0</v>
      </c>
      <c r="V337" s="1"/>
      <c r="W337" s="1"/>
      <c r="X337" s="1">
        <f>IFERROR(__xludf.DUMMYFUNCTION("""COMPUTED_VALUE"""),0.0)</f>
        <v>0</v>
      </c>
      <c r="Y337" s="1">
        <f>IFERROR(__xludf.DUMMYFUNCTION("""COMPUTED_VALUE"""),2852.1201171875)</f>
        <v>2852.120117</v>
      </c>
      <c r="Z337" s="1">
        <f>IFERROR(__xludf.DUMMYFUNCTION("""COMPUTED_VALUE"""),8.0)</f>
        <v>8</v>
      </c>
      <c r="AA337" s="1">
        <f>IFERROR(__xludf.DUMMYFUNCTION("""COMPUTED_VALUE"""),2960.0)</f>
        <v>2960</v>
      </c>
      <c r="AB337" s="1">
        <f>IFERROR(__xludf.DUMMYFUNCTION("""COMPUTED_VALUE"""),15322.0)</f>
        <v>15322</v>
      </c>
      <c r="AC337" s="1">
        <f>IFERROR(__xludf.DUMMYFUNCTION("""COMPUTED_VALUE"""),469.0)</f>
        <v>469</v>
      </c>
      <c r="AD337" s="1">
        <f>IFERROR(__xludf.DUMMYFUNCTION("""COMPUTED_VALUE"""),2560.0)</f>
        <v>2560</v>
      </c>
      <c r="AE337" s="1">
        <f>IFERROR(__xludf.DUMMYFUNCTION("""COMPUTED_VALUE"""),7195.0)</f>
        <v>7195</v>
      </c>
      <c r="AF337" s="1">
        <f>IFERROR(__xludf.DUMMYFUNCTION("""COMPUTED_VALUE"""),2500.0)</f>
        <v>2500</v>
      </c>
      <c r="AG337" s="1">
        <f>IFERROR(__xludf.DUMMYFUNCTION("""COMPUTED_VALUE"""),96.0)</f>
        <v>96</v>
      </c>
      <c r="AH337" s="1">
        <f>IFERROR(__xludf.DUMMYFUNCTION("""COMPUTED_VALUE"""),2500.0)</f>
        <v>2500</v>
      </c>
      <c r="AI337" s="1">
        <f>IFERROR(__xludf.DUMMYFUNCTION("""COMPUTED_VALUE"""),96.0)</f>
        <v>96</v>
      </c>
      <c r="AJ337" s="1"/>
      <c r="AK337" s="1"/>
      <c r="AL337" s="1">
        <f>IFERROR(__xludf.DUMMYFUNCTION("""COMPUTED_VALUE"""),0.0)</f>
        <v>0</v>
      </c>
      <c r="AM337" s="1">
        <f>IFERROR(__xludf.DUMMYFUNCTION("""COMPUTED_VALUE"""),3956.22998046875)</f>
        <v>3956.22998</v>
      </c>
      <c r="AN337" s="1">
        <f>IFERROR(__xludf.DUMMYFUNCTION("""COMPUTED_VALUE"""),666.0)</f>
        <v>666</v>
      </c>
      <c r="AO337" s="1">
        <f>IFERROR(__xludf.DUMMYFUNCTION("""COMPUTED_VALUE"""),3990.0)</f>
        <v>3990</v>
      </c>
      <c r="AP337" s="1">
        <f>IFERROR(__xludf.DUMMYFUNCTION("""COMPUTED_VALUE"""),826.0)</f>
        <v>826</v>
      </c>
      <c r="AQ337" s="1">
        <f>IFERROR(__xludf.DUMMYFUNCTION("""COMPUTED_VALUE"""),80.0)</f>
        <v>80</v>
      </c>
      <c r="AR337" s="1">
        <f>IFERROR(__xludf.DUMMYFUNCTION("""COMPUTED_VALUE"""),2220.0)</f>
        <v>2220</v>
      </c>
      <c r="AS337" s="1">
        <f>IFERROR(__xludf.DUMMYFUNCTION("""COMPUTED_VALUE"""),5201.0)</f>
        <v>5201</v>
      </c>
    </row>
    <row r="338">
      <c r="A338" s="1" t="str">
        <f>IFERROR(__xludf.DUMMYFUNCTION("""COMPUTED_VALUE"""),"TIO")</f>
        <v>TIO</v>
      </c>
      <c r="B338" s="1">
        <f>IFERROR(__xludf.DUMMYFUNCTION("""COMPUTED_VALUE"""),74.0)</f>
        <v>74</v>
      </c>
      <c r="C338" s="1"/>
      <c r="D338" s="1">
        <f>IFERROR(__xludf.DUMMYFUNCTION("""COMPUTED_VALUE"""),460.829986572265)</f>
        <v>460.8299866</v>
      </c>
      <c r="E338" s="1">
        <f>IFERROR(__xludf.DUMMYFUNCTION("""COMPUTED_VALUE"""),61.0)</f>
        <v>61</v>
      </c>
      <c r="F338" s="1">
        <f>IFERROR(__xludf.DUMMYFUNCTION("""COMPUTED_VALUE"""),450.0)</f>
        <v>450</v>
      </c>
      <c r="G338" s="1">
        <f>IFERROR(__xludf.DUMMYFUNCTION("""COMPUTED_VALUE"""),49008.0)</f>
        <v>49008</v>
      </c>
      <c r="H338" s="1">
        <f>IFERROR(__xludf.DUMMYFUNCTION("""COMPUTED_VALUE"""),50.0)</f>
        <v>50</v>
      </c>
      <c r="I338" s="1">
        <f>IFERROR(__xludf.DUMMYFUNCTION("""COMPUTED_VALUE"""),363.0)</f>
        <v>363</v>
      </c>
      <c r="J338" s="1">
        <f>IFERROR(__xludf.DUMMYFUNCTION("""COMPUTED_VALUE"""),13455.0)</f>
        <v>13455</v>
      </c>
      <c r="K338" s="1">
        <f>IFERROR(__xludf.DUMMYFUNCTION("""COMPUTED_VALUE"""),260.630004882812)</f>
        <v>260.6300049</v>
      </c>
      <c r="L338" s="1">
        <f>IFERROR(__xludf.DUMMYFUNCTION("""COMPUTED_VALUE"""),49.0)</f>
        <v>49</v>
      </c>
      <c r="M338" s="1">
        <f>IFERROR(__xludf.DUMMYFUNCTION("""COMPUTED_VALUE"""),325.0)</f>
        <v>325</v>
      </c>
      <c r="N338" s="1">
        <f>IFERROR(__xludf.DUMMYFUNCTION("""COMPUTED_VALUE"""),2605.0)</f>
        <v>2605</v>
      </c>
      <c r="O338" s="1">
        <f>IFERROR(__xludf.DUMMYFUNCTION("""COMPUTED_VALUE"""),500.0)</f>
        <v>500</v>
      </c>
      <c r="P338" s="1">
        <f>IFERROR(__xludf.DUMMYFUNCTION("""COMPUTED_VALUE"""),260.0)</f>
        <v>260</v>
      </c>
      <c r="Q338" s="1">
        <f>IFERROR(__xludf.DUMMYFUNCTION("""COMPUTED_VALUE"""),3565.0)</f>
        <v>3565</v>
      </c>
      <c r="R338" s="1">
        <f>IFERROR(__xludf.DUMMYFUNCTION("""COMPUTED_VALUE"""),330.0)</f>
        <v>330</v>
      </c>
      <c r="S338" s="1"/>
      <c r="T338" s="1"/>
      <c r="U338" s="1">
        <f>IFERROR(__xludf.DUMMYFUNCTION("""COMPUTED_VALUE"""),0.0)</f>
        <v>0</v>
      </c>
      <c r="V338" s="1"/>
      <c r="W338" s="1"/>
      <c r="X338" s="1">
        <f>IFERROR(__xludf.DUMMYFUNCTION("""COMPUTED_VALUE"""),0.0)</f>
        <v>0</v>
      </c>
      <c r="Y338" s="1">
        <f>IFERROR(__xludf.DUMMYFUNCTION("""COMPUTED_VALUE"""),389.0)</f>
        <v>389</v>
      </c>
      <c r="Z338" s="1">
        <f>IFERROR(__xludf.DUMMYFUNCTION("""COMPUTED_VALUE"""),265.0)</f>
        <v>265</v>
      </c>
      <c r="AA338" s="1">
        <f>IFERROR(__xludf.DUMMYFUNCTION("""COMPUTED_VALUE"""),388.0)</f>
        <v>388</v>
      </c>
      <c r="AB338" s="1">
        <f>IFERROR(__xludf.DUMMYFUNCTION("""COMPUTED_VALUE"""),14546.0)</f>
        <v>14546</v>
      </c>
      <c r="AC338" s="1">
        <f>IFERROR(__xludf.DUMMYFUNCTION("""COMPUTED_VALUE"""),1000.0)</f>
        <v>1000</v>
      </c>
      <c r="AD338" s="1">
        <f>IFERROR(__xludf.DUMMYFUNCTION("""COMPUTED_VALUE"""),311.0)</f>
        <v>311</v>
      </c>
      <c r="AE338" s="1">
        <f>IFERROR(__xludf.DUMMYFUNCTION("""COMPUTED_VALUE"""),22535.0)</f>
        <v>22535</v>
      </c>
      <c r="AF338" s="1">
        <f>IFERROR(__xludf.DUMMYFUNCTION("""COMPUTED_VALUE"""),220.0)</f>
        <v>220</v>
      </c>
      <c r="AG338" s="1"/>
      <c r="AH338" s="1"/>
      <c r="AI338" s="1">
        <f>IFERROR(__xludf.DUMMYFUNCTION("""COMPUTED_VALUE"""),0.0)</f>
        <v>0</v>
      </c>
      <c r="AJ338" s="1"/>
      <c r="AK338" s="1"/>
      <c r="AL338" s="1">
        <f>IFERROR(__xludf.DUMMYFUNCTION("""COMPUTED_VALUE"""),0.0)</f>
        <v>0</v>
      </c>
      <c r="AM338" s="1">
        <f>IFERROR(__xludf.DUMMYFUNCTION("""COMPUTED_VALUE"""),450.0)</f>
        <v>450</v>
      </c>
      <c r="AN338" s="1">
        <f>IFERROR(__xludf.DUMMYFUNCTION("""COMPUTED_VALUE"""),500.0)</f>
        <v>500</v>
      </c>
      <c r="AO338" s="1">
        <f>IFERROR(__xludf.DUMMYFUNCTION("""COMPUTED_VALUE"""),450.0)</f>
        <v>450</v>
      </c>
      <c r="AP338" s="1">
        <f>IFERROR(__xludf.DUMMYFUNCTION("""COMPUTED_VALUE"""),500.0)</f>
        <v>500</v>
      </c>
      <c r="AQ338" s="1">
        <f>IFERROR(__xludf.DUMMYFUNCTION("""COMPUTED_VALUE"""),2000.0)</f>
        <v>2000</v>
      </c>
      <c r="AR338" s="1">
        <f>IFERROR(__xludf.DUMMYFUNCTION("""COMPUTED_VALUE"""),215.0)</f>
        <v>215</v>
      </c>
      <c r="AS338" s="1">
        <f>IFERROR(__xludf.DUMMYFUNCTION("""COMPUTED_VALUE"""),8103.0)</f>
        <v>8103</v>
      </c>
    </row>
    <row r="339">
      <c r="A339" s="1" t="str">
        <f>IFERROR(__xludf.DUMMYFUNCTION("""COMPUTED_VALUE"""),"TK")</f>
        <v>TK</v>
      </c>
      <c r="B339" s="1"/>
      <c r="C339" s="1"/>
      <c r="D339" s="1">
        <f>IFERROR(__xludf.DUMMYFUNCTION("""COMPUTED_VALUE"""),45000.0)</f>
        <v>45000</v>
      </c>
      <c r="E339" s="1">
        <f>IFERROR(__xludf.DUMMYFUNCTION("""COMPUTED_VALUE"""),100.0)</f>
        <v>100</v>
      </c>
      <c r="F339" s="1">
        <f>IFERROR(__xludf.DUMMYFUNCTION("""COMPUTED_VALUE"""),60000.0)</f>
        <v>60000</v>
      </c>
      <c r="G339" s="1">
        <f>IFERROR(__xludf.DUMMYFUNCTION("""COMPUTED_VALUE"""),100.0)</f>
        <v>100</v>
      </c>
      <c r="H339" s="1"/>
      <c r="I339" s="1"/>
      <c r="J339" s="1">
        <f>IFERROR(__xludf.DUMMYFUNCTION("""COMPUTED_VALUE"""),0.0)</f>
        <v>0</v>
      </c>
      <c r="K339" s="1">
        <f>IFERROR(__xludf.DUMMYFUNCTION("""COMPUTED_VALUE"""),37000.0)</f>
        <v>37000</v>
      </c>
      <c r="L339" s="1"/>
      <c r="M339" s="1"/>
      <c r="N339" s="1">
        <f>IFERROR(__xludf.DUMMYFUNCTION("""COMPUTED_VALUE"""),0.0)</f>
        <v>0</v>
      </c>
      <c r="O339" s="1"/>
      <c r="P339" s="1"/>
      <c r="Q339" s="1">
        <f>IFERROR(__xludf.DUMMYFUNCTION("""COMPUTED_VALUE"""),0.0)</f>
        <v>0</v>
      </c>
      <c r="R339" s="1">
        <f>IFERROR(__xludf.DUMMYFUNCTION("""COMPUTED_VALUE"""),20209.48046875)</f>
        <v>20209.48047</v>
      </c>
      <c r="S339" s="1"/>
      <c r="T339" s="1"/>
      <c r="U339" s="1">
        <f>IFERROR(__xludf.DUMMYFUNCTION("""COMPUTED_VALUE"""),0.0)</f>
        <v>0</v>
      </c>
      <c r="V339" s="1"/>
      <c r="W339" s="1"/>
      <c r="X339" s="1">
        <f>IFERROR(__xludf.DUMMYFUNCTION("""COMPUTED_VALUE"""),0.0)</f>
        <v>0</v>
      </c>
      <c r="Y339" s="1">
        <f>IFERROR(__xludf.DUMMYFUNCTION("""COMPUTED_VALUE"""),43000.0)</f>
        <v>43000</v>
      </c>
      <c r="Z339" s="1">
        <f>IFERROR(__xludf.DUMMYFUNCTION("""COMPUTED_VALUE"""),20.0)</f>
        <v>20</v>
      </c>
      <c r="AA339" s="1">
        <f>IFERROR(__xludf.DUMMYFUNCTION("""COMPUTED_VALUE"""),42000.0)</f>
        <v>42000</v>
      </c>
      <c r="AB339" s="1">
        <f>IFERROR(__xludf.DUMMYFUNCTION("""COMPUTED_VALUE"""),92.0)</f>
        <v>92</v>
      </c>
      <c r="AC339" s="1">
        <f>IFERROR(__xludf.DUMMYFUNCTION("""COMPUTED_VALUE"""),10.0)</f>
        <v>10</v>
      </c>
      <c r="AD339" s="1">
        <f>IFERROR(__xludf.DUMMYFUNCTION("""COMPUTED_VALUE"""),32000.0)</f>
        <v>32000</v>
      </c>
      <c r="AE339" s="1">
        <f>IFERROR(__xludf.DUMMYFUNCTION("""COMPUTED_VALUE"""),53.0)</f>
        <v>53</v>
      </c>
      <c r="AF339" s="1">
        <f>IFERROR(__xludf.DUMMYFUNCTION("""COMPUTED_VALUE"""),20209.48046875)</f>
        <v>20209.48047</v>
      </c>
      <c r="AG339" s="1">
        <f>IFERROR(__xludf.DUMMYFUNCTION("""COMPUTED_VALUE"""),5.0)</f>
        <v>5</v>
      </c>
      <c r="AH339" s="1">
        <f>IFERROR(__xludf.DUMMYFUNCTION("""COMPUTED_VALUE"""),41100.0)</f>
        <v>41100</v>
      </c>
      <c r="AI339" s="1">
        <f>IFERROR(__xludf.DUMMYFUNCTION("""COMPUTED_VALUE"""),5.0)</f>
        <v>5</v>
      </c>
      <c r="AJ339" s="1"/>
      <c r="AK339" s="1"/>
      <c r="AL339" s="1">
        <f>IFERROR(__xludf.DUMMYFUNCTION("""COMPUTED_VALUE"""),0.0)</f>
        <v>0</v>
      </c>
      <c r="AM339" s="1">
        <f>IFERROR(__xludf.DUMMYFUNCTION("""COMPUTED_VALUE"""),39500.0)</f>
        <v>39500</v>
      </c>
      <c r="AN339" s="1">
        <f>IFERROR(__xludf.DUMMYFUNCTION("""COMPUTED_VALUE"""),1.0)</f>
        <v>1</v>
      </c>
      <c r="AO339" s="1">
        <f>IFERROR(__xludf.DUMMYFUNCTION("""COMPUTED_VALUE"""),40000.0)</f>
        <v>40000</v>
      </c>
      <c r="AP339" s="1">
        <f>IFERROR(__xludf.DUMMYFUNCTION("""COMPUTED_VALUE"""),1.0)</f>
        <v>1</v>
      </c>
      <c r="AQ339" s="1"/>
      <c r="AR339" s="1"/>
      <c r="AS339" s="1">
        <f>IFERROR(__xludf.DUMMYFUNCTION("""COMPUTED_VALUE"""),0.0)</f>
        <v>0</v>
      </c>
    </row>
    <row r="340">
      <c r="A340" s="1" t="str">
        <f>IFERROR(__xludf.DUMMYFUNCTION("""COMPUTED_VALUE"""),"TOR")</f>
        <v>TOR</v>
      </c>
      <c r="B340" s="1"/>
      <c r="C340" s="1"/>
      <c r="D340" s="1">
        <f>IFERROR(__xludf.DUMMYFUNCTION("""COMPUTED_VALUE"""),280337.15625)</f>
        <v>280337.1563</v>
      </c>
      <c r="E340" s="1"/>
      <c r="F340" s="1"/>
      <c r="G340" s="1">
        <f>IFERROR(__xludf.DUMMYFUNCTION("""COMPUTED_VALUE"""),0.0)</f>
        <v>0</v>
      </c>
      <c r="H340" s="1"/>
      <c r="I340" s="1"/>
      <c r="J340" s="1">
        <f>IFERROR(__xludf.DUMMYFUNCTION("""COMPUTED_VALUE"""),0.0)</f>
        <v>0</v>
      </c>
      <c r="K340" s="1">
        <f>IFERROR(__xludf.DUMMYFUNCTION("""COMPUTED_VALUE"""),280337.15625)</f>
        <v>280337.1563</v>
      </c>
      <c r="L340" s="1"/>
      <c r="M340" s="1"/>
      <c r="N340" s="1">
        <f>IFERROR(__xludf.DUMMYFUNCTION("""COMPUTED_VALUE"""),0.0)</f>
        <v>0</v>
      </c>
      <c r="O340" s="1"/>
      <c r="P340" s="1"/>
      <c r="Q340" s="1">
        <f>IFERROR(__xludf.DUMMYFUNCTION("""COMPUTED_VALUE"""),0.0)</f>
        <v>0</v>
      </c>
      <c r="R340" s="1">
        <f>IFERROR(__xludf.DUMMYFUNCTION("""COMPUTED_VALUE"""),280337.15625)</f>
        <v>280337.1563</v>
      </c>
      <c r="S340" s="1"/>
      <c r="T340" s="1"/>
      <c r="U340" s="1">
        <f>IFERROR(__xludf.DUMMYFUNCTION("""COMPUTED_VALUE"""),0.0)</f>
        <v>0</v>
      </c>
      <c r="V340" s="1"/>
      <c r="W340" s="1"/>
      <c r="X340" s="1">
        <f>IFERROR(__xludf.DUMMYFUNCTION("""COMPUTED_VALUE"""),0.0)</f>
        <v>0</v>
      </c>
      <c r="Y340" s="1">
        <f>IFERROR(__xludf.DUMMYFUNCTION("""COMPUTED_VALUE"""),280337.15625)</f>
        <v>280337.1563</v>
      </c>
      <c r="Z340" s="1"/>
      <c r="AA340" s="1"/>
      <c r="AB340" s="1">
        <f>IFERROR(__xludf.DUMMYFUNCTION("""COMPUTED_VALUE"""),0.0)</f>
        <v>0</v>
      </c>
      <c r="AC340" s="1"/>
      <c r="AD340" s="1"/>
      <c r="AE340" s="1">
        <f>IFERROR(__xludf.DUMMYFUNCTION("""COMPUTED_VALUE"""),0.0)</f>
        <v>0</v>
      </c>
      <c r="AF340" s="1">
        <f>IFERROR(__xludf.DUMMYFUNCTION("""COMPUTED_VALUE"""),280337.15625)</f>
        <v>280337.1563</v>
      </c>
      <c r="AG340" s="1"/>
      <c r="AH340" s="1"/>
      <c r="AI340" s="1">
        <f>IFERROR(__xludf.DUMMYFUNCTION("""COMPUTED_VALUE"""),0.0)</f>
        <v>0</v>
      </c>
      <c r="AJ340" s="1"/>
      <c r="AK340" s="1"/>
      <c r="AL340" s="1">
        <f>IFERROR(__xludf.DUMMYFUNCTION("""COMPUTED_VALUE"""),0.0)</f>
        <v>0</v>
      </c>
      <c r="AM340" s="1">
        <f>IFERROR(__xludf.DUMMYFUNCTION("""COMPUTED_VALUE"""),280337.15625)</f>
        <v>280337.1563</v>
      </c>
      <c r="AN340" s="1"/>
      <c r="AO340" s="1"/>
      <c r="AP340" s="1">
        <f>IFERROR(__xludf.DUMMYFUNCTION("""COMPUTED_VALUE"""),0.0)</f>
        <v>0</v>
      </c>
      <c r="AQ340" s="1"/>
      <c r="AR340" s="1"/>
      <c r="AS340" s="1">
        <f>IFERROR(__xludf.DUMMYFUNCTION("""COMPUTED_VALUE"""),0.0)</f>
        <v>0</v>
      </c>
    </row>
    <row r="341">
      <c r="A341" s="1" t="str">
        <f>IFERROR(__xludf.DUMMYFUNCTION("""COMPUTED_VALUE"""),"TPU")</f>
        <v>TPU</v>
      </c>
      <c r="B341" s="1"/>
      <c r="C341" s="1"/>
      <c r="D341" s="1">
        <f>IFERROR(__xludf.DUMMYFUNCTION("""COMPUTED_VALUE"""),3000.0)</f>
        <v>3000</v>
      </c>
      <c r="E341" s="1">
        <f>IFERROR(__xludf.DUMMYFUNCTION("""COMPUTED_VALUE"""),86.0)</f>
        <v>86</v>
      </c>
      <c r="F341" s="1">
        <f>IFERROR(__xludf.DUMMYFUNCTION("""COMPUTED_VALUE"""),3280.0)</f>
        <v>3280</v>
      </c>
      <c r="G341" s="1">
        <f>IFERROR(__xludf.DUMMYFUNCTION("""COMPUTED_VALUE"""),922.0)</f>
        <v>922</v>
      </c>
      <c r="H341" s="1">
        <f>IFERROR(__xludf.DUMMYFUNCTION("""COMPUTED_VALUE"""),100.0)</f>
        <v>100</v>
      </c>
      <c r="I341" s="1">
        <f>IFERROR(__xludf.DUMMYFUNCTION("""COMPUTED_VALUE"""),2000.0)</f>
        <v>2000</v>
      </c>
      <c r="J341" s="1">
        <f>IFERROR(__xludf.DUMMYFUNCTION("""COMPUTED_VALUE"""),230.0)</f>
        <v>230</v>
      </c>
      <c r="K341" s="1">
        <f>IFERROR(__xludf.DUMMYFUNCTION("""COMPUTED_VALUE"""),3990.0)</f>
        <v>3990</v>
      </c>
      <c r="L341" s="1">
        <f>IFERROR(__xludf.DUMMYFUNCTION("""COMPUTED_VALUE"""),80.0)</f>
        <v>80</v>
      </c>
      <c r="M341" s="1">
        <f>IFERROR(__xludf.DUMMYFUNCTION("""COMPUTED_VALUE"""),3990.0)</f>
        <v>3990</v>
      </c>
      <c r="N341" s="1">
        <f>IFERROR(__xludf.DUMMYFUNCTION("""COMPUTED_VALUE"""),320.0)</f>
        <v>320</v>
      </c>
      <c r="O341" s="1"/>
      <c r="P341" s="1"/>
      <c r="Q341" s="1">
        <f>IFERROR(__xludf.DUMMYFUNCTION("""COMPUTED_VALUE"""),0.0)</f>
        <v>0</v>
      </c>
      <c r="R341" s="1">
        <f>IFERROR(__xludf.DUMMYFUNCTION("""COMPUTED_VALUE"""),1173.27001953125)</f>
        <v>1173.27002</v>
      </c>
      <c r="S341" s="1"/>
      <c r="T341" s="1"/>
      <c r="U341" s="1">
        <f>IFERROR(__xludf.DUMMYFUNCTION("""COMPUTED_VALUE"""),0.0)</f>
        <v>0</v>
      </c>
      <c r="V341" s="1"/>
      <c r="W341" s="1"/>
      <c r="X341" s="1">
        <f>IFERROR(__xludf.DUMMYFUNCTION("""COMPUTED_VALUE"""),0.0)</f>
        <v>0</v>
      </c>
      <c r="Y341" s="1">
        <f>IFERROR(__xludf.DUMMYFUNCTION("""COMPUTED_VALUE"""),3200.0)</f>
        <v>3200</v>
      </c>
      <c r="Z341" s="1">
        <f>IFERROR(__xludf.DUMMYFUNCTION("""COMPUTED_VALUE"""),18.0)</f>
        <v>18</v>
      </c>
      <c r="AA341" s="1">
        <f>IFERROR(__xludf.DUMMYFUNCTION("""COMPUTED_VALUE"""),3490.0)</f>
        <v>3490</v>
      </c>
      <c r="AB341" s="1">
        <f>IFERROR(__xludf.DUMMYFUNCTION("""COMPUTED_VALUE"""),1906.0)</f>
        <v>1906</v>
      </c>
      <c r="AC341" s="1">
        <f>IFERROR(__xludf.DUMMYFUNCTION("""COMPUTED_VALUE"""),30.0)</f>
        <v>30</v>
      </c>
      <c r="AD341" s="1">
        <f>IFERROR(__xludf.DUMMYFUNCTION("""COMPUTED_VALUE"""),3200.0)</f>
        <v>3200</v>
      </c>
      <c r="AE341" s="1">
        <f>IFERROR(__xludf.DUMMYFUNCTION("""COMPUTED_VALUE"""),480.0)</f>
        <v>480</v>
      </c>
      <c r="AF341" s="1">
        <f>IFERROR(__xludf.DUMMYFUNCTION("""COMPUTED_VALUE"""),1000.0)</f>
        <v>1000</v>
      </c>
      <c r="AG341" s="1">
        <f>IFERROR(__xludf.DUMMYFUNCTION("""COMPUTED_VALUE"""),5.0)</f>
        <v>5</v>
      </c>
      <c r="AH341" s="1">
        <f>IFERROR(__xludf.DUMMYFUNCTION("""COMPUTED_VALUE"""),4000.0)</f>
        <v>4000</v>
      </c>
      <c r="AI341" s="1">
        <f>IFERROR(__xludf.DUMMYFUNCTION("""COMPUTED_VALUE"""),5.0)</f>
        <v>5</v>
      </c>
      <c r="AJ341" s="1"/>
      <c r="AK341" s="1"/>
      <c r="AL341" s="1">
        <f>IFERROR(__xludf.DUMMYFUNCTION("""COMPUTED_VALUE"""),0.0)</f>
        <v>0</v>
      </c>
      <c r="AM341" s="1">
        <f>IFERROR(__xludf.DUMMYFUNCTION("""COMPUTED_VALUE"""),3990.0)</f>
        <v>3990</v>
      </c>
      <c r="AN341" s="1">
        <f>IFERROR(__xludf.DUMMYFUNCTION("""COMPUTED_VALUE"""),421.0)</f>
        <v>421</v>
      </c>
      <c r="AO341" s="1">
        <f>IFERROR(__xludf.DUMMYFUNCTION("""COMPUTED_VALUE"""),3990.0)</f>
        <v>3990</v>
      </c>
      <c r="AP341" s="1">
        <f>IFERROR(__xludf.DUMMYFUNCTION("""COMPUTED_VALUE"""),421.0)</f>
        <v>421</v>
      </c>
      <c r="AQ341" s="1"/>
      <c r="AR341" s="1"/>
      <c r="AS341" s="1">
        <f>IFERROR(__xludf.DUMMYFUNCTION("""COMPUTED_VALUE"""),0.0)</f>
        <v>0</v>
      </c>
    </row>
    <row r="342">
      <c r="A342" s="1" t="str">
        <f>IFERROR(__xludf.DUMMYFUNCTION("""COMPUTED_VALUE"""),"TRA")</f>
        <v>TRA</v>
      </c>
      <c r="B342" s="1"/>
      <c r="C342" s="1"/>
      <c r="D342" s="1">
        <f>IFERROR(__xludf.DUMMYFUNCTION("""COMPUTED_VALUE"""),2300.0)</f>
        <v>2300</v>
      </c>
      <c r="E342" s="1">
        <f>IFERROR(__xludf.DUMMYFUNCTION("""COMPUTED_VALUE"""),3.0)</f>
        <v>3</v>
      </c>
      <c r="F342" s="1">
        <f>IFERROR(__xludf.DUMMYFUNCTION("""COMPUTED_VALUE"""),2370.0)</f>
        <v>2370</v>
      </c>
      <c r="G342" s="1">
        <f>IFERROR(__xludf.DUMMYFUNCTION("""COMPUTED_VALUE"""),3991.0)</f>
        <v>3991</v>
      </c>
      <c r="H342" s="1">
        <f>IFERROR(__xludf.DUMMYFUNCTION("""COMPUTED_VALUE"""),100.0)</f>
        <v>100</v>
      </c>
      <c r="I342" s="1">
        <f>IFERROR(__xludf.DUMMYFUNCTION("""COMPUTED_VALUE"""),2200.0)</f>
        <v>2200</v>
      </c>
      <c r="J342" s="1">
        <f>IFERROR(__xludf.DUMMYFUNCTION("""COMPUTED_VALUE"""),300.0)</f>
        <v>300</v>
      </c>
      <c r="K342" s="1">
        <f>IFERROR(__xludf.DUMMYFUNCTION("""COMPUTED_VALUE"""),2256.34008789062)</f>
        <v>2256.340088</v>
      </c>
      <c r="L342" s="1">
        <f>IFERROR(__xludf.DUMMYFUNCTION("""COMPUTED_VALUE"""),100.0)</f>
        <v>100</v>
      </c>
      <c r="M342" s="1">
        <f>IFERROR(__xludf.DUMMYFUNCTION("""COMPUTED_VALUE"""),2300.0)</f>
        <v>2300</v>
      </c>
      <c r="N342" s="1">
        <f>IFERROR(__xludf.DUMMYFUNCTION("""COMPUTED_VALUE"""),170.0)</f>
        <v>170</v>
      </c>
      <c r="O342" s="1">
        <f>IFERROR(__xludf.DUMMYFUNCTION("""COMPUTED_VALUE"""),98.0)</f>
        <v>98</v>
      </c>
      <c r="P342" s="1">
        <f>IFERROR(__xludf.DUMMYFUNCTION("""COMPUTED_VALUE"""),1840.0)</f>
        <v>1840</v>
      </c>
      <c r="Q342" s="1">
        <f>IFERROR(__xludf.DUMMYFUNCTION("""COMPUTED_VALUE"""),148.0)</f>
        <v>148</v>
      </c>
      <c r="R342" s="1">
        <f>IFERROR(__xludf.DUMMYFUNCTION("""COMPUTED_VALUE"""),838.679992675781)</f>
        <v>838.6799927</v>
      </c>
      <c r="S342" s="1"/>
      <c r="T342" s="1"/>
      <c r="U342" s="1">
        <f>IFERROR(__xludf.DUMMYFUNCTION("""COMPUTED_VALUE"""),0.0)</f>
        <v>0</v>
      </c>
      <c r="V342" s="1"/>
      <c r="W342" s="1"/>
      <c r="X342" s="1">
        <f>IFERROR(__xludf.DUMMYFUNCTION("""COMPUTED_VALUE"""),0.0)</f>
        <v>0</v>
      </c>
      <c r="Y342" s="1">
        <f>IFERROR(__xludf.DUMMYFUNCTION("""COMPUTED_VALUE"""),2296.5)</f>
        <v>2296.5</v>
      </c>
      <c r="Z342" s="1">
        <f>IFERROR(__xludf.DUMMYFUNCTION("""COMPUTED_VALUE"""),150.0)</f>
        <v>150</v>
      </c>
      <c r="AA342" s="1">
        <f>IFERROR(__xludf.DUMMYFUNCTION("""COMPUTED_VALUE"""),2300.0)</f>
        <v>2300</v>
      </c>
      <c r="AB342" s="1">
        <f>IFERROR(__xludf.DUMMYFUNCTION("""COMPUTED_VALUE"""),867.0)</f>
        <v>867</v>
      </c>
      <c r="AC342" s="1">
        <f>IFERROR(__xludf.DUMMYFUNCTION("""COMPUTED_VALUE"""),98.0)</f>
        <v>98</v>
      </c>
      <c r="AD342" s="1">
        <f>IFERROR(__xludf.DUMMYFUNCTION("""COMPUTED_VALUE"""),2000.0)</f>
        <v>2000</v>
      </c>
      <c r="AE342" s="1">
        <f>IFERROR(__xludf.DUMMYFUNCTION("""COMPUTED_VALUE"""),529.0)</f>
        <v>529</v>
      </c>
      <c r="AF342" s="1">
        <f>IFERROR(__xludf.DUMMYFUNCTION("""COMPUTED_VALUE"""),838.679992675781)</f>
        <v>838.6799927</v>
      </c>
      <c r="AG342" s="1">
        <f>IFERROR(__xludf.DUMMYFUNCTION("""COMPUTED_VALUE"""),10.0)</f>
        <v>10</v>
      </c>
      <c r="AH342" s="1">
        <f>IFERROR(__xludf.DUMMYFUNCTION("""COMPUTED_VALUE"""),2000.0)</f>
        <v>2000</v>
      </c>
      <c r="AI342" s="1">
        <f>IFERROR(__xludf.DUMMYFUNCTION("""COMPUTED_VALUE"""),10.0)</f>
        <v>10</v>
      </c>
      <c r="AJ342" s="1"/>
      <c r="AK342" s="1"/>
      <c r="AL342" s="1">
        <f>IFERROR(__xludf.DUMMYFUNCTION("""COMPUTED_VALUE"""),0.0)</f>
        <v>0</v>
      </c>
      <c r="AM342" s="1">
        <f>IFERROR(__xludf.DUMMYFUNCTION("""COMPUTED_VALUE"""),2440.0)</f>
        <v>2440</v>
      </c>
      <c r="AN342" s="1">
        <f>IFERROR(__xludf.DUMMYFUNCTION("""COMPUTED_VALUE"""),23.0)</f>
        <v>23</v>
      </c>
      <c r="AO342" s="1">
        <f>IFERROR(__xludf.DUMMYFUNCTION("""COMPUTED_VALUE"""),2400.0)</f>
        <v>2400</v>
      </c>
      <c r="AP342" s="1">
        <f>IFERROR(__xludf.DUMMYFUNCTION("""COMPUTED_VALUE"""),78.0)</f>
        <v>78</v>
      </c>
      <c r="AQ342" s="1">
        <f>IFERROR(__xludf.DUMMYFUNCTION("""COMPUTED_VALUE"""),14.0)</f>
        <v>14</v>
      </c>
      <c r="AR342" s="1">
        <f>IFERROR(__xludf.DUMMYFUNCTION("""COMPUTED_VALUE"""),1800.0)</f>
        <v>1800</v>
      </c>
      <c r="AS342" s="1">
        <f>IFERROR(__xludf.DUMMYFUNCTION("""COMPUTED_VALUE"""),14.0)</f>
        <v>14</v>
      </c>
    </row>
    <row r="343">
      <c r="A343" s="1" t="str">
        <f>IFERROR(__xludf.DUMMYFUNCTION("""COMPUTED_VALUE"""),"TRN")</f>
        <v>TRN</v>
      </c>
      <c r="B343" s="1"/>
      <c r="C343" s="1"/>
      <c r="D343" s="1">
        <f>IFERROR(__xludf.DUMMYFUNCTION("""COMPUTED_VALUE"""),413.660003662109)</f>
        <v>413.6600037</v>
      </c>
      <c r="E343" s="1">
        <f>IFERROR(__xludf.DUMMYFUNCTION("""COMPUTED_VALUE"""),1000.0)</f>
        <v>1000</v>
      </c>
      <c r="F343" s="1">
        <f>IFERROR(__xludf.DUMMYFUNCTION("""COMPUTED_VALUE"""),530.0)</f>
        <v>530</v>
      </c>
      <c r="G343" s="1">
        <f>IFERROR(__xludf.DUMMYFUNCTION("""COMPUTED_VALUE"""),33582.0)</f>
        <v>33582</v>
      </c>
      <c r="H343" s="1">
        <f>IFERROR(__xludf.DUMMYFUNCTION("""COMPUTED_VALUE"""),1000.0)</f>
        <v>1000</v>
      </c>
      <c r="I343" s="1">
        <f>IFERROR(__xludf.DUMMYFUNCTION("""COMPUTED_VALUE"""),420.0)</f>
        <v>420</v>
      </c>
      <c r="J343" s="1">
        <f>IFERROR(__xludf.DUMMYFUNCTION("""COMPUTED_VALUE"""),108368.0)</f>
        <v>108368</v>
      </c>
      <c r="K343" s="1">
        <f>IFERROR(__xludf.DUMMYFUNCTION("""COMPUTED_VALUE"""),470.0)</f>
        <v>470</v>
      </c>
      <c r="L343" s="1">
        <f>IFERROR(__xludf.DUMMYFUNCTION("""COMPUTED_VALUE"""),127.0)</f>
        <v>127</v>
      </c>
      <c r="M343" s="1">
        <f>IFERROR(__xludf.DUMMYFUNCTION("""COMPUTED_VALUE"""),470.0)</f>
        <v>470</v>
      </c>
      <c r="N343" s="1">
        <f>IFERROR(__xludf.DUMMYFUNCTION("""COMPUTED_VALUE"""),32061.0)</f>
        <v>32061</v>
      </c>
      <c r="O343" s="1">
        <f>IFERROR(__xludf.DUMMYFUNCTION("""COMPUTED_VALUE"""),22.0)</f>
        <v>22</v>
      </c>
      <c r="P343" s="1">
        <f>IFERROR(__xludf.DUMMYFUNCTION("""COMPUTED_VALUE"""),455.0)</f>
        <v>455</v>
      </c>
      <c r="Q343" s="1">
        <f>IFERROR(__xludf.DUMMYFUNCTION("""COMPUTED_VALUE"""),111673.0)</f>
        <v>111673</v>
      </c>
      <c r="R343" s="1">
        <f>IFERROR(__xludf.DUMMYFUNCTION("""COMPUTED_VALUE"""),600.0)</f>
        <v>600</v>
      </c>
      <c r="S343" s="1"/>
      <c r="T343" s="1"/>
      <c r="U343" s="1">
        <f>IFERROR(__xludf.DUMMYFUNCTION("""COMPUTED_VALUE"""),0.0)</f>
        <v>0</v>
      </c>
      <c r="V343" s="1"/>
      <c r="W343" s="1"/>
      <c r="X343" s="1">
        <f>IFERROR(__xludf.DUMMYFUNCTION("""COMPUTED_VALUE"""),0.0)</f>
        <v>0</v>
      </c>
      <c r="Y343" s="1">
        <f>IFERROR(__xludf.DUMMYFUNCTION("""COMPUTED_VALUE"""),497.0)</f>
        <v>497</v>
      </c>
      <c r="Z343" s="1">
        <f>IFERROR(__xludf.DUMMYFUNCTION("""COMPUTED_VALUE"""),4300.0)</f>
        <v>4300</v>
      </c>
      <c r="AA343" s="1">
        <f>IFERROR(__xludf.DUMMYFUNCTION("""COMPUTED_VALUE"""),497.0)</f>
        <v>497</v>
      </c>
      <c r="AB343" s="1">
        <f>IFERROR(__xludf.DUMMYFUNCTION("""COMPUTED_VALUE"""),35145.0)</f>
        <v>35145</v>
      </c>
      <c r="AC343" s="1">
        <f>IFERROR(__xludf.DUMMYFUNCTION("""COMPUTED_VALUE"""),2961.0)</f>
        <v>2961</v>
      </c>
      <c r="AD343" s="1">
        <f>IFERROR(__xludf.DUMMYFUNCTION("""COMPUTED_VALUE"""),446.0)</f>
        <v>446</v>
      </c>
      <c r="AE343" s="1">
        <f>IFERROR(__xludf.DUMMYFUNCTION("""COMPUTED_VALUE"""),117735.0)</f>
        <v>117735</v>
      </c>
      <c r="AF343" s="1">
        <f>IFERROR(__xludf.DUMMYFUNCTION("""COMPUTED_VALUE"""),50.0)</f>
        <v>50</v>
      </c>
      <c r="AG343" s="1">
        <f>IFERROR(__xludf.DUMMYFUNCTION("""COMPUTED_VALUE"""),200.0)</f>
        <v>200</v>
      </c>
      <c r="AH343" s="1">
        <f>IFERROR(__xludf.DUMMYFUNCTION("""COMPUTED_VALUE"""),515.0)</f>
        <v>515</v>
      </c>
      <c r="AI343" s="1">
        <f>IFERROR(__xludf.DUMMYFUNCTION("""COMPUTED_VALUE"""),200.0)</f>
        <v>200</v>
      </c>
      <c r="AJ343" s="1"/>
      <c r="AK343" s="1"/>
      <c r="AL343" s="1">
        <f>IFERROR(__xludf.DUMMYFUNCTION("""COMPUTED_VALUE"""),0.0)</f>
        <v>0</v>
      </c>
      <c r="AM343" s="1">
        <f>IFERROR(__xludf.DUMMYFUNCTION("""COMPUTED_VALUE"""),446.910003662109)</f>
        <v>446.9100037</v>
      </c>
      <c r="AN343" s="1">
        <f>IFERROR(__xludf.DUMMYFUNCTION("""COMPUTED_VALUE"""),2110.0)</f>
        <v>2110</v>
      </c>
      <c r="AO343" s="1">
        <f>IFERROR(__xludf.DUMMYFUNCTION("""COMPUTED_VALUE"""),460.0)</f>
        <v>460</v>
      </c>
      <c r="AP343" s="1">
        <f>IFERROR(__xludf.DUMMYFUNCTION("""COMPUTED_VALUE"""),16363.0)</f>
        <v>16363</v>
      </c>
      <c r="AQ343" s="1">
        <f>IFERROR(__xludf.DUMMYFUNCTION("""COMPUTED_VALUE"""),300.0)</f>
        <v>300</v>
      </c>
      <c r="AR343" s="1">
        <f>IFERROR(__xludf.DUMMYFUNCTION("""COMPUTED_VALUE"""),401.0)</f>
        <v>401</v>
      </c>
      <c r="AS343" s="1">
        <f>IFERROR(__xludf.DUMMYFUNCTION("""COMPUTED_VALUE"""),112358.0)</f>
        <v>112358</v>
      </c>
    </row>
    <row r="344">
      <c r="A344" s="1" t="str">
        <f>IFERROR(__xludf.DUMMYFUNCTION("""COMPUTED_VALUE"""),"TRS")</f>
        <v>TRS</v>
      </c>
      <c r="B344" s="1"/>
      <c r="C344" s="1"/>
      <c r="D344" s="1">
        <f>IFERROR(__xludf.DUMMYFUNCTION("""COMPUTED_VALUE"""),249000.0)</f>
        <v>249000</v>
      </c>
      <c r="E344" s="1">
        <f>IFERROR(__xludf.DUMMYFUNCTION("""COMPUTED_VALUE"""),1.0)</f>
        <v>1</v>
      </c>
      <c r="F344" s="1">
        <f>IFERROR(__xludf.DUMMYFUNCTION("""COMPUTED_VALUE"""),249000.0)</f>
        <v>249000</v>
      </c>
      <c r="G344" s="1">
        <f>IFERROR(__xludf.DUMMYFUNCTION("""COMPUTED_VALUE"""),6.0)</f>
        <v>6</v>
      </c>
      <c r="H344" s="1">
        <f>IFERROR(__xludf.DUMMYFUNCTION("""COMPUTED_VALUE"""),100.0)</f>
        <v>100</v>
      </c>
      <c r="I344" s="1">
        <f>IFERROR(__xludf.DUMMYFUNCTION("""COMPUTED_VALUE"""),195000.0)</f>
        <v>195000</v>
      </c>
      <c r="J344" s="1">
        <f>IFERROR(__xludf.DUMMYFUNCTION("""COMPUTED_VALUE"""),120.0)</f>
        <v>120</v>
      </c>
      <c r="K344" s="1">
        <f>IFERROR(__xludf.DUMMYFUNCTION("""COMPUTED_VALUE"""),250000.0)</f>
        <v>250000</v>
      </c>
      <c r="L344" s="1"/>
      <c r="M344" s="1"/>
      <c r="N344" s="1">
        <f>IFERROR(__xludf.DUMMYFUNCTION("""COMPUTED_VALUE"""),0.0)</f>
        <v>0</v>
      </c>
      <c r="O344" s="1">
        <f>IFERROR(__xludf.DUMMYFUNCTION("""COMPUTED_VALUE"""),50.0)</f>
        <v>50</v>
      </c>
      <c r="P344" s="1">
        <f>IFERROR(__xludf.DUMMYFUNCTION("""COMPUTED_VALUE"""),195000.0)</f>
        <v>195000</v>
      </c>
      <c r="Q344" s="1">
        <f>IFERROR(__xludf.DUMMYFUNCTION("""COMPUTED_VALUE"""),51.0)</f>
        <v>51</v>
      </c>
      <c r="R344" s="1">
        <f>IFERROR(__xludf.DUMMYFUNCTION("""COMPUTED_VALUE"""),100147.40625)</f>
        <v>100147.4063</v>
      </c>
      <c r="S344" s="1"/>
      <c r="T344" s="1"/>
      <c r="U344" s="1">
        <f>IFERROR(__xludf.DUMMYFUNCTION("""COMPUTED_VALUE"""),0.0)</f>
        <v>0</v>
      </c>
      <c r="V344" s="1"/>
      <c r="W344" s="1"/>
      <c r="X344" s="1">
        <f>IFERROR(__xludf.DUMMYFUNCTION("""COMPUTED_VALUE"""),0.0)</f>
        <v>0</v>
      </c>
      <c r="Y344" s="1">
        <f>IFERROR(__xludf.DUMMYFUNCTION("""COMPUTED_VALUE"""),195000.0)</f>
        <v>195000</v>
      </c>
      <c r="Z344" s="1">
        <f>IFERROR(__xludf.DUMMYFUNCTION("""COMPUTED_VALUE"""),1.0)</f>
        <v>1</v>
      </c>
      <c r="AA344" s="1">
        <f>IFERROR(__xludf.DUMMYFUNCTION("""COMPUTED_VALUE"""),239000.0)</f>
        <v>239000</v>
      </c>
      <c r="AB344" s="1">
        <f>IFERROR(__xludf.DUMMYFUNCTION("""COMPUTED_VALUE"""),4.0)</f>
        <v>4</v>
      </c>
      <c r="AC344" s="1">
        <f>IFERROR(__xludf.DUMMYFUNCTION("""COMPUTED_VALUE"""),99.0)</f>
        <v>99</v>
      </c>
      <c r="AD344" s="1">
        <f>IFERROR(__xludf.DUMMYFUNCTION("""COMPUTED_VALUE"""),195000.0)</f>
        <v>195000</v>
      </c>
      <c r="AE344" s="1">
        <f>IFERROR(__xludf.DUMMYFUNCTION("""COMPUTED_VALUE"""),100.0)</f>
        <v>100</v>
      </c>
      <c r="AF344" s="1">
        <f>IFERROR(__xludf.DUMMYFUNCTION("""COMPUTED_VALUE"""),100147.40625)</f>
        <v>100147.4063</v>
      </c>
      <c r="AG344" s="1"/>
      <c r="AH344" s="1"/>
      <c r="AI344" s="1">
        <f>IFERROR(__xludf.DUMMYFUNCTION("""COMPUTED_VALUE"""),0.0)</f>
        <v>0</v>
      </c>
      <c r="AJ344" s="1"/>
      <c r="AK344" s="1"/>
      <c r="AL344" s="1">
        <f>IFERROR(__xludf.DUMMYFUNCTION("""COMPUTED_VALUE"""),0.0)</f>
        <v>0</v>
      </c>
      <c r="AM344" s="1">
        <f>IFERROR(__xludf.DUMMYFUNCTION("""COMPUTED_VALUE"""),100147.40625)</f>
        <v>100147.4063</v>
      </c>
      <c r="AN344" s="1"/>
      <c r="AO344" s="1"/>
      <c r="AP344" s="1">
        <f>IFERROR(__xludf.DUMMYFUNCTION("""COMPUTED_VALUE"""),0.0)</f>
        <v>0</v>
      </c>
      <c r="AQ344" s="1"/>
      <c r="AR344" s="1"/>
      <c r="AS344" s="1">
        <f>IFERROR(__xludf.DUMMYFUNCTION("""COMPUTED_VALUE"""),0.0)</f>
        <v>0</v>
      </c>
    </row>
    <row r="345">
      <c r="A345" s="1" t="str">
        <f>IFERROR(__xludf.DUMMYFUNCTION("""COMPUTED_VALUE"""),"TRU")</f>
        <v>TRU</v>
      </c>
      <c r="B345" s="1"/>
      <c r="C345" s="1"/>
      <c r="D345" s="1">
        <f>IFERROR(__xludf.DUMMYFUNCTION("""COMPUTED_VALUE"""),499.0)</f>
        <v>499</v>
      </c>
      <c r="E345" s="1">
        <f>IFERROR(__xludf.DUMMYFUNCTION("""COMPUTED_VALUE"""),44.0)</f>
        <v>44</v>
      </c>
      <c r="F345" s="1">
        <f>IFERROR(__xludf.DUMMYFUNCTION("""COMPUTED_VALUE"""),499.0)</f>
        <v>499</v>
      </c>
      <c r="G345" s="1">
        <f>IFERROR(__xludf.DUMMYFUNCTION("""COMPUTED_VALUE"""),27307.0)</f>
        <v>27307</v>
      </c>
      <c r="H345" s="1">
        <f>IFERROR(__xludf.DUMMYFUNCTION("""COMPUTED_VALUE"""),8.0)</f>
        <v>8</v>
      </c>
      <c r="I345" s="1">
        <f>IFERROR(__xludf.DUMMYFUNCTION("""COMPUTED_VALUE"""),471.0)</f>
        <v>471</v>
      </c>
      <c r="J345" s="1">
        <f>IFERROR(__xludf.DUMMYFUNCTION("""COMPUTED_VALUE"""),27820.0)</f>
        <v>27820</v>
      </c>
      <c r="K345" s="1">
        <f>IFERROR(__xludf.DUMMYFUNCTION("""COMPUTED_VALUE"""),600.0)</f>
        <v>600</v>
      </c>
      <c r="L345" s="1">
        <f>IFERROR(__xludf.DUMMYFUNCTION("""COMPUTED_VALUE"""),92.0)</f>
        <v>92</v>
      </c>
      <c r="M345" s="1">
        <f>IFERROR(__xludf.DUMMYFUNCTION("""COMPUTED_VALUE"""),600.0)</f>
        <v>600</v>
      </c>
      <c r="N345" s="1">
        <f>IFERROR(__xludf.DUMMYFUNCTION("""COMPUTED_VALUE"""),5758.0)</f>
        <v>5758</v>
      </c>
      <c r="O345" s="1">
        <f>IFERROR(__xludf.DUMMYFUNCTION("""COMPUTED_VALUE"""),70.0)</f>
        <v>70</v>
      </c>
      <c r="P345" s="1">
        <f>IFERROR(__xludf.DUMMYFUNCTION("""COMPUTED_VALUE"""),503.0)</f>
        <v>503</v>
      </c>
      <c r="Q345" s="1">
        <f>IFERROR(__xludf.DUMMYFUNCTION("""COMPUTED_VALUE"""),4225.0)</f>
        <v>4225</v>
      </c>
      <c r="R345" s="1">
        <f>IFERROR(__xludf.DUMMYFUNCTION("""COMPUTED_VALUE"""),600.0)</f>
        <v>600</v>
      </c>
      <c r="S345" s="1">
        <f>IFERROR(__xludf.DUMMYFUNCTION("""COMPUTED_VALUE"""),19.0)</f>
        <v>19</v>
      </c>
      <c r="T345" s="1">
        <f>IFERROR(__xludf.DUMMYFUNCTION("""COMPUTED_VALUE"""),600.0)</f>
        <v>600</v>
      </c>
      <c r="U345" s="1">
        <f>IFERROR(__xludf.DUMMYFUNCTION("""COMPUTED_VALUE"""),319.0)</f>
        <v>319</v>
      </c>
      <c r="V345" s="1"/>
      <c r="W345" s="1"/>
      <c r="X345" s="1">
        <f>IFERROR(__xludf.DUMMYFUNCTION("""COMPUTED_VALUE"""),0.0)</f>
        <v>0</v>
      </c>
      <c r="Y345" s="1">
        <f>IFERROR(__xludf.DUMMYFUNCTION("""COMPUTED_VALUE"""),555.0)</f>
        <v>555</v>
      </c>
      <c r="Z345" s="1">
        <f>IFERROR(__xludf.DUMMYFUNCTION("""COMPUTED_VALUE"""),347.0)</f>
        <v>347</v>
      </c>
      <c r="AA345" s="1">
        <f>IFERROR(__xludf.DUMMYFUNCTION("""COMPUTED_VALUE"""),555.0)</f>
        <v>555</v>
      </c>
      <c r="AB345" s="1">
        <f>IFERROR(__xludf.DUMMYFUNCTION("""COMPUTED_VALUE"""),16476.0)</f>
        <v>16476</v>
      </c>
      <c r="AC345" s="1">
        <f>IFERROR(__xludf.DUMMYFUNCTION("""COMPUTED_VALUE"""),1165.0)</f>
        <v>1165</v>
      </c>
      <c r="AD345" s="1">
        <f>IFERROR(__xludf.DUMMYFUNCTION("""COMPUTED_VALUE"""),475.0)</f>
        <v>475</v>
      </c>
      <c r="AE345" s="1">
        <f>IFERROR(__xludf.DUMMYFUNCTION("""COMPUTED_VALUE"""),18745.0)</f>
        <v>18745</v>
      </c>
      <c r="AF345" s="1">
        <f>IFERROR(__xludf.DUMMYFUNCTION("""COMPUTED_VALUE"""),580.0)</f>
        <v>580</v>
      </c>
      <c r="AG345" s="1">
        <f>IFERROR(__xludf.DUMMYFUNCTION("""COMPUTED_VALUE"""),270.0)</f>
        <v>270</v>
      </c>
      <c r="AH345" s="1">
        <f>IFERROR(__xludf.DUMMYFUNCTION("""COMPUTED_VALUE"""),580.0)</f>
        <v>580</v>
      </c>
      <c r="AI345" s="1">
        <f>IFERROR(__xludf.DUMMYFUNCTION("""COMPUTED_VALUE"""),1223.0)</f>
        <v>1223</v>
      </c>
      <c r="AJ345" s="1"/>
      <c r="AK345" s="1"/>
      <c r="AL345" s="1">
        <f>IFERROR(__xludf.DUMMYFUNCTION("""COMPUTED_VALUE"""),0.0)</f>
        <v>0</v>
      </c>
      <c r="AM345" s="1">
        <f>IFERROR(__xludf.DUMMYFUNCTION("""COMPUTED_VALUE"""),535.0)</f>
        <v>535</v>
      </c>
      <c r="AN345" s="1">
        <f>IFERROR(__xludf.DUMMYFUNCTION("""COMPUTED_VALUE"""),925.0)</f>
        <v>925</v>
      </c>
      <c r="AO345" s="1">
        <f>IFERROR(__xludf.DUMMYFUNCTION("""COMPUTED_VALUE"""),543.0)</f>
        <v>543</v>
      </c>
      <c r="AP345" s="1">
        <f>IFERROR(__xludf.DUMMYFUNCTION("""COMPUTED_VALUE"""),11352.0)</f>
        <v>11352</v>
      </c>
      <c r="AQ345" s="1">
        <f>IFERROR(__xludf.DUMMYFUNCTION("""COMPUTED_VALUE"""),24.0)</f>
        <v>24</v>
      </c>
      <c r="AR345" s="1">
        <f>IFERROR(__xludf.DUMMYFUNCTION("""COMPUTED_VALUE"""),500.0)</f>
        <v>500</v>
      </c>
      <c r="AS345" s="1">
        <f>IFERROR(__xludf.DUMMYFUNCTION("""COMPUTED_VALUE"""),4620.0)</f>
        <v>4620</v>
      </c>
    </row>
    <row r="346">
      <c r="A346" s="1" t="str">
        <f>IFERROR(__xludf.DUMMYFUNCTION("""COMPUTED_VALUE"""),"TS")</f>
        <v>TS</v>
      </c>
      <c r="B346" s="1"/>
      <c r="C346" s="1"/>
      <c r="D346" s="1">
        <f>IFERROR(__xludf.DUMMYFUNCTION("""COMPUTED_VALUE"""),102.0)</f>
        <v>102</v>
      </c>
      <c r="E346" s="1">
        <f>IFERROR(__xludf.DUMMYFUNCTION("""COMPUTED_VALUE"""),183.0)</f>
        <v>183</v>
      </c>
      <c r="F346" s="1">
        <f>IFERROR(__xludf.DUMMYFUNCTION("""COMPUTED_VALUE"""),480.0)</f>
        <v>480</v>
      </c>
      <c r="G346" s="1">
        <f>IFERROR(__xludf.DUMMYFUNCTION("""COMPUTED_VALUE"""),7713.0)</f>
        <v>7713</v>
      </c>
      <c r="H346" s="1">
        <f>IFERROR(__xludf.DUMMYFUNCTION("""COMPUTED_VALUE"""),106.0)</f>
        <v>106</v>
      </c>
      <c r="I346" s="1">
        <f>IFERROR(__xludf.DUMMYFUNCTION("""COMPUTED_VALUE"""),102.0)</f>
        <v>102</v>
      </c>
      <c r="J346" s="1">
        <f>IFERROR(__xludf.DUMMYFUNCTION("""COMPUTED_VALUE"""),106.0)</f>
        <v>106</v>
      </c>
      <c r="K346" s="1">
        <f>IFERROR(__xludf.DUMMYFUNCTION("""COMPUTED_VALUE"""),75.0)</f>
        <v>75</v>
      </c>
      <c r="L346" s="1">
        <f>IFERROR(__xludf.DUMMYFUNCTION("""COMPUTED_VALUE"""),108.0)</f>
        <v>108</v>
      </c>
      <c r="M346" s="1">
        <f>IFERROR(__xludf.DUMMYFUNCTION("""COMPUTED_VALUE"""),186.0)</f>
        <v>186</v>
      </c>
      <c r="N346" s="1">
        <f>IFERROR(__xludf.DUMMYFUNCTION("""COMPUTED_VALUE"""),1728.0)</f>
        <v>1728</v>
      </c>
      <c r="O346" s="1">
        <f>IFERROR(__xludf.DUMMYFUNCTION("""COMPUTED_VALUE"""),2053.0)</f>
        <v>2053</v>
      </c>
      <c r="P346" s="1">
        <f>IFERROR(__xludf.DUMMYFUNCTION("""COMPUTED_VALUE"""),71.4000015258789)</f>
        <v>71.40000153</v>
      </c>
      <c r="Q346" s="1">
        <f>IFERROR(__xludf.DUMMYFUNCTION("""COMPUTED_VALUE"""),2774.0)</f>
        <v>2774</v>
      </c>
      <c r="R346" s="1">
        <f>IFERROR(__xludf.DUMMYFUNCTION("""COMPUTED_VALUE"""),74.8099975585937)</f>
        <v>74.80999756</v>
      </c>
      <c r="S346" s="1"/>
      <c r="T346" s="1"/>
      <c r="U346" s="1">
        <f>IFERROR(__xludf.DUMMYFUNCTION("""COMPUTED_VALUE"""),0.0)</f>
        <v>0</v>
      </c>
      <c r="V346" s="1"/>
      <c r="W346" s="1"/>
      <c r="X346" s="1">
        <f>IFERROR(__xludf.DUMMYFUNCTION("""COMPUTED_VALUE"""),0.0)</f>
        <v>0</v>
      </c>
      <c r="Y346" s="1">
        <f>IFERROR(__xludf.DUMMYFUNCTION("""COMPUTED_VALUE"""),165.0)</f>
        <v>165</v>
      </c>
      <c r="Z346" s="1">
        <f>IFERROR(__xludf.DUMMYFUNCTION("""COMPUTED_VALUE"""),150.0)</f>
        <v>150</v>
      </c>
      <c r="AA346" s="1">
        <f>IFERROR(__xludf.DUMMYFUNCTION("""COMPUTED_VALUE"""),165.0)</f>
        <v>165</v>
      </c>
      <c r="AB346" s="1">
        <f>IFERROR(__xludf.DUMMYFUNCTION("""COMPUTED_VALUE"""),3382.0)</f>
        <v>3382</v>
      </c>
      <c r="AC346" s="1">
        <f>IFERROR(__xludf.DUMMYFUNCTION("""COMPUTED_VALUE"""),200.0)</f>
        <v>200</v>
      </c>
      <c r="AD346" s="1">
        <f>IFERROR(__xludf.DUMMYFUNCTION("""COMPUTED_VALUE"""),62.099998474121)</f>
        <v>62.09999847</v>
      </c>
      <c r="AE346" s="1">
        <f>IFERROR(__xludf.DUMMYFUNCTION("""COMPUTED_VALUE"""),12331.0)</f>
        <v>12331</v>
      </c>
      <c r="AF346" s="1">
        <f>IFERROR(__xludf.DUMMYFUNCTION("""COMPUTED_VALUE"""),74.8099975585937)</f>
        <v>74.80999756</v>
      </c>
      <c r="AG346" s="1">
        <f>IFERROR(__xludf.DUMMYFUNCTION("""COMPUTED_VALUE"""),10.0)</f>
        <v>10</v>
      </c>
      <c r="AH346" s="1">
        <f>IFERROR(__xludf.DUMMYFUNCTION("""COMPUTED_VALUE"""),399.0)</f>
        <v>399</v>
      </c>
      <c r="AI346" s="1">
        <f>IFERROR(__xludf.DUMMYFUNCTION("""COMPUTED_VALUE"""),10.0)</f>
        <v>10</v>
      </c>
      <c r="AJ346" s="1"/>
      <c r="AK346" s="1"/>
      <c r="AL346" s="1">
        <f>IFERROR(__xludf.DUMMYFUNCTION("""COMPUTED_VALUE"""),0.0)</f>
        <v>0</v>
      </c>
      <c r="AM346" s="1">
        <f>IFERROR(__xludf.DUMMYFUNCTION("""COMPUTED_VALUE"""),100.0)</f>
        <v>100</v>
      </c>
      <c r="AN346" s="1">
        <f>IFERROR(__xludf.DUMMYFUNCTION("""COMPUTED_VALUE"""),68.0)</f>
        <v>68</v>
      </c>
      <c r="AO346" s="1">
        <f>IFERROR(__xludf.DUMMYFUNCTION("""COMPUTED_VALUE"""),100.0)</f>
        <v>100</v>
      </c>
      <c r="AP346" s="1">
        <f>IFERROR(__xludf.DUMMYFUNCTION("""COMPUTED_VALUE"""),802.0)</f>
        <v>802</v>
      </c>
      <c r="AQ346" s="1">
        <f>IFERROR(__xludf.DUMMYFUNCTION("""COMPUTED_VALUE"""),120.0)</f>
        <v>120</v>
      </c>
      <c r="AR346" s="1">
        <f>IFERROR(__xludf.DUMMYFUNCTION("""COMPUTED_VALUE"""),84.0)</f>
        <v>84</v>
      </c>
      <c r="AS346" s="1">
        <f>IFERROR(__xludf.DUMMYFUNCTION("""COMPUTED_VALUE"""),120.0)</f>
        <v>120</v>
      </c>
    </row>
    <row r="347">
      <c r="A347" s="1" t="str">
        <f>IFERROR(__xludf.DUMMYFUNCTION("""COMPUTED_VALUE"""),"TSH")</f>
        <v>TSH</v>
      </c>
      <c r="B347" s="1"/>
      <c r="C347" s="1"/>
      <c r="D347" s="1">
        <f>IFERROR(__xludf.DUMMYFUNCTION("""COMPUTED_VALUE"""),31400.0)</f>
        <v>31400</v>
      </c>
      <c r="E347" s="1">
        <f>IFERROR(__xludf.DUMMYFUNCTION("""COMPUTED_VALUE"""),4.0)</f>
        <v>4</v>
      </c>
      <c r="F347" s="1">
        <f>IFERROR(__xludf.DUMMYFUNCTION("""COMPUTED_VALUE"""),31400.0)</f>
        <v>31400</v>
      </c>
      <c r="G347" s="1">
        <f>IFERROR(__xludf.DUMMYFUNCTION("""COMPUTED_VALUE"""),1234.0)</f>
        <v>1234</v>
      </c>
      <c r="H347" s="1">
        <f>IFERROR(__xludf.DUMMYFUNCTION("""COMPUTED_VALUE"""),27.0)</f>
        <v>27</v>
      </c>
      <c r="I347" s="1">
        <f>IFERROR(__xludf.DUMMYFUNCTION("""COMPUTED_VALUE"""),28000.0)</f>
        <v>28000</v>
      </c>
      <c r="J347" s="1">
        <f>IFERROR(__xludf.DUMMYFUNCTION("""COMPUTED_VALUE"""),327.0)</f>
        <v>327</v>
      </c>
      <c r="K347" s="1">
        <f>IFERROR(__xludf.DUMMYFUNCTION("""COMPUTED_VALUE"""),35000.0)</f>
        <v>35000</v>
      </c>
      <c r="L347" s="1">
        <f>IFERROR(__xludf.DUMMYFUNCTION("""COMPUTED_VALUE"""),125.0)</f>
        <v>125</v>
      </c>
      <c r="M347" s="1">
        <f>IFERROR(__xludf.DUMMYFUNCTION("""COMPUTED_VALUE"""),35000.0)</f>
        <v>35000</v>
      </c>
      <c r="N347" s="1">
        <f>IFERROR(__xludf.DUMMYFUNCTION("""COMPUTED_VALUE"""),125.0)</f>
        <v>125</v>
      </c>
      <c r="O347" s="1">
        <f>IFERROR(__xludf.DUMMYFUNCTION("""COMPUTED_VALUE"""),5.0)</f>
        <v>5</v>
      </c>
      <c r="P347" s="1">
        <f>IFERROR(__xludf.DUMMYFUNCTION("""COMPUTED_VALUE"""),28000.0)</f>
        <v>28000</v>
      </c>
      <c r="Q347" s="1">
        <f>IFERROR(__xludf.DUMMYFUNCTION("""COMPUTED_VALUE"""),5.0)</f>
        <v>5</v>
      </c>
      <c r="R347" s="1">
        <f>IFERROR(__xludf.DUMMYFUNCTION("""COMPUTED_VALUE"""),30000.0)</f>
        <v>30000</v>
      </c>
      <c r="S347" s="1"/>
      <c r="T347" s="1"/>
      <c r="U347" s="1">
        <f>IFERROR(__xludf.DUMMYFUNCTION("""COMPUTED_VALUE"""),0.0)</f>
        <v>0</v>
      </c>
      <c r="V347" s="1"/>
      <c r="W347" s="1"/>
      <c r="X347" s="1">
        <f>IFERROR(__xludf.DUMMYFUNCTION("""COMPUTED_VALUE"""),0.0)</f>
        <v>0</v>
      </c>
      <c r="Y347" s="1">
        <f>IFERROR(__xludf.DUMMYFUNCTION("""COMPUTED_VALUE"""),29800.0)</f>
        <v>29800</v>
      </c>
      <c r="Z347" s="1">
        <f>IFERROR(__xludf.DUMMYFUNCTION("""COMPUTED_VALUE"""),49.0)</f>
        <v>49</v>
      </c>
      <c r="AA347" s="1">
        <f>IFERROR(__xludf.DUMMYFUNCTION("""COMPUTED_VALUE"""),29700.0)</f>
        <v>29700</v>
      </c>
      <c r="AB347" s="1">
        <f>IFERROR(__xludf.DUMMYFUNCTION("""COMPUTED_VALUE"""),1065.0)</f>
        <v>1065</v>
      </c>
      <c r="AC347" s="1">
        <f>IFERROR(__xludf.DUMMYFUNCTION("""COMPUTED_VALUE"""),84.0)</f>
        <v>84</v>
      </c>
      <c r="AD347" s="1">
        <f>IFERROR(__xludf.DUMMYFUNCTION("""COMPUTED_VALUE"""),26000.0)</f>
        <v>26000</v>
      </c>
      <c r="AE347" s="1">
        <f>IFERROR(__xludf.DUMMYFUNCTION("""COMPUTED_VALUE"""),284.0)</f>
        <v>284</v>
      </c>
      <c r="AF347" s="1">
        <f>IFERROR(__xludf.DUMMYFUNCTION("""COMPUTED_VALUE"""),16479.69921875)</f>
        <v>16479.69922</v>
      </c>
      <c r="AG347" s="1">
        <f>IFERROR(__xludf.DUMMYFUNCTION("""COMPUTED_VALUE"""),10.0)</f>
        <v>10</v>
      </c>
      <c r="AH347" s="1">
        <f>IFERROR(__xludf.DUMMYFUNCTION("""COMPUTED_VALUE"""),30000.0)</f>
        <v>30000</v>
      </c>
      <c r="AI347" s="1">
        <f>IFERROR(__xludf.DUMMYFUNCTION("""COMPUTED_VALUE"""),18.0)</f>
        <v>18</v>
      </c>
      <c r="AJ347" s="1"/>
      <c r="AK347" s="1"/>
      <c r="AL347" s="1">
        <f>IFERROR(__xludf.DUMMYFUNCTION("""COMPUTED_VALUE"""),0.0)</f>
        <v>0</v>
      </c>
      <c r="AM347" s="1">
        <f>IFERROR(__xludf.DUMMYFUNCTION("""COMPUTED_VALUE"""),30000.0)</f>
        <v>30000</v>
      </c>
      <c r="AN347" s="1">
        <f>IFERROR(__xludf.DUMMYFUNCTION("""COMPUTED_VALUE"""),30.0)</f>
        <v>30</v>
      </c>
      <c r="AO347" s="1">
        <f>IFERROR(__xludf.DUMMYFUNCTION("""COMPUTED_VALUE"""),30000.0)</f>
        <v>30000</v>
      </c>
      <c r="AP347" s="1">
        <f>IFERROR(__xludf.DUMMYFUNCTION("""COMPUTED_VALUE"""),570.0)</f>
        <v>570</v>
      </c>
      <c r="AQ347" s="1">
        <f>IFERROR(__xludf.DUMMYFUNCTION("""COMPUTED_VALUE"""),40.0)</f>
        <v>40</v>
      </c>
      <c r="AR347" s="1">
        <f>IFERROR(__xludf.DUMMYFUNCTION("""COMPUTED_VALUE"""),27000.0)</f>
        <v>27000</v>
      </c>
      <c r="AS347" s="1">
        <f>IFERROR(__xludf.DUMMYFUNCTION("""COMPUTED_VALUE"""),89.0)</f>
        <v>89</v>
      </c>
    </row>
    <row r="348">
      <c r="A348" s="1" t="str">
        <f>IFERROR(__xludf.DUMMYFUNCTION("""COMPUTED_VALUE"""),"TUB")</f>
        <v>TUB</v>
      </c>
      <c r="B348" s="1"/>
      <c r="C348" s="1"/>
      <c r="D348" s="1">
        <f>IFERROR(__xludf.DUMMYFUNCTION("""COMPUTED_VALUE"""),245.0)</f>
        <v>245</v>
      </c>
      <c r="E348" s="1">
        <f>IFERROR(__xludf.DUMMYFUNCTION("""COMPUTED_VALUE"""),1500.0)</f>
        <v>1500</v>
      </c>
      <c r="F348" s="1">
        <f>IFERROR(__xludf.DUMMYFUNCTION("""COMPUTED_VALUE"""),200.0)</f>
        <v>200</v>
      </c>
      <c r="G348" s="1">
        <f>IFERROR(__xludf.DUMMYFUNCTION("""COMPUTED_VALUE"""),20037.0)</f>
        <v>20037</v>
      </c>
      <c r="H348" s="1">
        <f>IFERROR(__xludf.DUMMYFUNCTION("""COMPUTED_VALUE"""),1214.0)</f>
        <v>1214</v>
      </c>
      <c r="I348" s="1">
        <f>IFERROR(__xludf.DUMMYFUNCTION("""COMPUTED_VALUE"""),163.0)</f>
        <v>163</v>
      </c>
      <c r="J348" s="1">
        <f>IFERROR(__xludf.DUMMYFUNCTION("""COMPUTED_VALUE"""),11114.0)</f>
        <v>11114</v>
      </c>
      <c r="K348" s="1">
        <f>IFERROR(__xludf.DUMMYFUNCTION("""COMPUTED_VALUE"""),249.0)</f>
        <v>249</v>
      </c>
      <c r="L348" s="1">
        <f>IFERROR(__xludf.DUMMYFUNCTION("""COMPUTED_VALUE"""),1500.0)</f>
        <v>1500</v>
      </c>
      <c r="M348" s="1">
        <f>IFERROR(__xludf.DUMMYFUNCTION("""COMPUTED_VALUE"""),190.0)</f>
        <v>190</v>
      </c>
      <c r="N348" s="1">
        <f>IFERROR(__xludf.DUMMYFUNCTION("""COMPUTED_VALUE"""),22793.0)</f>
        <v>22793</v>
      </c>
      <c r="O348" s="1">
        <f>IFERROR(__xludf.DUMMYFUNCTION("""COMPUTED_VALUE"""),1004.0)</f>
        <v>1004</v>
      </c>
      <c r="P348" s="1">
        <f>IFERROR(__xludf.DUMMYFUNCTION("""COMPUTED_VALUE"""),181.0)</f>
        <v>181</v>
      </c>
      <c r="Q348" s="1">
        <f>IFERROR(__xludf.DUMMYFUNCTION("""COMPUTED_VALUE"""),1504.0)</f>
        <v>1504</v>
      </c>
      <c r="R348" s="1">
        <f>IFERROR(__xludf.DUMMYFUNCTION("""COMPUTED_VALUE"""),270.0)</f>
        <v>270</v>
      </c>
      <c r="S348" s="1">
        <f>IFERROR(__xludf.DUMMYFUNCTION("""COMPUTED_VALUE"""),11.0)</f>
        <v>11</v>
      </c>
      <c r="T348" s="1">
        <f>IFERROR(__xludf.DUMMYFUNCTION("""COMPUTED_VALUE"""),270.0)</f>
        <v>270</v>
      </c>
      <c r="U348" s="1">
        <f>IFERROR(__xludf.DUMMYFUNCTION("""COMPUTED_VALUE"""),746.0)</f>
        <v>746</v>
      </c>
      <c r="V348" s="1"/>
      <c r="W348" s="1"/>
      <c r="X348" s="1">
        <f>IFERROR(__xludf.DUMMYFUNCTION("""COMPUTED_VALUE"""),0.0)</f>
        <v>0</v>
      </c>
      <c r="Y348" s="1">
        <f>IFERROR(__xludf.DUMMYFUNCTION("""COMPUTED_VALUE"""),190.0)</f>
        <v>190</v>
      </c>
      <c r="Z348" s="1">
        <f>IFERROR(__xludf.DUMMYFUNCTION("""COMPUTED_VALUE"""),119.0)</f>
        <v>119</v>
      </c>
      <c r="AA348" s="1">
        <f>IFERROR(__xludf.DUMMYFUNCTION("""COMPUTED_VALUE"""),180.0)</f>
        <v>180</v>
      </c>
      <c r="AB348" s="1">
        <f>IFERROR(__xludf.DUMMYFUNCTION("""COMPUTED_VALUE"""),30988.0)</f>
        <v>30988</v>
      </c>
      <c r="AC348" s="1">
        <f>IFERROR(__xludf.DUMMYFUNCTION("""COMPUTED_VALUE"""),4000.0)</f>
        <v>4000</v>
      </c>
      <c r="AD348" s="1">
        <f>IFERROR(__xludf.DUMMYFUNCTION("""COMPUTED_VALUE"""),165.0)</f>
        <v>165</v>
      </c>
      <c r="AE348" s="1">
        <f>IFERROR(__xludf.DUMMYFUNCTION("""COMPUTED_VALUE"""),18000.0)</f>
        <v>18000</v>
      </c>
      <c r="AF348" s="1">
        <f>IFERROR(__xludf.DUMMYFUNCTION("""COMPUTED_VALUE"""),190.0)</f>
        <v>190</v>
      </c>
      <c r="AG348" s="1">
        <f>IFERROR(__xludf.DUMMYFUNCTION("""COMPUTED_VALUE"""),774.0)</f>
        <v>774</v>
      </c>
      <c r="AH348" s="1">
        <f>IFERROR(__xludf.DUMMYFUNCTION("""COMPUTED_VALUE"""),200.0)</f>
        <v>200</v>
      </c>
      <c r="AI348" s="1">
        <f>IFERROR(__xludf.DUMMYFUNCTION("""COMPUTED_VALUE"""),1014.0)</f>
        <v>1014</v>
      </c>
      <c r="AJ348" s="1"/>
      <c r="AK348" s="1"/>
      <c r="AL348" s="1">
        <f>IFERROR(__xludf.DUMMYFUNCTION("""COMPUTED_VALUE"""),0.0)</f>
        <v>0</v>
      </c>
      <c r="AM348" s="1">
        <f>IFERROR(__xludf.DUMMYFUNCTION("""COMPUTED_VALUE"""),175.0)</f>
        <v>175</v>
      </c>
      <c r="AN348" s="1">
        <f>IFERROR(__xludf.DUMMYFUNCTION("""COMPUTED_VALUE"""),240.0)</f>
        <v>240</v>
      </c>
      <c r="AO348" s="1">
        <f>IFERROR(__xludf.DUMMYFUNCTION("""COMPUTED_VALUE"""),189.0)</f>
        <v>189</v>
      </c>
      <c r="AP348" s="1">
        <f>IFERROR(__xludf.DUMMYFUNCTION("""COMPUTED_VALUE"""),69972.0)</f>
        <v>69972</v>
      </c>
      <c r="AQ348" s="1">
        <f>IFERROR(__xludf.DUMMYFUNCTION("""COMPUTED_VALUE"""),1144.0)</f>
        <v>1144</v>
      </c>
      <c r="AR348" s="1">
        <f>IFERROR(__xludf.DUMMYFUNCTION("""COMPUTED_VALUE"""),145.0)</f>
        <v>145</v>
      </c>
      <c r="AS348" s="1">
        <f>IFERROR(__xludf.DUMMYFUNCTION("""COMPUTED_VALUE"""),12612.0)</f>
        <v>12612</v>
      </c>
    </row>
    <row r="349">
      <c r="A349" s="1" t="str">
        <f>IFERROR(__xludf.DUMMYFUNCTION("""COMPUTED_VALUE"""),"UTS")</f>
        <v>UTS</v>
      </c>
      <c r="B349" s="1">
        <f>IFERROR(__xludf.DUMMYFUNCTION("""COMPUTED_VALUE"""),3500.0)</f>
        <v>3500</v>
      </c>
      <c r="C349" s="1"/>
      <c r="D349" s="1">
        <f>IFERROR(__xludf.DUMMYFUNCTION("""COMPUTED_VALUE"""),6750.0)</f>
        <v>6750</v>
      </c>
      <c r="E349" s="1">
        <f>IFERROR(__xludf.DUMMYFUNCTION("""COMPUTED_VALUE"""),25.0)</f>
        <v>25</v>
      </c>
      <c r="F349" s="1">
        <f>IFERROR(__xludf.DUMMYFUNCTION("""COMPUTED_VALUE"""),6750.0)</f>
        <v>6750</v>
      </c>
      <c r="G349" s="1">
        <f>IFERROR(__xludf.DUMMYFUNCTION("""COMPUTED_VALUE"""),190.0)</f>
        <v>190</v>
      </c>
      <c r="H349" s="1">
        <f>IFERROR(__xludf.DUMMYFUNCTION("""COMPUTED_VALUE"""),12.0)</f>
        <v>12</v>
      </c>
      <c r="I349" s="1">
        <f>IFERROR(__xludf.DUMMYFUNCTION("""COMPUTED_VALUE"""),5700.0)</f>
        <v>5700</v>
      </c>
      <c r="J349" s="1">
        <f>IFERROR(__xludf.DUMMYFUNCTION("""COMPUTED_VALUE"""),1446.0)</f>
        <v>1446</v>
      </c>
      <c r="K349" s="1">
        <f>IFERROR(__xludf.DUMMYFUNCTION("""COMPUTED_VALUE"""),6200.0)</f>
        <v>6200</v>
      </c>
      <c r="L349" s="1">
        <f>IFERROR(__xludf.DUMMYFUNCTION("""COMPUTED_VALUE"""),4.0)</f>
        <v>4</v>
      </c>
      <c r="M349" s="1">
        <f>IFERROR(__xludf.DUMMYFUNCTION("""COMPUTED_VALUE"""),6200.0)</f>
        <v>6200</v>
      </c>
      <c r="N349" s="1">
        <f>IFERROR(__xludf.DUMMYFUNCTION("""COMPUTED_VALUE"""),313.0)</f>
        <v>313</v>
      </c>
      <c r="O349" s="1">
        <f>IFERROR(__xludf.DUMMYFUNCTION("""COMPUTED_VALUE"""),10.0)</f>
        <v>10</v>
      </c>
      <c r="P349" s="1">
        <f>IFERROR(__xludf.DUMMYFUNCTION("""COMPUTED_VALUE"""),5220.0)</f>
        <v>5220</v>
      </c>
      <c r="Q349" s="1">
        <f>IFERROR(__xludf.DUMMYFUNCTION("""COMPUTED_VALUE"""),267.0)</f>
        <v>267</v>
      </c>
      <c r="R349" s="1">
        <f>IFERROR(__xludf.DUMMYFUNCTION("""COMPUTED_VALUE"""),5200.0)</f>
        <v>5200</v>
      </c>
      <c r="S349" s="1">
        <f>IFERROR(__xludf.DUMMYFUNCTION("""COMPUTED_VALUE"""),90.0)</f>
        <v>90</v>
      </c>
      <c r="T349" s="1">
        <f>IFERROR(__xludf.DUMMYFUNCTION("""COMPUTED_VALUE"""),5200.0)</f>
        <v>5200</v>
      </c>
      <c r="U349" s="1">
        <f>IFERROR(__xludf.DUMMYFUNCTION("""COMPUTED_VALUE"""),276.0)</f>
        <v>276</v>
      </c>
      <c r="V349" s="1"/>
      <c r="W349" s="1"/>
      <c r="X349" s="1">
        <f>IFERROR(__xludf.DUMMYFUNCTION("""COMPUTED_VALUE"""),0.0)</f>
        <v>0</v>
      </c>
      <c r="Y349" s="1">
        <f>IFERROR(__xludf.DUMMYFUNCTION("""COMPUTED_VALUE"""),5100.0)</f>
        <v>5100</v>
      </c>
      <c r="Z349" s="1">
        <f>IFERROR(__xludf.DUMMYFUNCTION("""COMPUTED_VALUE"""),80.0)</f>
        <v>80</v>
      </c>
      <c r="AA349" s="1">
        <f>IFERROR(__xludf.DUMMYFUNCTION("""COMPUTED_VALUE"""),5700.0)</f>
        <v>5700</v>
      </c>
      <c r="AB349" s="1">
        <f>IFERROR(__xludf.DUMMYFUNCTION("""COMPUTED_VALUE"""),903.0)</f>
        <v>903</v>
      </c>
      <c r="AC349" s="1">
        <f>IFERROR(__xludf.DUMMYFUNCTION("""COMPUTED_VALUE"""),27.0)</f>
        <v>27</v>
      </c>
      <c r="AD349" s="1">
        <f>IFERROR(__xludf.DUMMYFUNCTION("""COMPUTED_VALUE"""),5100.0)</f>
        <v>5100</v>
      </c>
      <c r="AE349" s="1">
        <f>IFERROR(__xludf.DUMMYFUNCTION("""COMPUTED_VALUE"""),1100.0)</f>
        <v>1100</v>
      </c>
      <c r="AF349" s="1">
        <f>IFERROR(__xludf.DUMMYFUNCTION("""COMPUTED_VALUE"""),4640.0)</f>
        <v>4640</v>
      </c>
      <c r="AG349" s="1">
        <f>IFERROR(__xludf.DUMMYFUNCTION("""COMPUTED_VALUE"""),2.0)</f>
        <v>2</v>
      </c>
      <c r="AH349" s="1">
        <f>IFERROR(__xludf.DUMMYFUNCTION("""COMPUTED_VALUE"""),4640.0)</f>
        <v>4640</v>
      </c>
      <c r="AI349" s="1">
        <f>IFERROR(__xludf.DUMMYFUNCTION("""COMPUTED_VALUE"""),5.0)</f>
        <v>5</v>
      </c>
      <c r="AJ349" s="1"/>
      <c r="AK349" s="1"/>
      <c r="AL349" s="1">
        <f>IFERROR(__xludf.DUMMYFUNCTION("""COMPUTED_VALUE"""),0.0)</f>
        <v>0</v>
      </c>
      <c r="AM349" s="1">
        <f>IFERROR(__xludf.DUMMYFUNCTION("""COMPUTED_VALUE"""),7890.0)</f>
        <v>7890</v>
      </c>
      <c r="AN349" s="1">
        <f>IFERROR(__xludf.DUMMYFUNCTION("""COMPUTED_VALUE"""),50.0)</f>
        <v>50</v>
      </c>
      <c r="AO349" s="1">
        <f>IFERROR(__xludf.DUMMYFUNCTION("""COMPUTED_VALUE"""),7900.0)</f>
        <v>7900</v>
      </c>
      <c r="AP349" s="1">
        <f>IFERROR(__xludf.DUMMYFUNCTION("""COMPUTED_VALUE"""),821.0)</f>
        <v>821</v>
      </c>
      <c r="AQ349" s="1">
        <f>IFERROR(__xludf.DUMMYFUNCTION("""COMPUTED_VALUE"""),20.0)</f>
        <v>20</v>
      </c>
      <c r="AR349" s="1">
        <f>IFERROR(__xludf.DUMMYFUNCTION("""COMPUTED_VALUE"""),5400.0)</f>
        <v>5400</v>
      </c>
      <c r="AS349" s="1">
        <f>IFERROR(__xludf.DUMMYFUNCTION("""COMPUTED_VALUE"""),625.0)</f>
        <v>625</v>
      </c>
    </row>
    <row r="350">
      <c r="A350" s="1" t="str">
        <f>IFERROR(__xludf.DUMMYFUNCTION("""COMPUTED_VALUE"""),"VCB")</f>
        <v>VCB</v>
      </c>
      <c r="B350" s="1"/>
      <c r="C350" s="1"/>
      <c r="D350" s="1">
        <f>IFERROR(__xludf.DUMMYFUNCTION("""COMPUTED_VALUE"""),799000.0)</f>
        <v>799000</v>
      </c>
      <c r="E350" s="1">
        <f>IFERROR(__xludf.DUMMYFUNCTION("""COMPUTED_VALUE"""),1.0)</f>
        <v>1</v>
      </c>
      <c r="F350" s="1">
        <f>IFERROR(__xludf.DUMMYFUNCTION("""COMPUTED_VALUE"""),789000.0)</f>
        <v>789000</v>
      </c>
      <c r="G350" s="1">
        <f>IFERROR(__xludf.DUMMYFUNCTION("""COMPUTED_VALUE"""),4.0)</f>
        <v>4</v>
      </c>
      <c r="H350" s="1"/>
      <c r="I350" s="1"/>
      <c r="J350" s="1">
        <f>IFERROR(__xludf.DUMMYFUNCTION("""COMPUTED_VALUE"""),0.0)</f>
        <v>0</v>
      </c>
      <c r="K350" s="1">
        <f>IFERROR(__xludf.DUMMYFUNCTION("""COMPUTED_VALUE"""),935000.0)</f>
        <v>935000</v>
      </c>
      <c r="L350" s="1">
        <f>IFERROR(__xludf.DUMMYFUNCTION("""COMPUTED_VALUE"""),1.0)</f>
        <v>1</v>
      </c>
      <c r="M350" s="1">
        <f>IFERROR(__xludf.DUMMYFUNCTION("""COMPUTED_VALUE"""),893000.0)</f>
        <v>893000</v>
      </c>
      <c r="N350" s="1">
        <f>IFERROR(__xludf.DUMMYFUNCTION("""COMPUTED_VALUE"""),5.0)</f>
        <v>5</v>
      </c>
      <c r="O350" s="1"/>
      <c r="P350" s="1"/>
      <c r="Q350" s="1">
        <f>IFERROR(__xludf.DUMMYFUNCTION("""COMPUTED_VALUE"""),0.0)</f>
        <v>0</v>
      </c>
      <c r="R350" s="1">
        <f>IFERROR(__xludf.DUMMYFUNCTION("""COMPUTED_VALUE"""),327138.125)</f>
        <v>327138.125</v>
      </c>
      <c r="S350" s="1"/>
      <c r="T350" s="1"/>
      <c r="U350" s="1">
        <f>IFERROR(__xludf.DUMMYFUNCTION("""COMPUTED_VALUE"""),0.0)</f>
        <v>0</v>
      </c>
      <c r="V350" s="1"/>
      <c r="W350" s="1"/>
      <c r="X350" s="1">
        <f>IFERROR(__xludf.DUMMYFUNCTION("""COMPUTED_VALUE"""),0.0)</f>
        <v>0</v>
      </c>
      <c r="Y350" s="1">
        <f>IFERROR(__xludf.DUMMYFUNCTION("""COMPUTED_VALUE"""),760000.0)</f>
        <v>760000</v>
      </c>
      <c r="Z350" s="1">
        <f>IFERROR(__xludf.DUMMYFUNCTION("""COMPUTED_VALUE"""),1.0)</f>
        <v>1</v>
      </c>
      <c r="AA350" s="1">
        <f>IFERROR(__xludf.DUMMYFUNCTION("""COMPUTED_VALUE"""),879000.0)</f>
        <v>879000</v>
      </c>
      <c r="AB350" s="1">
        <f>IFERROR(__xludf.DUMMYFUNCTION("""COMPUTED_VALUE"""),3.0)</f>
        <v>3</v>
      </c>
      <c r="AC350" s="1"/>
      <c r="AD350" s="1"/>
      <c r="AE350" s="1">
        <f>IFERROR(__xludf.DUMMYFUNCTION("""COMPUTED_VALUE"""),0.0)</f>
        <v>0</v>
      </c>
      <c r="AF350" s="1">
        <f>IFERROR(__xludf.DUMMYFUNCTION("""COMPUTED_VALUE"""),327138.125)</f>
        <v>327138.125</v>
      </c>
      <c r="AG350" s="1"/>
      <c r="AH350" s="1"/>
      <c r="AI350" s="1">
        <f>IFERROR(__xludf.DUMMYFUNCTION("""COMPUTED_VALUE"""),0.0)</f>
        <v>0</v>
      </c>
      <c r="AJ350" s="1"/>
      <c r="AK350" s="1"/>
      <c r="AL350" s="1">
        <f>IFERROR(__xludf.DUMMYFUNCTION("""COMPUTED_VALUE"""),0.0)</f>
        <v>0</v>
      </c>
      <c r="AM350" s="1">
        <f>IFERROR(__xludf.DUMMYFUNCTION("""COMPUTED_VALUE"""),835000.0)</f>
        <v>835000</v>
      </c>
      <c r="AN350" s="1">
        <f>IFERROR(__xludf.DUMMYFUNCTION("""COMPUTED_VALUE"""),1.0)</f>
        <v>1</v>
      </c>
      <c r="AO350" s="1">
        <f>IFERROR(__xludf.DUMMYFUNCTION("""COMPUTED_VALUE"""),835000.0)</f>
        <v>835000</v>
      </c>
      <c r="AP350" s="1">
        <f>IFERROR(__xludf.DUMMYFUNCTION("""COMPUTED_VALUE"""),4.0)</f>
        <v>4</v>
      </c>
      <c r="AQ350" s="1"/>
      <c r="AR350" s="1"/>
      <c r="AS350" s="1">
        <f>IFERROR(__xludf.DUMMYFUNCTION("""COMPUTED_VALUE"""),0.0)</f>
        <v>0</v>
      </c>
    </row>
    <row r="351">
      <c r="A351" s="1" t="str">
        <f>IFERROR(__xludf.DUMMYFUNCTION("""COMPUTED_VALUE"""),"VEG")</f>
        <v>VEG</v>
      </c>
      <c r="B351" s="1">
        <f>IFERROR(__xludf.DUMMYFUNCTION("""COMPUTED_VALUE"""),88.0)</f>
        <v>88</v>
      </c>
      <c r="C351" s="1"/>
      <c r="D351" s="1">
        <f>IFERROR(__xludf.DUMMYFUNCTION("""COMPUTED_VALUE"""),261.0)</f>
        <v>261</v>
      </c>
      <c r="E351" s="1">
        <f>IFERROR(__xludf.DUMMYFUNCTION("""COMPUTED_VALUE"""),656.0)</f>
        <v>656</v>
      </c>
      <c r="F351" s="1">
        <f>IFERROR(__xludf.DUMMYFUNCTION("""COMPUTED_VALUE"""),280.0)</f>
        <v>280</v>
      </c>
      <c r="G351" s="1">
        <f>IFERROR(__xludf.DUMMYFUNCTION("""COMPUTED_VALUE"""),46402.0)</f>
        <v>46402</v>
      </c>
      <c r="H351" s="1">
        <f>IFERROR(__xludf.DUMMYFUNCTION("""COMPUTED_VALUE"""),279.0)</f>
        <v>279</v>
      </c>
      <c r="I351" s="1">
        <f>IFERROR(__xludf.DUMMYFUNCTION("""COMPUTED_VALUE"""),261.0)</f>
        <v>261</v>
      </c>
      <c r="J351" s="1">
        <f>IFERROR(__xludf.DUMMYFUNCTION("""COMPUTED_VALUE"""),19077.0)</f>
        <v>19077</v>
      </c>
      <c r="K351" s="1">
        <f>IFERROR(__xludf.DUMMYFUNCTION("""COMPUTED_VALUE"""),329.0)</f>
        <v>329</v>
      </c>
      <c r="L351" s="1">
        <f>IFERROR(__xludf.DUMMYFUNCTION("""COMPUTED_VALUE"""),279.0)</f>
        <v>279</v>
      </c>
      <c r="M351" s="1">
        <f>IFERROR(__xludf.DUMMYFUNCTION("""COMPUTED_VALUE"""),329.0)</f>
        <v>329</v>
      </c>
      <c r="N351" s="1">
        <f>IFERROR(__xludf.DUMMYFUNCTION("""COMPUTED_VALUE"""),4875.0)</f>
        <v>4875</v>
      </c>
      <c r="O351" s="1">
        <f>IFERROR(__xludf.DUMMYFUNCTION("""COMPUTED_VALUE"""),2.0)</f>
        <v>2</v>
      </c>
      <c r="P351" s="1">
        <f>IFERROR(__xludf.DUMMYFUNCTION("""COMPUTED_VALUE"""),300.0)</f>
        <v>300</v>
      </c>
      <c r="Q351" s="1">
        <f>IFERROR(__xludf.DUMMYFUNCTION("""COMPUTED_VALUE"""),9327.0)</f>
        <v>9327</v>
      </c>
      <c r="R351" s="1">
        <f>IFERROR(__xludf.DUMMYFUNCTION("""COMPUTED_VALUE"""),180.0)</f>
        <v>180</v>
      </c>
      <c r="S351" s="1"/>
      <c r="T351" s="1"/>
      <c r="U351" s="1">
        <f>IFERROR(__xludf.DUMMYFUNCTION("""COMPUTED_VALUE"""),0.0)</f>
        <v>0</v>
      </c>
      <c r="V351" s="1"/>
      <c r="W351" s="1"/>
      <c r="X351" s="1">
        <f>IFERROR(__xludf.DUMMYFUNCTION("""COMPUTED_VALUE"""),0.0)</f>
        <v>0</v>
      </c>
      <c r="Y351" s="1">
        <f>IFERROR(__xludf.DUMMYFUNCTION("""COMPUTED_VALUE"""),338.0)</f>
        <v>338</v>
      </c>
      <c r="Z351" s="1">
        <f>IFERROR(__xludf.DUMMYFUNCTION("""COMPUTED_VALUE"""),267.0)</f>
        <v>267</v>
      </c>
      <c r="AA351" s="1">
        <f>IFERROR(__xludf.DUMMYFUNCTION("""COMPUTED_VALUE"""),338.0)</f>
        <v>338</v>
      </c>
      <c r="AB351" s="1">
        <f>IFERROR(__xludf.DUMMYFUNCTION("""COMPUTED_VALUE"""),19655.0)</f>
        <v>19655</v>
      </c>
      <c r="AC351" s="1">
        <f>IFERROR(__xludf.DUMMYFUNCTION("""COMPUTED_VALUE"""),740.0)</f>
        <v>740</v>
      </c>
      <c r="AD351" s="1">
        <f>IFERROR(__xludf.DUMMYFUNCTION("""COMPUTED_VALUE"""),267.0)</f>
        <v>267</v>
      </c>
      <c r="AE351" s="1">
        <f>IFERROR(__xludf.DUMMYFUNCTION("""COMPUTED_VALUE"""),18847.0)</f>
        <v>18847</v>
      </c>
      <c r="AF351" s="1">
        <f>IFERROR(__xludf.DUMMYFUNCTION("""COMPUTED_VALUE"""),300.0)</f>
        <v>300</v>
      </c>
      <c r="AG351" s="1">
        <f>IFERROR(__xludf.DUMMYFUNCTION("""COMPUTED_VALUE"""),25.0)</f>
        <v>25</v>
      </c>
      <c r="AH351" s="1">
        <f>IFERROR(__xludf.DUMMYFUNCTION("""COMPUTED_VALUE"""),310.0)</f>
        <v>310</v>
      </c>
      <c r="AI351" s="1">
        <f>IFERROR(__xludf.DUMMYFUNCTION("""COMPUTED_VALUE"""),2830.0)</f>
        <v>2830</v>
      </c>
      <c r="AJ351" s="1">
        <f>IFERROR(__xludf.DUMMYFUNCTION("""COMPUTED_VALUE"""),772.0)</f>
        <v>772</v>
      </c>
      <c r="AK351" s="1">
        <f>IFERROR(__xludf.DUMMYFUNCTION("""COMPUTED_VALUE"""),300.0)</f>
        <v>300</v>
      </c>
      <c r="AL351" s="1">
        <f>IFERROR(__xludf.DUMMYFUNCTION("""COMPUTED_VALUE"""),772.0)</f>
        <v>772</v>
      </c>
      <c r="AM351" s="1">
        <f>IFERROR(__xludf.DUMMYFUNCTION("""COMPUTED_VALUE"""),300.0)</f>
        <v>300</v>
      </c>
      <c r="AN351" s="1">
        <f>IFERROR(__xludf.DUMMYFUNCTION("""COMPUTED_VALUE"""),1888.0)</f>
        <v>1888</v>
      </c>
      <c r="AO351" s="1">
        <f>IFERROR(__xludf.DUMMYFUNCTION("""COMPUTED_VALUE"""),300.0)</f>
        <v>300</v>
      </c>
      <c r="AP351" s="1">
        <f>IFERROR(__xludf.DUMMYFUNCTION("""COMPUTED_VALUE"""),33424.0)</f>
        <v>33424</v>
      </c>
      <c r="AQ351" s="1">
        <f>IFERROR(__xludf.DUMMYFUNCTION("""COMPUTED_VALUE"""),937.0)</f>
        <v>937</v>
      </c>
      <c r="AR351" s="1">
        <f>IFERROR(__xludf.DUMMYFUNCTION("""COMPUTED_VALUE"""),260.0)</f>
        <v>260</v>
      </c>
      <c r="AS351" s="1">
        <f>IFERROR(__xludf.DUMMYFUNCTION("""COMPUTED_VALUE"""),13338.0)</f>
        <v>13338</v>
      </c>
    </row>
    <row r="352">
      <c r="A352" s="1" t="str">
        <f>IFERROR(__xludf.DUMMYFUNCTION("""COMPUTED_VALUE"""),"VF")</f>
        <v>VF</v>
      </c>
      <c r="B352" s="1"/>
      <c r="C352" s="1"/>
      <c r="D352" s="1">
        <f>IFERROR(__xludf.DUMMYFUNCTION("""COMPUTED_VALUE"""),17.8999996185302)</f>
        <v>17.89999962</v>
      </c>
      <c r="E352" s="1">
        <f>IFERROR(__xludf.DUMMYFUNCTION("""COMPUTED_VALUE"""),374.0)</f>
        <v>374</v>
      </c>
      <c r="F352" s="1">
        <f>IFERROR(__xludf.DUMMYFUNCTION("""COMPUTED_VALUE"""),17.8999996185302)</f>
        <v>17.89999962</v>
      </c>
      <c r="G352" s="1">
        <f>IFERROR(__xludf.DUMMYFUNCTION("""COMPUTED_VALUE"""),1710696.0)</f>
        <v>1710696</v>
      </c>
      <c r="H352" s="1">
        <f>IFERROR(__xludf.DUMMYFUNCTION("""COMPUTED_VALUE"""),20000.0)</f>
        <v>20000</v>
      </c>
      <c r="I352" s="1">
        <f>IFERROR(__xludf.DUMMYFUNCTION("""COMPUTED_VALUE"""),10.1999998092651)</f>
        <v>10.19999981</v>
      </c>
      <c r="J352" s="1">
        <f>IFERROR(__xludf.DUMMYFUNCTION("""COMPUTED_VALUE"""),40000.0)</f>
        <v>40000</v>
      </c>
      <c r="K352" s="1">
        <f>IFERROR(__xludf.DUMMYFUNCTION("""COMPUTED_VALUE"""),20.0)</f>
        <v>20</v>
      </c>
      <c r="L352" s="1">
        <f>IFERROR(__xludf.DUMMYFUNCTION("""COMPUTED_VALUE"""),2083.0)</f>
        <v>2083</v>
      </c>
      <c r="M352" s="1">
        <f>IFERROR(__xludf.DUMMYFUNCTION("""COMPUTED_VALUE"""),19.0)</f>
        <v>19</v>
      </c>
      <c r="N352" s="1">
        <f>IFERROR(__xludf.DUMMYFUNCTION("""COMPUTED_VALUE"""),189946.0)</f>
        <v>189946</v>
      </c>
      <c r="O352" s="1">
        <f>IFERROR(__xludf.DUMMYFUNCTION("""COMPUTED_VALUE"""),10000.0)</f>
        <v>10000</v>
      </c>
      <c r="P352" s="1">
        <f>IFERROR(__xludf.DUMMYFUNCTION("""COMPUTED_VALUE"""),10.0)</f>
        <v>10</v>
      </c>
      <c r="Q352" s="1">
        <f>IFERROR(__xludf.DUMMYFUNCTION("""COMPUTED_VALUE"""),10000.0)</f>
        <v>10000</v>
      </c>
      <c r="R352" s="1">
        <f>IFERROR(__xludf.DUMMYFUNCTION("""COMPUTED_VALUE"""),16.1299991607666)</f>
        <v>16.12999916</v>
      </c>
      <c r="S352" s="1"/>
      <c r="T352" s="1"/>
      <c r="U352" s="1">
        <f>IFERROR(__xludf.DUMMYFUNCTION("""COMPUTED_VALUE"""),0.0)</f>
        <v>0</v>
      </c>
      <c r="V352" s="1"/>
      <c r="W352" s="1"/>
      <c r="X352" s="1">
        <f>IFERROR(__xludf.DUMMYFUNCTION("""COMPUTED_VALUE"""),0.0)</f>
        <v>0</v>
      </c>
      <c r="Y352" s="1">
        <f>IFERROR(__xludf.DUMMYFUNCTION("""COMPUTED_VALUE"""),24.0)</f>
        <v>24</v>
      </c>
      <c r="Z352" s="1">
        <f>IFERROR(__xludf.DUMMYFUNCTION("""COMPUTED_VALUE"""),3474.0)</f>
        <v>3474</v>
      </c>
      <c r="AA352" s="1">
        <f>IFERROR(__xludf.DUMMYFUNCTION("""COMPUTED_VALUE"""),24.0)</f>
        <v>24</v>
      </c>
      <c r="AB352" s="1">
        <f>IFERROR(__xludf.DUMMYFUNCTION("""COMPUTED_VALUE"""),439517.0)</f>
        <v>439517</v>
      </c>
      <c r="AC352" s="1">
        <f>IFERROR(__xludf.DUMMYFUNCTION("""COMPUTED_VALUE"""),10000.0)</f>
        <v>10000</v>
      </c>
      <c r="AD352" s="1">
        <f>IFERROR(__xludf.DUMMYFUNCTION("""COMPUTED_VALUE"""),20.0)</f>
        <v>20</v>
      </c>
      <c r="AE352" s="1">
        <f>IFERROR(__xludf.DUMMYFUNCTION("""COMPUTED_VALUE"""),170000.0)</f>
        <v>170000</v>
      </c>
      <c r="AF352" s="1">
        <f>IFERROR(__xludf.DUMMYFUNCTION("""COMPUTED_VALUE"""),16.1299991607666)</f>
        <v>16.12999916</v>
      </c>
      <c r="AG352" s="1"/>
      <c r="AH352" s="1"/>
      <c r="AI352" s="1">
        <f>IFERROR(__xludf.DUMMYFUNCTION("""COMPUTED_VALUE"""),0.0)</f>
        <v>0</v>
      </c>
      <c r="AJ352" s="1"/>
      <c r="AK352" s="1"/>
      <c r="AL352" s="1">
        <f>IFERROR(__xludf.DUMMYFUNCTION("""COMPUTED_VALUE"""),0.0)</f>
        <v>0</v>
      </c>
      <c r="AM352" s="1">
        <f>IFERROR(__xludf.DUMMYFUNCTION("""COMPUTED_VALUE"""),16.1299991607666)</f>
        <v>16.12999916</v>
      </c>
      <c r="AN352" s="1">
        <f>IFERROR(__xludf.DUMMYFUNCTION("""COMPUTED_VALUE"""),20000.0)</f>
        <v>20000</v>
      </c>
      <c r="AO352" s="1">
        <f>IFERROR(__xludf.DUMMYFUNCTION("""COMPUTED_VALUE"""),30.0)</f>
        <v>30</v>
      </c>
      <c r="AP352" s="1">
        <f>IFERROR(__xludf.DUMMYFUNCTION("""COMPUTED_VALUE"""),126035.0)</f>
        <v>126035</v>
      </c>
      <c r="AQ352" s="1"/>
      <c r="AR352" s="1"/>
      <c r="AS352" s="1">
        <f>IFERROR(__xludf.DUMMYFUNCTION("""COMPUTED_VALUE"""),0.0)</f>
        <v>0</v>
      </c>
    </row>
    <row r="353">
      <c r="A353" s="1" t="str">
        <f>IFERROR(__xludf.DUMMYFUNCTION("""COMPUTED_VALUE"""),"VFT")</f>
        <v>VFT</v>
      </c>
      <c r="B353" s="1"/>
      <c r="C353" s="1"/>
      <c r="D353" s="1">
        <f>IFERROR(__xludf.DUMMYFUNCTION("""COMPUTED_VALUE"""),2600000.0)</f>
        <v>2600000</v>
      </c>
      <c r="E353" s="1">
        <f>IFERROR(__xludf.DUMMYFUNCTION("""COMPUTED_VALUE"""),1.0)</f>
        <v>1</v>
      </c>
      <c r="F353" s="1">
        <f>IFERROR(__xludf.DUMMYFUNCTION("""COMPUTED_VALUE"""),2600000.0)</f>
        <v>2600000</v>
      </c>
      <c r="G353" s="1">
        <f>IFERROR(__xludf.DUMMYFUNCTION("""COMPUTED_VALUE"""),1.0)</f>
        <v>1</v>
      </c>
      <c r="H353" s="1"/>
      <c r="I353" s="1"/>
      <c r="J353" s="1">
        <f>IFERROR(__xludf.DUMMYFUNCTION("""COMPUTED_VALUE"""),0.0)</f>
        <v>0</v>
      </c>
      <c r="K353" s="1">
        <f>IFERROR(__xludf.DUMMYFUNCTION("""COMPUTED_VALUE"""),865925.3125)</f>
        <v>865925.3125</v>
      </c>
      <c r="L353" s="1">
        <f>IFERROR(__xludf.DUMMYFUNCTION("""COMPUTED_VALUE"""),1.0)</f>
        <v>1</v>
      </c>
      <c r="M353" s="1">
        <f>IFERROR(__xludf.DUMMYFUNCTION("""COMPUTED_VALUE"""),2600000.0)</f>
        <v>2600000</v>
      </c>
      <c r="N353" s="1">
        <f>IFERROR(__xludf.DUMMYFUNCTION("""COMPUTED_VALUE"""),1.0)</f>
        <v>1</v>
      </c>
      <c r="O353" s="1"/>
      <c r="P353" s="1"/>
      <c r="Q353" s="1">
        <f>IFERROR(__xludf.DUMMYFUNCTION("""COMPUTED_VALUE"""),0.0)</f>
        <v>0</v>
      </c>
      <c r="R353" s="1">
        <f>IFERROR(__xludf.DUMMYFUNCTION("""COMPUTED_VALUE"""),865925.3125)</f>
        <v>865925.3125</v>
      </c>
      <c r="S353" s="1"/>
      <c r="T353" s="1"/>
      <c r="U353" s="1">
        <f>IFERROR(__xludf.DUMMYFUNCTION("""COMPUTED_VALUE"""),0.0)</f>
        <v>0</v>
      </c>
      <c r="V353" s="1"/>
      <c r="W353" s="1"/>
      <c r="X353" s="1">
        <f>IFERROR(__xludf.DUMMYFUNCTION("""COMPUTED_VALUE"""),0.0)</f>
        <v>0</v>
      </c>
      <c r="Y353" s="1">
        <f>IFERROR(__xludf.DUMMYFUNCTION("""COMPUTED_VALUE"""),2400000.0)</f>
        <v>2400000</v>
      </c>
      <c r="Z353" s="1"/>
      <c r="AA353" s="1"/>
      <c r="AB353" s="1">
        <f>IFERROR(__xludf.DUMMYFUNCTION("""COMPUTED_VALUE"""),0.0)</f>
        <v>0</v>
      </c>
      <c r="AC353" s="1"/>
      <c r="AD353" s="1"/>
      <c r="AE353" s="1">
        <f>IFERROR(__xludf.DUMMYFUNCTION("""COMPUTED_VALUE"""),0.0)</f>
        <v>0</v>
      </c>
      <c r="AF353" s="1">
        <f>IFERROR(__xludf.DUMMYFUNCTION("""COMPUTED_VALUE"""),865925.3125)</f>
        <v>865925.3125</v>
      </c>
      <c r="AG353" s="1"/>
      <c r="AH353" s="1"/>
      <c r="AI353" s="1">
        <f>IFERROR(__xludf.DUMMYFUNCTION("""COMPUTED_VALUE"""),0.0)</f>
        <v>0</v>
      </c>
      <c r="AJ353" s="1"/>
      <c r="AK353" s="1"/>
      <c r="AL353" s="1">
        <f>IFERROR(__xludf.DUMMYFUNCTION("""COMPUTED_VALUE"""),0.0)</f>
        <v>0</v>
      </c>
      <c r="AM353" s="1">
        <f>IFERROR(__xludf.DUMMYFUNCTION("""COMPUTED_VALUE"""),865925.3125)</f>
        <v>865925.3125</v>
      </c>
      <c r="AN353" s="1"/>
      <c r="AO353" s="1"/>
      <c r="AP353" s="1">
        <f>IFERROR(__xludf.DUMMYFUNCTION("""COMPUTED_VALUE"""),0.0)</f>
        <v>0</v>
      </c>
      <c r="AQ353" s="1"/>
      <c r="AR353" s="1"/>
      <c r="AS353" s="1">
        <f>IFERROR(__xludf.DUMMYFUNCTION("""COMPUTED_VALUE"""),0.0)</f>
        <v>0</v>
      </c>
    </row>
    <row r="354">
      <c r="A354" s="1" t="str">
        <f>IFERROR(__xludf.DUMMYFUNCTION("""COMPUTED_VALUE"""),"VG")</f>
        <v>VG</v>
      </c>
      <c r="B354" s="1"/>
      <c r="C354" s="1"/>
      <c r="D354" s="1">
        <f>IFERROR(__xludf.DUMMYFUNCTION("""COMPUTED_VALUE"""),2050.0)</f>
        <v>2050</v>
      </c>
      <c r="E354" s="1">
        <f>IFERROR(__xludf.DUMMYFUNCTION("""COMPUTED_VALUE"""),105.0)</f>
        <v>105</v>
      </c>
      <c r="F354" s="1">
        <f>IFERROR(__xludf.DUMMYFUNCTION("""COMPUTED_VALUE"""),2270.0)</f>
        <v>2270</v>
      </c>
      <c r="G354" s="1">
        <f>IFERROR(__xludf.DUMMYFUNCTION("""COMPUTED_VALUE"""),5709.0)</f>
        <v>5709</v>
      </c>
      <c r="H354" s="1">
        <f>IFERROR(__xludf.DUMMYFUNCTION("""COMPUTED_VALUE"""),5.0)</f>
        <v>5</v>
      </c>
      <c r="I354" s="1">
        <f>IFERROR(__xludf.DUMMYFUNCTION("""COMPUTED_VALUE"""),2050.0)</f>
        <v>2050</v>
      </c>
      <c r="J354" s="1">
        <f>IFERROR(__xludf.DUMMYFUNCTION("""COMPUTED_VALUE"""),4065.0)</f>
        <v>4065</v>
      </c>
      <c r="K354" s="1">
        <f>IFERROR(__xludf.DUMMYFUNCTION("""COMPUTED_VALUE"""),2350.0)</f>
        <v>2350</v>
      </c>
      <c r="L354" s="1">
        <f>IFERROR(__xludf.DUMMYFUNCTION("""COMPUTED_VALUE"""),200.0)</f>
        <v>200</v>
      </c>
      <c r="M354" s="1">
        <f>IFERROR(__xludf.DUMMYFUNCTION("""COMPUTED_VALUE"""),2340.0)</f>
        <v>2340</v>
      </c>
      <c r="N354" s="1">
        <f>IFERROR(__xludf.DUMMYFUNCTION("""COMPUTED_VALUE"""),7377.0)</f>
        <v>7377</v>
      </c>
      <c r="O354" s="1">
        <f>IFERROR(__xludf.DUMMYFUNCTION("""COMPUTED_VALUE"""),300.0)</f>
        <v>300</v>
      </c>
      <c r="P354" s="1">
        <f>IFERROR(__xludf.DUMMYFUNCTION("""COMPUTED_VALUE"""),1700.0)</f>
        <v>1700</v>
      </c>
      <c r="Q354" s="1">
        <f>IFERROR(__xludf.DUMMYFUNCTION("""COMPUTED_VALUE"""),300.0)</f>
        <v>300</v>
      </c>
      <c r="R354" s="1">
        <f>IFERROR(__xludf.DUMMYFUNCTION("""COMPUTED_VALUE"""),3200.0)</f>
        <v>3200</v>
      </c>
      <c r="S354" s="1">
        <f>IFERROR(__xludf.DUMMYFUNCTION("""COMPUTED_VALUE"""),100.0)</f>
        <v>100</v>
      </c>
      <c r="T354" s="1">
        <f>IFERROR(__xludf.DUMMYFUNCTION("""COMPUTED_VALUE"""),2200.0)</f>
        <v>2200</v>
      </c>
      <c r="U354" s="1">
        <f>IFERROR(__xludf.DUMMYFUNCTION("""COMPUTED_VALUE"""),160.0)</f>
        <v>160</v>
      </c>
      <c r="V354" s="1"/>
      <c r="W354" s="1"/>
      <c r="X354" s="1">
        <f>IFERROR(__xludf.DUMMYFUNCTION("""COMPUTED_VALUE"""),0.0)</f>
        <v>0</v>
      </c>
      <c r="Y354" s="1">
        <f>IFERROR(__xludf.DUMMYFUNCTION("""COMPUTED_VALUE"""),2300.0)</f>
        <v>2300</v>
      </c>
      <c r="Z354" s="1">
        <f>IFERROR(__xludf.DUMMYFUNCTION("""COMPUTED_VALUE"""),441.0)</f>
        <v>441</v>
      </c>
      <c r="AA354" s="1">
        <f>IFERROR(__xludf.DUMMYFUNCTION("""COMPUTED_VALUE"""),2300.0)</f>
        <v>2300</v>
      </c>
      <c r="AB354" s="1">
        <f>IFERROR(__xludf.DUMMYFUNCTION("""COMPUTED_VALUE"""),3723.0)</f>
        <v>3723</v>
      </c>
      <c r="AC354" s="1">
        <f>IFERROR(__xludf.DUMMYFUNCTION("""COMPUTED_VALUE"""),500.0)</f>
        <v>500</v>
      </c>
      <c r="AD354" s="1">
        <f>IFERROR(__xludf.DUMMYFUNCTION("""COMPUTED_VALUE"""),2000.0)</f>
        <v>2000</v>
      </c>
      <c r="AE354" s="1">
        <f>IFERROR(__xludf.DUMMYFUNCTION("""COMPUTED_VALUE"""),2719.0)</f>
        <v>2719</v>
      </c>
      <c r="AF354" s="1">
        <f>IFERROR(__xludf.DUMMYFUNCTION("""COMPUTED_VALUE"""),2000.0)</f>
        <v>2000</v>
      </c>
      <c r="AG354" s="1">
        <f>IFERROR(__xludf.DUMMYFUNCTION("""COMPUTED_VALUE"""),20.0)</f>
        <v>20</v>
      </c>
      <c r="AH354" s="1">
        <f>IFERROR(__xludf.DUMMYFUNCTION("""COMPUTED_VALUE"""),2400.0)</f>
        <v>2400</v>
      </c>
      <c r="AI354" s="1">
        <f>IFERROR(__xludf.DUMMYFUNCTION("""COMPUTED_VALUE"""),220.0)</f>
        <v>220</v>
      </c>
      <c r="AJ354" s="1"/>
      <c r="AK354" s="1"/>
      <c r="AL354" s="1">
        <f>IFERROR(__xludf.DUMMYFUNCTION("""COMPUTED_VALUE"""),0.0)</f>
        <v>0</v>
      </c>
      <c r="AM354" s="1">
        <f>IFERROR(__xludf.DUMMYFUNCTION("""COMPUTED_VALUE"""),2350.0)</f>
        <v>2350</v>
      </c>
      <c r="AN354" s="1">
        <f>IFERROR(__xludf.DUMMYFUNCTION("""COMPUTED_VALUE"""),79.0)</f>
        <v>79</v>
      </c>
      <c r="AO354" s="1">
        <f>IFERROR(__xludf.DUMMYFUNCTION("""COMPUTED_VALUE"""),2350.0)</f>
        <v>2350</v>
      </c>
      <c r="AP354" s="1">
        <f>IFERROR(__xludf.DUMMYFUNCTION("""COMPUTED_VALUE"""),7428.0)</f>
        <v>7428</v>
      </c>
      <c r="AQ354" s="1">
        <f>IFERROR(__xludf.DUMMYFUNCTION("""COMPUTED_VALUE"""),319.0)</f>
        <v>319</v>
      </c>
      <c r="AR354" s="1">
        <f>IFERROR(__xludf.DUMMYFUNCTION("""COMPUTED_VALUE"""),1010.0)</f>
        <v>1010</v>
      </c>
      <c r="AS354" s="1">
        <f>IFERROR(__xludf.DUMMYFUNCTION("""COMPUTED_VALUE"""),2089.0)</f>
        <v>2089</v>
      </c>
    </row>
    <row r="355">
      <c r="A355" s="1" t="str">
        <f>IFERROR(__xludf.DUMMYFUNCTION("""COMPUTED_VALUE"""),"VIT")</f>
        <v>VIT</v>
      </c>
      <c r="B355" s="1"/>
      <c r="C355" s="1"/>
      <c r="D355" s="1">
        <f>IFERROR(__xludf.DUMMYFUNCTION("""COMPUTED_VALUE"""),575.0)</f>
        <v>575</v>
      </c>
      <c r="E355" s="1">
        <f>IFERROR(__xludf.DUMMYFUNCTION("""COMPUTED_VALUE"""),477.0)</f>
        <v>477</v>
      </c>
      <c r="F355" s="1">
        <f>IFERROR(__xludf.DUMMYFUNCTION("""COMPUTED_VALUE"""),575.0)</f>
        <v>575</v>
      </c>
      <c r="G355" s="1">
        <f>IFERROR(__xludf.DUMMYFUNCTION("""COMPUTED_VALUE"""),4627.0)</f>
        <v>4627</v>
      </c>
      <c r="H355" s="1">
        <f>IFERROR(__xludf.DUMMYFUNCTION("""COMPUTED_VALUE"""),178.0)</f>
        <v>178</v>
      </c>
      <c r="I355" s="1">
        <f>IFERROR(__xludf.DUMMYFUNCTION("""COMPUTED_VALUE"""),510.0)</f>
        <v>510</v>
      </c>
      <c r="J355" s="1">
        <f>IFERROR(__xludf.DUMMYFUNCTION("""COMPUTED_VALUE"""),718.0)</f>
        <v>718</v>
      </c>
      <c r="K355" s="1">
        <f>IFERROR(__xludf.DUMMYFUNCTION("""COMPUTED_VALUE"""),750.0)</f>
        <v>750</v>
      </c>
      <c r="L355" s="1">
        <f>IFERROR(__xludf.DUMMYFUNCTION("""COMPUTED_VALUE"""),304.0)</f>
        <v>304</v>
      </c>
      <c r="M355" s="1">
        <f>IFERROR(__xludf.DUMMYFUNCTION("""COMPUTED_VALUE"""),750.0)</f>
        <v>750</v>
      </c>
      <c r="N355" s="1">
        <f>IFERROR(__xludf.DUMMYFUNCTION("""COMPUTED_VALUE"""),32872.0)</f>
        <v>32872</v>
      </c>
      <c r="O355" s="1"/>
      <c r="P355" s="1"/>
      <c r="Q355" s="1">
        <f>IFERROR(__xludf.DUMMYFUNCTION("""COMPUTED_VALUE"""),0.0)</f>
        <v>0</v>
      </c>
      <c r="R355" s="1">
        <f>IFERROR(__xludf.DUMMYFUNCTION("""COMPUTED_VALUE"""),324.470001220703)</f>
        <v>324.4700012</v>
      </c>
      <c r="S355" s="1"/>
      <c r="T355" s="1"/>
      <c r="U355" s="1">
        <f>IFERROR(__xludf.DUMMYFUNCTION("""COMPUTED_VALUE"""),0.0)</f>
        <v>0</v>
      </c>
      <c r="V355" s="1"/>
      <c r="W355" s="1"/>
      <c r="X355" s="1">
        <f>IFERROR(__xludf.DUMMYFUNCTION("""COMPUTED_VALUE"""),0.0)</f>
        <v>0</v>
      </c>
      <c r="Y355" s="1">
        <f>IFERROR(__xludf.DUMMYFUNCTION("""COMPUTED_VALUE"""),729.0)</f>
        <v>729</v>
      </c>
      <c r="Z355" s="1">
        <f>IFERROR(__xludf.DUMMYFUNCTION("""COMPUTED_VALUE"""),138.0)</f>
        <v>138</v>
      </c>
      <c r="AA355" s="1">
        <f>IFERROR(__xludf.DUMMYFUNCTION("""COMPUTED_VALUE"""),729.0)</f>
        <v>729</v>
      </c>
      <c r="AB355" s="1">
        <f>IFERROR(__xludf.DUMMYFUNCTION("""COMPUTED_VALUE"""),989.0)</f>
        <v>989</v>
      </c>
      <c r="AC355" s="1">
        <f>IFERROR(__xludf.DUMMYFUNCTION("""COMPUTED_VALUE"""),12.0)</f>
        <v>12</v>
      </c>
      <c r="AD355" s="1">
        <f>IFERROR(__xludf.DUMMYFUNCTION("""COMPUTED_VALUE"""),680.0)</f>
        <v>680</v>
      </c>
      <c r="AE355" s="1">
        <f>IFERROR(__xludf.DUMMYFUNCTION("""COMPUTED_VALUE"""),12.0)</f>
        <v>12</v>
      </c>
      <c r="AF355" s="1">
        <f>IFERROR(__xludf.DUMMYFUNCTION("""COMPUTED_VALUE"""),324.470001220703)</f>
        <v>324.4700012</v>
      </c>
      <c r="AG355" s="1"/>
      <c r="AH355" s="1"/>
      <c r="AI355" s="1">
        <f>IFERROR(__xludf.DUMMYFUNCTION("""COMPUTED_VALUE"""),0.0)</f>
        <v>0</v>
      </c>
      <c r="AJ355" s="1"/>
      <c r="AK355" s="1"/>
      <c r="AL355" s="1">
        <f>IFERROR(__xludf.DUMMYFUNCTION("""COMPUTED_VALUE"""),0.0)</f>
        <v>0</v>
      </c>
      <c r="AM355" s="1">
        <f>IFERROR(__xludf.DUMMYFUNCTION("""COMPUTED_VALUE"""),749.0)</f>
        <v>749</v>
      </c>
      <c r="AN355" s="1">
        <f>IFERROR(__xludf.DUMMYFUNCTION("""COMPUTED_VALUE"""),587.0)</f>
        <v>587</v>
      </c>
      <c r="AO355" s="1">
        <f>IFERROR(__xludf.DUMMYFUNCTION("""COMPUTED_VALUE"""),749.0)</f>
        <v>749</v>
      </c>
      <c r="AP355" s="1">
        <f>IFERROR(__xludf.DUMMYFUNCTION("""COMPUTED_VALUE"""),2481.0)</f>
        <v>2481</v>
      </c>
      <c r="AQ355" s="1"/>
      <c r="AR355" s="1"/>
      <c r="AS355" s="1">
        <f>IFERROR(__xludf.DUMMYFUNCTION("""COMPUTED_VALUE"""),0.0)</f>
        <v>0</v>
      </c>
    </row>
    <row r="356">
      <c r="A356" s="1" t="str">
        <f>IFERROR(__xludf.DUMMYFUNCTION("""COMPUTED_VALUE"""),"VOE")</f>
        <v>VOE</v>
      </c>
      <c r="B356" s="1"/>
      <c r="C356" s="1"/>
      <c r="D356" s="1">
        <f>IFERROR(__xludf.DUMMYFUNCTION("""COMPUTED_VALUE"""),5490000.0)</f>
        <v>5490000</v>
      </c>
      <c r="E356" s="1">
        <f>IFERROR(__xludf.DUMMYFUNCTION("""COMPUTED_VALUE"""),1.0)</f>
        <v>1</v>
      </c>
      <c r="F356" s="1">
        <f>IFERROR(__xludf.DUMMYFUNCTION("""COMPUTED_VALUE"""),5500000.0)</f>
        <v>5500000</v>
      </c>
      <c r="G356" s="1">
        <f>IFERROR(__xludf.DUMMYFUNCTION("""COMPUTED_VALUE"""),1.0)</f>
        <v>1</v>
      </c>
      <c r="H356" s="1"/>
      <c r="I356" s="1"/>
      <c r="J356" s="1">
        <f>IFERROR(__xludf.DUMMYFUNCTION("""COMPUTED_VALUE"""),0.0)</f>
        <v>0</v>
      </c>
      <c r="K356" s="1">
        <f>IFERROR(__xludf.DUMMYFUNCTION("""COMPUTED_VALUE"""),2913586.75)</f>
        <v>2913586.75</v>
      </c>
      <c r="L356" s="1"/>
      <c r="M356" s="1"/>
      <c r="N356" s="1">
        <f>IFERROR(__xludf.DUMMYFUNCTION("""COMPUTED_VALUE"""),0.0)</f>
        <v>0</v>
      </c>
      <c r="O356" s="1"/>
      <c r="P356" s="1"/>
      <c r="Q356" s="1">
        <f>IFERROR(__xludf.DUMMYFUNCTION("""COMPUTED_VALUE"""),0.0)</f>
        <v>0</v>
      </c>
      <c r="R356" s="1">
        <f>IFERROR(__xludf.DUMMYFUNCTION("""COMPUTED_VALUE"""),2913586.75)</f>
        <v>2913586.75</v>
      </c>
      <c r="S356" s="1"/>
      <c r="T356" s="1"/>
      <c r="U356" s="1">
        <f>IFERROR(__xludf.DUMMYFUNCTION("""COMPUTED_VALUE"""),0.0)</f>
        <v>0</v>
      </c>
      <c r="V356" s="1"/>
      <c r="W356" s="1"/>
      <c r="X356" s="1">
        <f>IFERROR(__xludf.DUMMYFUNCTION("""COMPUTED_VALUE"""),0.0)</f>
        <v>0</v>
      </c>
      <c r="Y356" s="1">
        <f>IFERROR(__xludf.DUMMYFUNCTION("""COMPUTED_VALUE"""),2913586.75)</f>
        <v>2913586.75</v>
      </c>
      <c r="Z356" s="1">
        <f>IFERROR(__xludf.DUMMYFUNCTION("""COMPUTED_VALUE"""),1.0)</f>
        <v>1</v>
      </c>
      <c r="AA356" s="1">
        <f>IFERROR(__xludf.DUMMYFUNCTION("""COMPUTED_VALUE"""),5000000.0)</f>
        <v>5000000</v>
      </c>
      <c r="AB356" s="1">
        <f>IFERROR(__xludf.DUMMYFUNCTION("""COMPUTED_VALUE"""),1.0)</f>
        <v>1</v>
      </c>
      <c r="AC356" s="1"/>
      <c r="AD356" s="1"/>
      <c r="AE356" s="1">
        <f>IFERROR(__xludf.DUMMYFUNCTION("""COMPUTED_VALUE"""),0.0)</f>
        <v>0</v>
      </c>
      <c r="AF356" s="1">
        <f>IFERROR(__xludf.DUMMYFUNCTION("""COMPUTED_VALUE"""),2913586.75)</f>
        <v>2913586.75</v>
      </c>
      <c r="AG356" s="1"/>
      <c r="AH356" s="1"/>
      <c r="AI356" s="1">
        <f>IFERROR(__xludf.DUMMYFUNCTION("""COMPUTED_VALUE"""),0.0)</f>
        <v>0</v>
      </c>
      <c r="AJ356" s="1"/>
      <c r="AK356" s="1"/>
      <c r="AL356" s="1">
        <f>IFERROR(__xludf.DUMMYFUNCTION("""COMPUTED_VALUE"""),0.0)</f>
        <v>0</v>
      </c>
      <c r="AM356" s="1">
        <f>IFERROR(__xludf.DUMMYFUNCTION("""COMPUTED_VALUE"""),2913586.75)</f>
        <v>2913586.75</v>
      </c>
      <c r="AN356" s="1"/>
      <c r="AO356" s="1"/>
      <c r="AP356" s="1">
        <f>IFERROR(__xludf.DUMMYFUNCTION("""COMPUTED_VALUE"""),0.0)</f>
        <v>0</v>
      </c>
      <c r="AQ356" s="1"/>
      <c r="AR356" s="1"/>
      <c r="AS356" s="1">
        <f>IFERROR(__xludf.DUMMYFUNCTION("""COMPUTED_VALUE"""),0.0)</f>
        <v>0</v>
      </c>
    </row>
    <row r="357">
      <c r="A357" s="1" t="str">
        <f>IFERROR(__xludf.DUMMYFUNCTION("""COMPUTED_VALUE"""),"VOR")</f>
        <v>VOR</v>
      </c>
      <c r="B357" s="1"/>
      <c r="C357" s="1"/>
      <c r="D357" s="1">
        <f>IFERROR(__xludf.DUMMYFUNCTION("""COMPUTED_VALUE"""),2518066.5)</f>
        <v>2518066.5</v>
      </c>
      <c r="E357" s="1"/>
      <c r="F357" s="1"/>
      <c r="G357" s="1">
        <f>IFERROR(__xludf.DUMMYFUNCTION("""COMPUTED_VALUE"""),0.0)</f>
        <v>0</v>
      </c>
      <c r="H357" s="1"/>
      <c r="I357" s="1"/>
      <c r="J357" s="1">
        <f>IFERROR(__xludf.DUMMYFUNCTION("""COMPUTED_VALUE"""),0.0)</f>
        <v>0</v>
      </c>
      <c r="K357" s="1">
        <f>IFERROR(__xludf.DUMMYFUNCTION("""COMPUTED_VALUE"""),2518066.5)</f>
        <v>2518066.5</v>
      </c>
      <c r="L357" s="1"/>
      <c r="M357" s="1"/>
      <c r="N357" s="1">
        <f>IFERROR(__xludf.DUMMYFUNCTION("""COMPUTED_VALUE"""),0.0)</f>
        <v>0</v>
      </c>
      <c r="O357" s="1"/>
      <c r="P357" s="1"/>
      <c r="Q357" s="1">
        <f>IFERROR(__xludf.DUMMYFUNCTION("""COMPUTED_VALUE"""),0.0)</f>
        <v>0</v>
      </c>
      <c r="R357" s="1">
        <f>IFERROR(__xludf.DUMMYFUNCTION("""COMPUTED_VALUE"""),2518066.5)</f>
        <v>2518066.5</v>
      </c>
      <c r="S357" s="1"/>
      <c r="T357" s="1"/>
      <c r="U357" s="1">
        <f>IFERROR(__xludf.DUMMYFUNCTION("""COMPUTED_VALUE"""),0.0)</f>
        <v>0</v>
      </c>
      <c r="V357" s="1"/>
      <c r="W357" s="1"/>
      <c r="X357" s="1">
        <f>IFERROR(__xludf.DUMMYFUNCTION("""COMPUTED_VALUE"""),0.0)</f>
        <v>0</v>
      </c>
      <c r="Y357" s="1">
        <f>IFERROR(__xludf.DUMMYFUNCTION("""COMPUTED_VALUE"""),2518066.5)</f>
        <v>2518066.5</v>
      </c>
      <c r="Z357" s="1"/>
      <c r="AA357" s="1"/>
      <c r="AB357" s="1">
        <f>IFERROR(__xludf.DUMMYFUNCTION("""COMPUTED_VALUE"""),0.0)</f>
        <v>0</v>
      </c>
      <c r="AC357" s="1"/>
      <c r="AD357" s="1"/>
      <c r="AE357" s="1">
        <f>IFERROR(__xludf.DUMMYFUNCTION("""COMPUTED_VALUE"""),0.0)</f>
        <v>0</v>
      </c>
      <c r="AF357" s="1">
        <f>IFERROR(__xludf.DUMMYFUNCTION("""COMPUTED_VALUE"""),2518066.5)</f>
        <v>2518066.5</v>
      </c>
      <c r="AG357" s="1"/>
      <c r="AH357" s="1"/>
      <c r="AI357" s="1">
        <f>IFERROR(__xludf.DUMMYFUNCTION("""COMPUTED_VALUE"""),0.0)</f>
        <v>0</v>
      </c>
      <c r="AJ357" s="1"/>
      <c r="AK357" s="1"/>
      <c r="AL357" s="1">
        <f>IFERROR(__xludf.DUMMYFUNCTION("""COMPUTED_VALUE"""),0.0)</f>
        <v>0</v>
      </c>
      <c r="AM357" s="1">
        <f>IFERROR(__xludf.DUMMYFUNCTION("""COMPUTED_VALUE"""),2518066.5)</f>
        <v>2518066.5</v>
      </c>
      <c r="AN357" s="1"/>
      <c r="AO357" s="1"/>
      <c r="AP357" s="1">
        <f>IFERROR(__xludf.DUMMYFUNCTION("""COMPUTED_VALUE"""),0.0)</f>
        <v>0</v>
      </c>
      <c r="AQ357" s="1"/>
      <c r="AR357" s="1"/>
      <c r="AS357" s="1">
        <f>IFERROR(__xludf.DUMMYFUNCTION("""COMPUTED_VALUE"""),0.0)</f>
        <v>0</v>
      </c>
    </row>
    <row r="358">
      <c r="A358" s="1" t="str">
        <f>IFERROR(__xludf.DUMMYFUNCTION("""COMPUTED_VALUE"""),"VSC")</f>
        <v>VSC</v>
      </c>
      <c r="B358" s="1"/>
      <c r="C358" s="1"/>
      <c r="D358" s="1">
        <f>IFERROR(__xludf.DUMMYFUNCTION("""COMPUTED_VALUE"""),31000.0)</f>
        <v>31000</v>
      </c>
      <c r="E358" s="1">
        <f>IFERROR(__xludf.DUMMYFUNCTION("""COMPUTED_VALUE"""),3.0)</f>
        <v>3</v>
      </c>
      <c r="F358" s="1">
        <f>IFERROR(__xludf.DUMMYFUNCTION("""COMPUTED_VALUE"""),31000.0)</f>
        <v>31000</v>
      </c>
      <c r="G358" s="1">
        <f>IFERROR(__xludf.DUMMYFUNCTION("""COMPUTED_VALUE"""),4.0)</f>
        <v>4</v>
      </c>
      <c r="H358" s="1"/>
      <c r="I358" s="1"/>
      <c r="J358" s="1">
        <f>IFERROR(__xludf.DUMMYFUNCTION("""COMPUTED_VALUE"""),0.0)</f>
        <v>0</v>
      </c>
      <c r="K358" s="1">
        <f>IFERROR(__xludf.DUMMYFUNCTION("""COMPUTED_VALUE"""),40000.0)</f>
        <v>40000</v>
      </c>
      <c r="L358" s="1">
        <f>IFERROR(__xludf.DUMMYFUNCTION("""COMPUTED_VALUE"""),1.0)</f>
        <v>1</v>
      </c>
      <c r="M358" s="1">
        <f>IFERROR(__xludf.DUMMYFUNCTION("""COMPUTED_VALUE"""),42000.0)</f>
        <v>42000</v>
      </c>
      <c r="N358" s="1">
        <f>IFERROR(__xludf.DUMMYFUNCTION("""COMPUTED_VALUE"""),2.0)</f>
        <v>2</v>
      </c>
      <c r="O358" s="1"/>
      <c r="P358" s="1"/>
      <c r="Q358" s="1">
        <f>IFERROR(__xludf.DUMMYFUNCTION("""COMPUTED_VALUE"""),0.0)</f>
        <v>0</v>
      </c>
      <c r="R358" s="1">
        <f>IFERROR(__xludf.DUMMYFUNCTION("""COMPUTED_VALUE"""),16535.4296875)</f>
        <v>16535.42969</v>
      </c>
      <c r="S358" s="1"/>
      <c r="T358" s="1"/>
      <c r="U358" s="1">
        <f>IFERROR(__xludf.DUMMYFUNCTION("""COMPUTED_VALUE"""),0.0)</f>
        <v>0</v>
      </c>
      <c r="V358" s="1"/>
      <c r="W358" s="1"/>
      <c r="X358" s="1">
        <f>IFERROR(__xludf.DUMMYFUNCTION("""COMPUTED_VALUE"""),0.0)</f>
        <v>0</v>
      </c>
      <c r="Y358" s="1">
        <f>IFERROR(__xludf.DUMMYFUNCTION("""COMPUTED_VALUE"""),30000.0)</f>
        <v>30000</v>
      </c>
      <c r="Z358" s="1">
        <f>IFERROR(__xludf.DUMMYFUNCTION("""COMPUTED_VALUE"""),2.0)</f>
        <v>2</v>
      </c>
      <c r="AA358" s="1">
        <f>IFERROR(__xludf.DUMMYFUNCTION("""COMPUTED_VALUE"""),30000.0)</f>
        <v>30000</v>
      </c>
      <c r="AB358" s="1">
        <f>IFERROR(__xludf.DUMMYFUNCTION("""COMPUTED_VALUE"""),3.0)</f>
        <v>3</v>
      </c>
      <c r="AC358" s="1"/>
      <c r="AD358" s="1"/>
      <c r="AE358" s="1">
        <f>IFERROR(__xludf.DUMMYFUNCTION("""COMPUTED_VALUE"""),0.0)</f>
        <v>0</v>
      </c>
      <c r="AF358" s="1">
        <f>IFERROR(__xludf.DUMMYFUNCTION("""COMPUTED_VALUE"""),16535.4296875)</f>
        <v>16535.42969</v>
      </c>
      <c r="AG358" s="1"/>
      <c r="AH358" s="1"/>
      <c r="AI358" s="1">
        <f>IFERROR(__xludf.DUMMYFUNCTION("""COMPUTED_VALUE"""),0.0)</f>
        <v>0</v>
      </c>
      <c r="AJ358" s="1"/>
      <c r="AK358" s="1"/>
      <c r="AL358" s="1">
        <f>IFERROR(__xludf.DUMMYFUNCTION("""COMPUTED_VALUE"""),0.0)</f>
        <v>0</v>
      </c>
      <c r="AM358" s="1">
        <f>IFERROR(__xludf.DUMMYFUNCTION("""COMPUTED_VALUE"""),16535.4296875)</f>
        <v>16535.42969</v>
      </c>
      <c r="AN358" s="1">
        <f>IFERROR(__xludf.DUMMYFUNCTION("""COMPUTED_VALUE"""),1.0)</f>
        <v>1</v>
      </c>
      <c r="AO358" s="1">
        <f>IFERROR(__xludf.DUMMYFUNCTION("""COMPUTED_VALUE"""),50000.0)</f>
        <v>50000</v>
      </c>
      <c r="AP358" s="1">
        <f>IFERROR(__xludf.DUMMYFUNCTION("""COMPUTED_VALUE"""),1.0)</f>
        <v>1</v>
      </c>
      <c r="AQ358" s="1"/>
      <c r="AR358" s="1"/>
      <c r="AS358" s="1">
        <f>IFERROR(__xludf.DUMMYFUNCTION("""COMPUTED_VALUE"""),0.0)</f>
        <v>0</v>
      </c>
    </row>
    <row r="359">
      <c r="A359" s="1" t="str">
        <f>IFERROR(__xludf.DUMMYFUNCTION("""COMPUTED_VALUE"""),"W")</f>
        <v>W</v>
      </c>
      <c r="B359" s="1"/>
      <c r="C359" s="1"/>
      <c r="D359" s="1">
        <f>IFERROR(__xludf.DUMMYFUNCTION("""COMPUTED_VALUE"""),13800.0)</f>
        <v>13800</v>
      </c>
      <c r="E359" s="1">
        <f>IFERROR(__xludf.DUMMYFUNCTION("""COMPUTED_VALUE"""),123.0)</f>
        <v>123</v>
      </c>
      <c r="F359" s="1">
        <f>IFERROR(__xludf.DUMMYFUNCTION("""COMPUTED_VALUE"""),13800.0)</f>
        <v>13800</v>
      </c>
      <c r="G359" s="1">
        <f>IFERROR(__xludf.DUMMYFUNCTION("""COMPUTED_VALUE"""),2479.0)</f>
        <v>2479</v>
      </c>
      <c r="H359" s="1">
        <f>IFERROR(__xludf.DUMMYFUNCTION("""COMPUTED_VALUE"""),94.0)</f>
        <v>94</v>
      </c>
      <c r="I359" s="1">
        <f>IFERROR(__xludf.DUMMYFUNCTION("""COMPUTED_VALUE"""),11000.0)</f>
        <v>11000</v>
      </c>
      <c r="J359" s="1">
        <f>IFERROR(__xludf.DUMMYFUNCTION("""COMPUTED_VALUE"""),10782.0)</f>
        <v>10782</v>
      </c>
      <c r="K359" s="1">
        <f>IFERROR(__xludf.DUMMYFUNCTION("""COMPUTED_VALUE"""),15000.0)</f>
        <v>15000</v>
      </c>
      <c r="L359" s="1">
        <f>IFERROR(__xludf.DUMMYFUNCTION("""COMPUTED_VALUE"""),213.0)</f>
        <v>213</v>
      </c>
      <c r="M359" s="1">
        <f>IFERROR(__xludf.DUMMYFUNCTION("""COMPUTED_VALUE"""),15000.0)</f>
        <v>15000</v>
      </c>
      <c r="N359" s="1">
        <f>IFERROR(__xludf.DUMMYFUNCTION("""COMPUTED_VALUE"""),288.0)</f>
        <v>288</v>
      </c>
      <c r="O359" s="1">
        <f>IFERROR(__xludf.DUMMYFUNCTION("""COMPUTED_VALUE"""),19.0)</f>
        <v>19</v>
      </c>
      <c r="P359" s="1">
        <f>IFERROR(__xludf.DUMMYFUNCTION("""COMPUTED_VALUE"""),9490.0)</f>
        <v>9490</v>
      </c>
      <c r="Q359" s="1">
        <f>IFERROR(__xludf.DUMMYFUNCTION("""COMPUTED_VALUE"""),119.0)</f>
        <v>119</v>
      </c>
      <c r="R359" s="1">
        <f>IFERROR(__xludf.DUMMYFUNCTION("""COMPUTED_VALUE"""),6243.66015625)</f>
        <v>6243.660156</v>
      </c>
      <c r="S359" s="1"/>
      <c r="T359" s="1"/>
      <c r="U359" s="1">
        <f>IFERROR(__xludf.DUMMYFUNCTION("""COMPUTED_VALUE"""),0.0)</f>
        <v>0</v>
      </c>
      <c r="V359" s="1"/>
      <c r="W359" s="1"/>
      <c r="X359" s="1">
        <f>IFERROR(__xludf.DUMMYFUNCTION("""COMPUTED_VALUE"""),0.0)</f>
        <v>0</v>
      </c>
      <c r="Y359" s="1">
        <f>IFERROR(__xludf.DUMMYFUNCTION("""COMPUTED_VALUE"""),13800.0)</f>
        <v>13800</v>
      </c>
      <c r="Z359" s="1">
        <f>IFERROR(__xludf.DUMMYFUNCTION("""COMPUTED_VALUE"""),303.0)</f>
        <v>303</v>
      </c>
      <c r="AA359" s="1">
        <f>IFERROR(__xludf.DUMMYFUNCTION("""COMPUTED_VALUE"""),13800.0)</f>
        <v>13800</v>
      </c>
      <c r="AB359" s="1">
        <f>IFERROR(__xludf.DUMMYFUNCTION("""COMPUTED_VALUE"""),4579.0)</f>
        <v>4579</v>
      </c>
      <c r="AC359" s="1">
        <f>IFERROR(__xludf.DUMMYFUNCTION("""COMPUTED_VALUE"""),100.0)</f>
        <v>100</v>
      </c>
      <c r="AD359" s="1">
        <f>IFERROR(__xludf.DUMMYFUNCTION("""COMPUTED_VALUE"""),10100.0)</f>
        <v>10100</v>
      </c>
      <c r="AE359" s="1">
        <f>IFERROR(__xludf.DUMMYFUNCTION("""COMPUTED_VALUE"""),1672.0)</f>
        <v>1672</v>
      </c>
      <c r="AF359" s="1">
        <f>IFERROR(__xludf.DUMMYFUNCTION("""COMPUTED_VALUE"""),8900.0)</f>
        <v>8900</v>
      </c>
      <c r="AG359" s="1"/>
      <c r="AH359" s="1"/>
      <c r="AI359" s="1">
        <f>IFERROR(__xludf.DUMMYFUNCTION("""COMPUTED_VALUE"""),0.0)</f>
        <v>0</v>
      </c>
      <c r="AJ359" s="1">
        <f>IFERROR(__xludf.DUMMYFUNCTION("""COMPUTED_VALUE"""),10.0)</f>
        <v>10</v>
      </c>
      <c r="AK359" s="1">
        <f>IFERROR(__xludf.DUMMYFUNCTION("""COMPUTED_VALUE"""),8000.0)</f>
        <v>8000</v>
      </c>
      <c r="AL359" s="1">
        <f>IFERROR(__xludf.DUMMYFUNCTION("""COMPUTED_VALUE"""),10.0)</f>
        <v>10</v>
      </c>
      <c r="AM359" s="1">
        <f>IFERROR(__xludf.DUMMYFUNCTION("""COMPUTED_VALUE"""),13000.0)</f>
        <v>13000</v>
      </c>
      <c r="AN359" s="1">
        <f>IFERROR(__xludf.DUMMYFUNCTION("""COMPUTED_VALUE"""),14.0)</f>
        <v>14</v>
      </c>
      <c r="AO359" s="1">
        <f>IFERROR(__xludf.DUMMYFUNCTION("""COMPUTED_VALUE"""),13000.0)</f>
        <v>13000</v>
      </c>
      <c r="AP359" s="1">
        <f>IFERROR(__xludf.DUMMYFUNCTION("""COMPUTED_VALUE"""),72.0)</f>
        <v>72</v>
      </c>
      <c r="AQ359" s="1">
        <f>IFERROR(__xludf.DUMMYFUNCTION("""COMPUTED_VALUE"""),20.0)</f>
        <v>20</v>
      </c>
      <c r="AR359" s="1">
        <f>IFERROR(__xludf.DUMMYFUNCTION("""COMPUTED_VALUE"""),8500.0)</f>
        <v>8500</v>
      </c>
      <c r="AS359" s="1">
        <f>IFERROR(__xludf.DUMMYFUNCTION("""COMPUTED_VALUE"""),40.0)</f>
        <v>40</v>
      </c>
    </row>
    <row r="360">
      <c r="A360" s="1" t="str">
        <f>IFERROR(__xludf.DUMMYFUNCTION("""COMPUTED_VALUE"""),"WAI")</f>
        <v>WAI</v>
      </c>
      <c r="B360" s="1"/>
      <c r="C360" s="1"/>
      <c r="D360" s="1">
        <f>IFERROR(__xludf.DUMMYFUNCTION("""COMPUTED_VALUE"""),97000.0)</f>
        <v>97000</v>
      </c>
      <c r="E360" s="1">
        <f>IFERROR(__xludf.DUMMYFUNCTION("""COMPUTED_VALUE"""),56.0)</f>
        <v>56</v>
      </c>
      <c r="F360" s="1">
        <f>IFERROR(__xludf.DUMMYFUNCTION("""COMPUTED_VALUE"""),104000.0)</f>
        <v>104000</v>
      </c>
      <c r="G360" s="1">
        <f>IFERROR(__xludf.DUMMYFUNCTION("""COMPUTED_VALUE"""),249.0)</f>
        <v>249</v>
      </c>
      <c r="H360" s="1">
        <f>IFERROR(__xludf.DUMMYFUNCTION("""COMPUTED_VALUE"""),5.0)</f>
        <v>5</v>
      </c>
      <c r="I360" s="1">
        <f>IFERROR(__xludf.DUMMYFUNCTION("""COMPUTED_VALUE"""),97500.0)</f>
        <v>97500</v>
      </c>
      <c r="J360" s="1">
        <f>IFERROR(__xludf.DUMMYFUNCTION("""COMPUTED_VALUE"""),506.0)</f>
        <v>506</v>
      </c>
      <c r="K360" s="1">
        <f>IFERROR(__xludf.DUMMYFUNCTION("""COMPUTED_VALUE"""),107666.671875)</f>
        <v>107666.6719</v>
      </c>
      <c r="L360" s="1">
        <f>IFERROR(__xludf.DUMMYFUNCTION("""COMPUTED_VALUE"""),6.0)</f>
        <v>6</v>
      </c>
      <c r="M360" s="1">
        <f>IFERROR(__xludf.DUMMYFUNCTION("""COMPUTED_VALUE"""),110000.0)</f>
        <v>110000</v>
      </c>
      <c r="N360" s="1">
        <f>IFERROR(__xludf.DUMMYFUNCTION("""COMPUTED_VALUE"""),6.0)</f>
        <v>6</v>
      </c>
      <c r="O360" s="1">
        <f>IFERROR(__xludf.DUMMYFUNCTION("""COMPUTED_VALUE"""),7.0)</f>
        <v>7</v>
      </c>
      <c r="P360" s="1">
        <f>IFERROR(__xludf.DUMMYFUNCTION("""COMPUTED_VALUE"""),96000.0)</f>
        <v>96000</v>
      </c>
      <c r="Q360" s="1">
        <f>IFERROR(__xludf.DUMMYFUNCTION("""COMPUTED_VALUE"""),71.0)</f>
        <v>71</v>
      </c>
      <c r="R360" s="1">
        <f>IFERROR(__xludf.DUMMYFUNCTION("""COMPUTED_VALUE"""),100000.0)</f>
        <v>100000</v>
      </c>
      <c r="S360" s="1">
        <f>IFERROR(__xludf.DUMMYFUNCTION("""COMPUTED_VALUE"""),50.0)</f>
        <v>50</v>
      </c>
      <c r="T360" s="1">
        <f>IFERROR(__xludf.DUMMYFUNCTION("""COMPUTED_VALUE"""),100000.0)</f>
        <v>100000</v>
      </c>
      <c r="U360" s="1">
        <f>IFERROR(__xludf.DUMMYFUNCTION("""COMPUTED_VALUE"""),261.0)</f>
        <v>261</v>
      </c>
      <c r="V360" s="1"/>
      <c r="W360" s="1"/>
      <c r="X360" s="1">
        <f>IFERROR(__xludf.DUMMYFUNCTION("""COMPUTED_VALUE"""),0.0)</f>
        <v>0</v>
      </c>
      <c r="Y360" s="1">
        <f>IFERROR(__xludf.DUMMYFUNCTION("""COMPUTED_VALUE"""),96000.0)</f>
        <v>96000</v>
      </c>
      <c r="Z360" s="1">
        <f>IFERROR(__xludf.DUMMYFUNCTION("""COMPUTED_VALUE"""),29.0)</f>
        <v>29</v>
      </c>
      <c r="AA360" s="1">
        <f>IFERROR(__xludf.DUMMYFUNCTION("""COMPUTED_VALUE"""),104000.0)</f>
        <v>104000</v>
      </c>
      <c r="AB360" s="1">
        <f>IFERROR(__xludf.DUMMYFUNCTION("""COMPUTED_VALUE"""),221.0)</f>
        <v>221</v>
      </c>
      <c r="AC360" s="1">
        <f>IFERROR(__xludf.DUMMYFUNCTION("""COMPUTED_VALUE"""),99.0)</f>
        <v>99</v>
      </c>
      <c r="AD360" s="1">
        <f>IFERROR(__xludf.DUMMYFUNCTION("""COMPUTED_VALUE"""),96000.0)</f>
        <v>96000</v>
      </c>
      <c r="AE360" s="1">
        <f>IFERROR(__xludf.DUMMYFUNCTION("""COMPUTED_VALUE"""),193.0)</f>
        <v>193</v>
      </c>
      <c r="AF360" s="1">
        <f>IFERROR(__xludf.DUMMYFUNCTION("""COMPUTED_VALUE"""),51820.4609375)</f>
        <v>51820.46094</v>
      </c>
      <c r="AG360" s="1"/>
      <c r="AH360" s="1"/>
      <c r="AI360" s="1">
        <f>IFERROR(__xludf.DUMMYFUNCTION("""COMPUTED_VALUE"""),0.0)</f>
        <v>0</v>
      </c>
      <c r="AJ360" s="1"/>
      <c r="AK360" s="1"/>
      <c r="AL360" s="1">
        <f>IFERROR(__xludf.DUMMYFUNCTION("""COMPUTED_VALUE"""),0.0)</f>
        <v>0</v>
      </c>
      <c r="AM360" s="1">
        <f>IFERROR(__xludf.DUMMYFUNCTION("""COMPUTED_VALUE"""),120000.0)</f>
        <v>120000</v>
      </c>
      <c r="AN360" s="1">
        <f>IFERROR(__xludf.DUMMYFUNCTION("""COMPUTED_VALUE"""),23.0)</f>
        <v>23</v>
      </c>
      <c r="AO360" s="1">
        <f>IFERROR(__xludf.DUMMYFUNCTION("""COMPUTED_VALUE"""),101000.0)</f>
        <v>101000</v>
      </c>
      <c r="AP360" s="1">
        <f>IFERROR(__xludf.DUMMYFUNCTION("""COMPUTED_VALUE"""),25.0)</f>
        <v>25</v>
      </c>
      <c r="AQ360" s="1"/>
      <c r="AR360" s="1"/>
      <c r="AS360" s="1">
        <f>IFERROR(__xludf.DUMMYFUNCTION("""COMPUTED_VALUE"""),0.0)</f>
        <v>0</v>
      </c>
    </row>
    <row r="361">
      <c r="A361" s="1" t="str">
        <f>IFERROR(__xludf.DUMMYFUNCTION("""COMPUTED_VALUE"""),"WAL")</f>
        <v>WAL</v>
      </c>
      <c r="B361" s="1"/>
      <c r="C361" s="1"/>
      <c r="D361" s="1">
        <f>IFERROR(__xludf.DUMMYFUNCTION("""COMPUTED_VALUE"""),6950.0)</f>
        <v>6950</v>
      </c>
      <c r="E361" s="1">
        <f>IFERROR(__xludf.DUMMYFUNCTION("""COMPUTED_VALUE"""),200.0)</f>
        <v>200</v>
      </c>
      <c r="F361" s="1">
        <f>IFERROR(__xludf.DUMMYFUNCTION("""COMPUTED_VALUE"""),7790.0)</f>
        <v>7790</v>
      </c>
      <c r="G361" s="1">
        <f>IFERROR(__xludf.DUMMYFUNCTION("""COMPUTED_VALUE"""),3471.0)</f>
        <v>3471</v>
      </c>
      <c r="H361" s="1">
        <f>IFERROR(__xludf.DUMMYFUNCTION("""COMPUTED_VALUE"""),1000.0)</f>
        <v>1000</v>
      </c>
      <c r="I361" s="1">
        <f>IFERROR(__xludf.DUMMYFUNCTION("""COMPUTED_VALUE"""),3100.0)</f>
        <v>3100</v>
      </c>
      <c r="J361" s="1">
        <f>IFERROR(__xludf.DUMMYFUNCTION("""COMPUTED_VALUE"""),2157.0)</f>
        <v>2157</v>
      </c>
      <c r="K361" s="1">
        <f>IFERROR(__xludf.DUMMYFUNCTION("""COMPUTED_VALUE"""),5700.0)</f>
        <v>5700</v>
      </c>
      <c r="L361" s="1">
        <f>IFERROR(__xludf.DUMMYFUNCTION("""COMPUTED_VALUE"""),58.0)</f>
        <v>58</v>
      </c>
      <c r="M361" s="1">
        <f>IFERROR(__xludf.DUMMYFUNCTION("""COMPUTED_VALUE"""),5500.0)</f>
        <v>5500</v>
      </c>
      <c r="N361" s="1">
        <f>IFERROR(__xludf.DUMMYFUNCTION("""COMPUTED_VALUE"""),152.0)</f>
        <v>152</v>
      </c>
      <c r="O361" s="1">
        <f>IFERROR(__xludf.DUMMYFUNCTION("""COMPUTED_VALUE"""),1000.0)</f>
        <v>1000</v>
      </c>
      <c r="P361" s="1">
        <f>IFERROR(__xludf.DUMMYFUNCTION("""COMPUTED_VALUE"""),4010.0)</f>
        <v>4010</v>
      </c>
      <c r="Q361" s="1">
        <f>IFERROR(__xludf.DUMMYFUNCTION("""COMPUTED_VALUE"""),1074.0)</f>
        <v>1074</v>
      </c>
      <c r="R361" s="1">
        <f>IFERROR(__xludf.DUMMYFUNCTION("""COMPUTED_VALUE"""),2796.830078125)</f>
        <v>2796.830078</v>
      </c>
      <c r="S361" s="1"/>
      <c r="T361" s="1"/>
      <c r="U361" s="1">
        <f>IFERROR(__xludf.DUMMYFUNCTION("""COMPUTED_VALUE"""),0.0)</f>
        <v>0</v>
      </c>
      <c r="V361" s="1"/>
      <c r="W361" s="1"/>
      <c r="X361" s="1">
        <f>IFERROR(__xludf.DUMMYFUNCTION("""COMPUTED_VALUE"""),0.0)</f>
        <v>0</v>
      </c>
      <c r="Y361" s="1">
        <f>IFERROR(__xludf.DUMMYFUNCTION("""COMPUTED_VALUE"""),6700.0)</f>
        <v>6700</v>
      </c>
      <c r="Z361" s="1">
        <f>IFERROR(__xludf.DUMMYFUNCTION("""COMPUTED_VALUE"""),102.0)</f>
        <v>102</v>
      </c>
      <c r="AA361" s="1">
        <f>IFERROR(__xludf.DUMMYFUNCTION("""COMPUTED_VALUE"""),7400.0)</f>
        <v>7400</v>
      </c>
      <c r="AB361" s="1">
        <f>IFERROR(__xludf.DUMMYFUNCTION("""COMPUTED_VALUE"""),5830.0)</f>
        <v>5830</v>
      </c>
      <c r="AC361" s="1">
        <f>IFERROR(__xludf.DUMMYFUNCTION("""COMPUTED_VALUE"""),100.0)</f>
        <v>100</v>
      </c>
      <c r="AD361" s="1">
        <f>IFERROR(__xludf.DUMMYFUNCTION("""COMPUTED_VALUE"""),4800.0)</f>
        <v>4800</v>
      </c>
      <c r="AE361" s="1">
        <f>IFERROR(__xludf.DUMMYFUNCTION("""COMPUTED_VALUE"""),800.0)</f>
        <v>800</v>
      </c>
      <c r="AF361" s="1">
        <f>IFERROR(__xludf.DUMMYFUNCTION("""COMPUTED_VALUE"""),2796.830078125)</f>
        <v>2796.830078</v>
      </c>
      <c r="AG361" s="1"/>
      <c r="AH361" s="1"/>
      <c r="AI361" s="1">
        <f>IFERROR(__xludf.DUMMYFUNCTION("""COMPUTED_VALUE"""),0.0)</f>
        <v>0</v>
      </c>
      <c r="AJ361" s="1"/>
      <c r="AK361" s="1"/>
      <c r="AL361" s="1">
        <f>IFERROR(__xludf.DUMMYFUNCTION("""COMPUTED_VALUE"""),0.0)</f>
        <v>0</v>
      </c>
      <c r="AM361" s="1">
        <f>IFERROR(__xludf.DUMMYFUNCTION("""COMPUTED_VALUE"""),10000.0)</f>
        <v>10000</v>
      </c>
      <c r="AN361" s="1">
        <f>IFERROR(__xludf.DUMMYFUNCTION("""COMPUTED_VALUE"""),400.0)</f>
        <v>400</v>
      </c>
      <c r="AO361" s="1">
        <f>IFERROR(__xludf.DUMMYFUNCTION("""COMPUTED_VALUE"""),7690.0)</f>
        <v>7690</v>
      </c>
      <c r="AP361" s="1">
        <f>IFERROR(__xludf.DUMMYFUNCTION("""COMPUTED_VALUE"""),872.0)</f>
        <v>872</v>
      </c>
      <c r="AQ361" s="1">
        <f>IFERROR(__xludf.DUMMYFUNCTION("""COMPUTED_VALUE"""),100.0)</f>
        <v>100</v>
      </c>
      <c r="AR361" s="1">
        <f>IFERROR(__xludf.DUMMYFUNCTION("""COMPUTED_VALUE"""),3010.0)</f>
        <v>3010</v>
      </c>
      <c r="AS361" s="1">
        <f>IFERROR(__xludf.DUMMYFUNCTION("""COMPUTED_VALUE"""),100.0)</f>
        <v>100</v>
      </c>
    </row>
    <row r="362">
      <c r="A362" s="1" t="str">
        <f>IFERROR(__xludf.DUMMYFUNCTION("""COMPUTED_VALUE"""),"WCB")</f>
        <v>WCB</v>
      </c>
      <c r="B362" s="1"/>
      <c r="C362" s="1"/>
      <c r="D362" s="1">
        <f>IFERROR(__xludf.DUMMYFUNCTION("""COMPUTED_VALUE"""),679500.0)</f>
        <v>679500</v>
      </c>
      <c r="E362" s="1">
        <f>IFERROR(__xludf.DUMMYFUNCTION("""COMPUTED_VALUE"""),1.0)</f>
        <v>1</v>
      </c>
      <c r="F362" s="1">
        <f>IFERROR(__xludf.DUMMYFUNCTION("""COMPUTED_VALUE"""),680000.0)</f>
        <v>680000</v>
      </c>
      <c r="G362" s="1">
        <f>IFERROR(__xludf.DUMMYFUNCTION("""COMPUTED_VALUE"""),5.0)</f>
        <v>5</v>
      </c>
      <c r="H362" s="1">
        <f>IFERROR(__xludf.DUMMYFUNCTION("""COMPUTED_VALUE"""),1.0)</f>
        <v>1</v>
      </c>
      <c r="I362" s="1">
        <f>IFERROR(__xludf.DUMMYFUNCTION("""COMPUTED_VALUE"""),550000.0)</f>
        <v>550000</v>
      </c>
      <c r="J362" s="1">
        <f>IFERROR(__xludf.DUMMYFUNCTION("""COMPUTED_VALUE"""),8.0)</f>
        <v>8</v>
      </c>
      <c r="K362" s="1">
        <f>IFERROR(__xludf.DUMMYFUNCTION("""COMPUTED_VALUE"""),687000.0)</f>
        <v>687000</v>
      </c>
      <c r="L362" s="1">
        <f>IFERROR(__xludf.DUMMYFUNCTION("""COMPUTED_VALUE"""),1.0)</f>
        <v>1</v>
      </c>
      <c r="M362" s="1">
        <f>IFERROR(__xludf.DUMMYFUNCTION("""COMPUTED_VALUE"""),697000.0)</f>
        <v>697000</v>
      </c>
      <c r="N362" s="1">
        <f>IFERROR(__xludf.DUMMYFUNCTION("""COMPUTED_VALUE"""),2.0)</f>
        <v>2</v>
      </c>
      <c r="O362" s="1"/>
      <c r="P362" s="1"/>
      <c r="Q362" s="1">
        <f>IFERROR(__xludf.DUMMYFUNCTION("""COMPUTED_VALUE"""),0.0)</f>
        <v>0</v>
      </c>
      <c r="R362" s="1">
        <f>IFERROR(__xludf.DUMMYFUNCTION("""COMPUTED_VALUE"""),328698.125)</f>
        <v>328698.125</v>
      </c>
      <c r="S362" s="1"/>
      <c r="T362" s="1"/>
      <c r="U362" s="1">
        <f>IFERROR(__xludf.DUMMYFUNCTION("""COMPUTED_VALUE"""),0.0)</f>
        <v>0</v>
      </c>
      <c r="V362" s="1"/>
      <c r="W362" s="1"/>
      <c r="X362" s="1">
        <f>IFERROR(__xludf.DUMMYFUNCTION("""COMPUTED_VALUE"""),0.0)</f>
        <v>0</v>
      </c>
      <c r="Y362" s="1">
        <f>IFERROR(__xludf.DUMMYFUNCTION("""COMPUTED_VALUE"""),649000.0)</f>
        <v>649000</v>
      </c>
      <c r="Z362" s="1">
        <f>IFERROR(__xludf.DUMMYFUNCTION("""COMPUTED_VALUE"""),1.0)</f>
        <v>1</v>
      </c>
      <c r="AA362" s="1">
        <f>IFERROR(__xludf.DUMMYFUNCTION("""COMPUTED_VALUE"""),648000.0)</f>
        <v>648000</v>
      </c>
      <c r="AB362" s="1">
        <f>IFERROR(__xludf.DUMMYFUNCTION("""COMPUTED_VALUE"""),21.0)</f>
        <v>21</v>
      </c>
      <c r="AC362" s="1">
        <f>IFERROR(__xludf.DUMMYFUNCTION("""COMPUTED_VALUE"""),1.0)</f>
        <v>1</v>
      </c>
      <c r="AD362" s="1">
        <f>IFERROR(__xludf.DUMMYFUNCTION("""COMPUTED_VALUE"""),500000.0)</f>
        <v>500000</v>
      </c>
      <c r="AE362" s="1">
        <f>IFERROR(__xludf.DUMMYFUNCTION("""COMPUTED_VALUE"""),2.0)</f>
        <v>2</v>
      </c>
      <c r="AF362" s="1">
        <f>IFERROR(__xludf.DUMMYFUNCTION("""COMPUTED_VALUE"""),328698.125)</f>
        <v>328698.125</v>
      </c>
      <c r="AG362" s="1"/>
      <c r="AH362" s="1"/>
      <c r="AI362" s="1">
        <f>IFERROR(__xludf.DUMMYFUNCTION("""COMPUTED_VALUE"""),0.0)</f>
        <v>0</v>
      </c>
      <c r="AJ362" s="1"/>
      <c r="AK362" s="1"/>
      <c r="AL362" s="1">
        <f>IFERROR(__xludf.DUMMYFUNCTION("""COMPUTED_VALUE"""),0.0)</f>
        <v>0</v>
      </c>
      <c r="AM362" s="1">
        <f>IFERROR(__xludf.DUMMYFUNCTION("""COMPUTED_VALUE"""),747000.0)</f>
        <v>747000</v>
      </c>
      <c r="AN362" s="1">
        <f>IFERROR(__xludf.DUMMYFUNCTION("""COMPUTED_VALUE"""),1.0)</f>
        <v>1</v>
      </c>
      <c r="AO362" s="1">
        <f>IFERROR(__xludf.DUMMYFUNCTION("""COMPUTED_VALUE"""),747000.0)</f>
        <v>747000</v>
      </c>
      <c r="AP362" s="1">
        <f>IFERROR(__xludf.DUMMYFUNCTION("""COMPUTED_VALUE"""),8.0)</f>
        <v>8</v>
      </c>
      <c r="AQ362" s="1">
        <f>IFERROR(__xludf.DUMMYFUNCTION("""COMPUTED_VALUE"""),1.0)</f>
        <v>1</v>
      </c>
      <c r="AR362" s="1">
        <f>IFERROR(__xludf.DUMMYFUNCTION("""COMPUTED_VALUE"""),600000.0)</f>
        <v>600000</v>
      </c>
      <c r="AS362" s="1">
        <f>IFERROR(__xludf.DUMMYFUNCTION("""COMPUTED_VALUE"""),2.0)</f>
        <v>2</v>
      </c>
    </row>
    <row r="363">
      <c r="A363" s="1" t="str">
        <f>IFERROR(__xludf.DUMMYFUNCTION("""COMPUTED_VALUE"""),"WIN")</f>
        <v>WIN</v>
      </c>
      <c r="B363" s="1"/>
      <c r="C363" s="1"/>
      <c r="D363" s="1">
        <f>IFERROR(__xludf.DUMMYFUNCTION("""COMPUTED_VALUE"""),6000.0)</f>
        <v>6000</v>
      </c>
      <c r="E363" s="1">
        <f>IFERROR(__xludf.DUMMYFUNCTION("""COMPUTED_VALUE"""),40.0)</f>
        <v>40</v>
      </c>
      <c r="F363" s="1">
        <f>IFERROR(__xludf.DUMMYFUNCTION("""COMPUTED_VALUE"""),6000.0)</f>
        <v>6000</v>
      </c>
      <c r="G363" s="1">
        <f>IFERROR(__xludf.DUMMYFUNCTION("""COMPUTED_VALUE"""),12734.0)</f>
        <v>12734</v>
      </c>
      <c r="H363" s="1">
        <f>IFERROR(__xludf.DUMMYFUNCTION("""COMPUTED_VALUE"""),30.0)</f>
        <v>30</v>
      </c>
      <c r="I363" s="1">
        <f>IFERROR(__xludf.DUMMYFUNCTION("""COMPUTED_VALUE"""),5460.0)</f>
        <v>5460</v>
      </c>
      <c r="J363" s="1">
        <f>IFERROR(__xludf.DUMMYFUNCTION("""COMPUTED_VALUE"""),2765.0)</f>
        <v>2765</v>
      </c>
      <c r="K363" s="1">
        <f>IFERROR(__xludf.DUMMYFUNCTION("""COMPUTED_VALUE"""),5710.0)</f>
        <v>5710</v>
      </c>
      <c r="L363" s="1">
        <f>IFERROR(__xludf.DUMMYFUNCTION("""COMPUTED_VALUE"""),10.0)</f>
        <v>10</v>
      </c>
      <c r="M363" s="1">
        <f>IFERROR(__xludf.DUMMYFUNCTION("""COMPUTED_VALUE"""),6000.0)</f>
        <v>6000</v>
      </c>
      <c r="N363" s="1">
        <f>IFERROR(__xludf.DUMMYFUNCTION("""COMPUTED_VALUE"""),642.0)</f>
        <v>642</v>
      </c>
      <c r="O363" s="1">
        <f>IFERROR(__xludf.DUMMYFUNCTION("""COMPUTED_VALUE"""),427.0)</f>
        <v>427</v>
      </c>
      <c r="P363" s="1">
        <f>IFERROR(__xludf.DUMMYFUNCTION("""COMPUTED_VALUE"""),5710.0)</f>
        <v>5710</v>
      </c>
      <c r="Q363" s="1">
        <f>IFERROR(__xludf.DUMMYFUNCTION("""COMPUTED_VALUE"""),2257.0)</f>
        <v>2257</v>
      </c>
      <c r="R363" s="1">
        <f>IFERROR(__xludf.DUMMYFUNCTION("""COMPUTED_VALUE"""),10000.0)</f>
        <v>10000</v>
      </c>
      <c r="S363" s="1">
        <f>IFERROR(__xludf.DUMMYFUNCTION("""COMPUTED_VALUE"""),60.0)</f>
        <v>60</v>
      </c>
      <c r="T363" s="1">
        <f>IFERROR(__xludf.DUMMYFUNCTION("""COMPUTED_VALUE"""),9000.0)</f>
        <v>9000</v>
      </c>
      <c r="U363" s="1">
        <f>IFERROR(__xludf.DUMMYFUNCTION("""COMPUTED_VALUE"""),73.0)</f>
        <v>73</v>
      </c>
      <c r="V363" s="1"/>
      <c r="W363" s="1"/>
      <c r="X363" s="1">
        <f>IFERROR(__xludf.DUMMYFUNCTION("""COMPUTED_VALUE"""),0.0)</f>
        <v>0</v>
      </c>
      <c r="Y363" s="1">
        <f>IFERROR(__xludf.DUMMYFUNCTION("""COMPUTED_VALUE"""),6790.0)</f>
        <v>6790</v>
      </c>
      <c r="Z363" s="1">
        <f>IFERROR(__xludf.DUMMYFUNCTION("""COMPUTED_VALUE"""),148.0)</f>
        <v>148</v>
      </c>
      <c r="AA363" s="1">
        <f>IFERROR(__xludf.DUMMYFUNCTION("""COMPUTED_VALUE"""),6780.0)</f>
        <v>6780</v>
      </c>
      <c r="AB363" s="1">
        <f>IFERROR(__xludf.DUMMYFUNCTION("""COMPUTED_VALUE"""),7587.0)</f>
        <v>7587</v>
      </c>
      <c r="AC363" s="1">
        <f>IFERROR(__xludf.DUMMYFUNCTION("""COMPUTED_VALUE"""),141.0)</f>
        <v>141</v>
      </c>
      <c r="AD363" s="1">
        <f>IFERROR(__xludf.DUMMYFUNCTION("""COMPUTED_VALUE"""),6110.0)</f>
        <v>6110</v>
      </c>
      <c r="AE363" s="1">
        <f>IFERROR(__xludf.DUMMYFUNCTION("""COMPUTED_VALUE"""),2254.0)</f>
        <v>2254</v>
      </c>
      <c r="AF363" s="1">
        <f>IFERROR(__xludf.DUMMYFUNCTION("""COMPUTED_VALUE"""),12000.0)</f>
        <v>12000</v>
      </c>
      <c r="AG363" s="1">
        <f>IFERROR(__xludf.DUMMYFUNCTION("""COMPUTED_VALUE"""),2.0)</f>
        <v>2</v>
      </c>
      <c r="AH363" s="1">
        <f>IFERROR(__xludf.DUMMYFUNCTION("""COMPUTED_VALUE"""),6480.0)</f>
        <v>6480</v>
      </c>
      <c r="AI363" s="1">
        <f>IFERROR(__xludf.DUMMYFUNCTION("""COMPUTED_VALUE"""),22.0)</f>
        <v>22</v>
      </c>
      <c r="AJ363" s="1"/>
      <c r="AK363" s="1"/>
      <c r="AL363" s="1">
        <f>IFERROR(__xludf.DUMMYFUNCTION("""COMPUTED_VALUE"""),0.0)</f>
        <v>0</v>
      </c>
      <c r="AM363" s="1">
        <f>IFERROR(__xludf.DUMMYFUNCTION("""COMPUTED_VALUE"""),6990.0)</f>
        <v>6990</v>
      </c>
      <c r="AN363" s="1">
        <f>IFERROR(__xludf.DUMMYFUNCTION("""COMPUTED_VALUE"""),1955.0)</f>
        <v>1955</v>
      </c>
      <c r="AO363" s="1">
        <f>IFERROR(__xludf.DUMMYFUNCTION("""COMPUTED_VALUE"""),6990.0)</f>
        <v>6990</v>
      </c>
      <c r="AP363" s="1">
        <f>IFERROR(__xludf.DUMMYFUNCTION("""COMPUTED_VALUE"""),2955.0)</f>
        <v>2955</v>
      </c>
      <c r="AQ363" s="1">
        <f>IFERROR(__xludf.DUMMYFUNCTION("""COMPUTED_VALUE"""),450.0)</f>
        <v>450</v>
      </c>
      <c r="AR363" s="1">
        <f>IFERROR(__xludf.DUMMYFUNCTION("""COMPUTED_VALUE"""),5920.0)</f>
        <v>5920</v>
      </c>
      <c r="AS363" s="1">
        <f>IFERROR(__xludf.DUMMYFUNCTION("""COMPUTED_VALUE"""),2010.0)</f>
        <v>2010</v>
      </c>
    </row>
    <row r="364">
      <c r="A364" s="1" t="str">
        <f>IFERROR(__xludf.DUMMYFUNCTION("""COMPUTED_VALUE"""),"WM")</f>
        <v>WM</v>
      </c>
      <c r="B364" s="1"/>
      <c r="C364" s="1"/>
      <c r="D364" s="1">
        <f>IFERROR(__xludf.DUMMYFUNCTION("""COMPUTED_VALUE"""),7966.18017578125)</f>
        <v>7966.180176</v>
      </c>
      <c r="E364" s="1">
        <f>IFERROR(__xludf.DUMMYFUNCTION("""COMPUTED_VALUE"""),21.0)</f>
        <v>21</v>
      </c>
      <c r="F364" s="1">
        <f>IFERROR(__xludf.DUMMYFUNCTION("""COMPUTED_VALUE"""),11900.0)</f>
        <v>11900</v>
      </c>
      <c r="G364" s="1">
        <f>IFERROR(__xludf.DUMMYFUNCTION("""COMPUTED_VALUE"""),764.0)</f>
        <v>764</v>
      </c>
      <c r="H364" s="1">
        <f>IFERROR(__xludf.DUMMYFUNCTION("""COMPUTED_VALUE"""),10.0)</f>
        <v>10</v>
      </c>
      <c r="I364" s="1">
        <f>IFERROR(__xludf.DUMMYFUNCTION("""COMPUTED_VALUE"""),6800.0)</f>
        <v>6800</v>
      </c>
      <c r="J364" s="1">
        <f>IFERROR(__xludf.DUMMYFUNCTION("""COMPUTED_VALUE"""),13.0)</f>
        <v>13</v>
      </c>
      <c r="K364" s="1">
        <f>IFERROR(__xludf.DUMMYFUNCTION("""COMPUTED_VALUE"""),7000.0)</f>
        <v>7000</v>
      </c>
      <c r="L364" s="1">
        <f>IFERROR(__xludf.DUMMYFUNCTION("""COMPUTED_VALUE"""),4.0)</f>
        <v>4</v>
      </c>
      <c r="M364" s="1">
        <f>IFERROR(__xludf.DUMMYFUNCTION("""COMPUTED_VALUE"""),10000.0)</f>
        <v>10000</v>
      </c>
      <c r="N364" s="1">
        <f>IFERROR(__xludf.DUMMYFUNCTION("""COMPUTED_VALUE"""),14.0)</f>
        <v>14</v>
      </c>
      <c r="O364" s="1">
        <f>IFERROR(__xludf.DUMMYFUNCTION("""COMPUTED_VALUE"""),6.0)</f>
        <v>6</v>
      </c>
      <c r="P364" s="1">
        <f>IFERROR(__xludf.DUMMYFUNCTION("""COMPUTED_VALUE"""),7000.0)</f>
        <v>7000</v>
      </c>
      <c r="Q364" s="1">
        <f>IFERROR(__xludf.DUMMYFUNCTION("""COMPUTED_VALUE"""),7.0)</f>
        <v>7</v>
      </c>
      <c r="R364" s="1">
        <f>IFERROR(__xludf.DUMMYFUNCTION("""COMPUTED_VALUE"""),6790.0)</f>
        <v>6790</v>
      </c>
      <c r="S364" s="1"/>
      <c r="T364" s="1"/>
      <c r="U364" s="1">
        <f>IFERROR(__xludf.DUMMYFUNCTION("""COMPUTED_VALUE"""),0.0)</f>
        <v>0</v>
      </c>
      <c r="V364" s="1"/>
      <c r="W364" s="1"/>
      <c r="X364" s="1">
        <f>IFERROR(__xludf.DUMMYFUNCTION("""COMPUTED_VALUE"""),0.0)</f>
        <v>0</v>
      </c>
      <c r="Y364" s="1">
        <f>IFERROR(__xludf.DUMMYFUNCTION("""COMPUTED_VALUE"""),11000.0)</f>
        <v>11000</v>
      </c>
      <c r="Z364" s="1">
        <f>IFERROR(__xludf.DUMMYFUNCTION("""COMPUTED_VALUE"""),247.0)</f>
        <v>247</v>
      </c>
      <c r="AA364" s="1">
        <f>IFERROR(__xludf.DUMMYFUNCTION("""COMPUTED_VALUE"""),12000.0)</f>
        <v>12000</v>
      </c>
      <c r="AB364" s="1">
        <f>IFERROR(__xludf.DUMMYFUNCTION("""COMPUTED_VALUE"""),420.0)</f>
        <v>420</v>
      </c>
      <c r="AC364" s="1">
        <f>IFERROR(__xludf.DUMMYFUNCTION("""COMPUTED_VALUE"""),1.0)</f>
        <v>1</v>
      </c>
      <c r="AD364" s="1">
        <f>IFERROR(__xludf.DUMMYFUNCTION("""COMPUTED_VALUE"""),11000.0)</f>
        <v>11000</v>
      </c>
      <c r="AE364" s="1">
        <f>IFERROR(__xludf.DUMMYFUNCTION("""COMPUTED_VALUE"""),1.0)</f>
        <v>1</v>
      </c>
      <c r="AF364" s="1">
        <f>IFERROR(__xludf.DUMMYFUNCTION("""COMPUTED_VALUE"""),6790.0)</f>
        <v>6790</v>
      </c>
      <c r="AG364" s="1"/>
      <c r="AH364" s="1"/>
      <c r="AI364" s="1">
        <f>IFERROR(__xludf.DUMMYFUNCTION("""COMPUTED_VALUE"""),0.0)</f>
        <v>0</v>
      </c>
      <c r="AJ364" s="1"/>
      <c r="AK364" s="1"/>
      <c r="AL364" s="1">
        <f>IFERROR(__xludf.DUMMYFUNCTION("""COMPUTED_VALUE"""),0.0)</f>
        <v>0</v>
      </c>
      <c r="AM364" s="1">
        <f>IFERROR(__xludf.DUMMYFUNCTION("""COMPUTED_VALUE"""),11000.0)</f>
        <v>11000</v>
      </c>
      <c r="AN364" s="1">
        <f>IFERROR(__xludf.DUMMYFUNCTION("""COMPUTED_VALUE"""),1.0)</f>
        <v>1</v>
      </c>
      <c r="AO364" s="1">
        <f>IFERROR(__xludf.DUMMYFUNCTION("""COMPUTED_VALUE"""),11000.0)</f>
        <v>11000</v>
      </c>
      <c r="AP364" s="1">
        <f>IFERROR(__xludf.DUMMYFUNCTION("""COMPUTED_VALUE"""),1.0)</f>
        <v>1</v>
      </c>
      <c r="AQ364" s="1">
        <f>IFERROR(__xludf.DUMMYFUNCTION("""COMPUTED_VALUE"""),1.0)</f>
        <v>1</v>
      </c>
      <c r="AR364" s="1">
        <f>IFERROR(__xludf.DUMMYFUNCTION("""COMPUTED_VALUE"""),10000.0)</f>
        <v>10000</v>
      </c>
      <c r="AS364" s="1">
        <f>IFERROR(__xludf.DUMMYFUNCTION("""COMPUTED_VALUE"""),1.0)</f>
        <v>1</v>
      </c>
    </row>
    <row r="365">
      <c r="A365" s="1" t="str">
        <f>IFERROR(__xludf.DUMMYFUNCTION("""COMPUTED_VALUE"""),"WOR")</f>
        <v>WOR</v>
      </c>
      <c r="B365" s="1"/>
      <c r="C365" s="1"/>
      <c r="D365" s="1">
        <f>IFERROR(__xludf.DUMMYFUNCTION("""COMPUTED_VALUE"""),150000.0)</f>
        <v>150000</v>
      </c>
      <c r="E365" s="1">
        <f>IFERROR(__xludf.DUMMYFUNCTION("""COMPUTED_VALUE"""),14.0)</f>
        <v>14</v>
      </c>
      <c r="F365" s="1">
        <f>IFERROR(__xludf.DUMMYFUNCTION("""COMPUTED_VALUE"""),150000.0)</f>
        <v>150000</v>
      </c>
      <c r="G365" s="1">
        <f>IFERROR(__xludf.DUMMYFUNCTION("""COMPUTED_VALUE"""),19.0)</f>
        <v>19</v>
      </c>
      <c r="H365" s="1"/>
      <c r="I365" s="1"/>
      <c r="J365" s="1">
        <f>IFERROR(__xludf.DUMMYFUNCTION("""COMPUTED_VALUE"""),0.0)</f>
        <v>0</v>
      </c>
      <c r="K365" s="1">
        <f>IFERROR(__xludf.DUMMYFUNCTION("""COMPUTED_VALUE"""),100000.0)</f>
        <v>100000</v>
      </c>
      <c r="L365" s="1"/>
      <c r="M365" s="1"/>
      <c r="N365" s="1">
        <f>IFERROR(__xludf.DUMMYFUNCTION("""COMPUTED_VALUE"""),0.0)</f>
        <v>0</v>
      </c>
      <c r="O365" s="1"/>
      <c r="P365" s="1"/>
      <c r="Q365" s="1">
        <f>IFERROR(__xludf.DUMMYFUNCTION("""COMPUTED_VALUE"""),0.0)</f>
        <v>0</v>
      </c>
      <c r="R365" s="1">
        <f>IFERROR(__xludf.DUMMYFUNCTION("""COMPUTED_VALUE"""),83883.15625)</f>
        <v>83883.15625</v>
      </c>
      <c r="S365" s="1"/>
      <c r="T365" s="1"/>
      <c r="U365" s="1">
        <f>IFERROR(__xludf.DUMMYFUNCTION("""COMPUTED_VALUE"""),0.0)</f>
        <v>0</v>
      </c>
      <c r="V365" s="1"/>
      <c r="W365" s="1"/>
      <c r="X365" s="1">
        <f>IFERROR(__xludf.DUMMYFUNCTION("""COMPUTED_VALUE"""),0.0)</f>
        <v>0</v>
      </c>
      <c r="Y365" s="1">
        <f>IFERROR(__xludf.DUMMYFUNCTION("""COMPUTED_VALUE"""),160000.0)</f>
        <v>160000</v>
      </c>
      <c r="Z365" s="1">
        <f>IFERROR(__xludf.DUMMYFUNCTION("""COMPUTED_VALUE"""),1.0)</f>
        <v>1</v>
      </c>
      <c r="AA365" s="1">
        <f>IFERROR(__xludf.DUMMYFUNCTION("""COMPUTED_VALUE"""),160000.0)</f>
        <v>160000</v>
      </c>
      <c r="AB365" s="1">
        <f>IFERROR(__xludf.DUMMYFUNCTION("""COMPUTED_VALUE"""),6.0)</f>
        <v>6</v>
      </c>
      <c r="AC365" s="1"/>
      <c r="AD365" s="1"/>
      <c r="AE365" s="1">
        <f>IFERROR(__xludf.DUMMYFUNCTION("""COMPUTED_VALUE"""),0.0)</f>
        <v>0</v>
      </c>
      <c r="AF365" s="1">
        <f>IFERROR(__xludf.DUMMYFUNCTION("""COMPUTED_VALUE"""),83883.15625)</f>
        <v>83883.15625</v>
      </c>
      <c r="AG365" s="1"/>
      <c r="AH365" s="1"/>
      <c r="AI365" s="1">
        <f>IFERROR(__xludf.DUMMYFUNCTION("""COMPUTED_VALUE"""),0.0)</f>
        <v>0</v>
      </c>
      <c r="AJ365" s="1"/>
      <c r="AK365" s="1"/>
      <c r="AL365" s="1">
        <f>IFERROR(__xludf.DUMMYFUNCTION("""COMPUTED_VALUE"""),0.0)</f>
        <v>0</v>
      </c>
      <c r="AM365" s="1">
        <f>IFERROR(__xludf.DUMMYFUNCTION("""COMPUTED_VALUE"""),135000.0)</f>
        <v>135000</v>
      </c>
      <c r="AN365" s="1"/>
      <c r="AO365" s="1"/>
      <c r="AP365" s="1">
        <f>IFERROR(__xludf.DUMMYFUNCTION("""COMPUTED_VALUE"""),0.0)</f>
        <v>0</v>
      </c>
      <c r="AQ365" s="1"/>
      <c r="AR365" s="1"/>
      <c r="AS365" s="1">
        <f>IFERROR(__xludf.DUMMYFUNCTION("""COMPUTED_VALUE"""),0.0)</f>
        <v>0</v>
      </c>
    </row>
    <row r="366">
      <c r="A366" s="1" t="str">
        <f>IFERROR(__xludf.DUMMYFUNCTION("""COMPUTED_VALUE"""),"WR")</f>
        <v>WR</v>
      </c>
      <c r="B366" s="1">
        <f>IFERROR(__xludf.DUMMYFUNCTION("""COMPUTED_VALUE"""),140000.0)</f>
        <v>140000</v>
      </c>
      <c r="C366" s="1"/>
      <c r="D366" s="1">
        <f>IFERROR(__xludf.DUMMYFUNCTION("""COMPUTED_VALUE"""),140000.0)</f>
        <v>140000</v>
      </c>
      <c r="E366" s="1">
        <f>IFERROR(__xludf.DUMMYFUNCTION("""COMPUTED_VALUE"""),1.0)</f>
        <v>1</v>
      </c>
      <c r="F366" s="1">
        <f>IFERROR(__xludf.DUMMYFUNCTION("""COMPUTED_VALUE"""),150000.0)</f>
        <v>150000</v>
      </c>
      <c r="G366" s="1">
        <f>IFERROR(__xludf.DUMMYFUNCTION("""COMPUTED_VALUE"""),2.0)</f>
        <v>2</v>
      </c>
      <c r="H366" s="1">
        <f>IFERROR(__xludf.DUMMYFUNCTION("""COMPUTED_VALUE"""),100.0)</f>
        <v>100</v>
      </c>
      <c r="I366" s="1">
        <f>IFERROR(__xludf.DUMMYFUNCTION("""COMPUTED_VALUE"""),140000.0)</f>
        <v>140000</v>
      </c>
      <c r="J366" s="1">
        <f>IFERROR(__xludf.DUMMYFUNCTION("""COMPUTED_VALUE"""),100.0)</f>
        <v>100</v>
      </c>
      <c r="K366" s="1">
        <f>IFERROR(__xludf.DUMMYFUNCTION("""COMPUTED_VALUE"""),140000.0)</f>
        <v>140000</v>
      </c>
      <c r="L366" s="1"/>
      <c r="M366" s="1"/>
      <c r="N366" s="1">
        <f>IFERROR(__xludf.DUMMYFUNCTION("""COMPUTED_VALUE"""),0.0)</f>
        <v>0</v>
      </c>
      <c r="O366" s="1">
        <f>IFERROR(__xludf.DUMMYFUNCTION("""COMPUTED_VALUE"""),5.0)</f>
        <v>5</v>
      </c>
      <c r="P366" s="1">
        <f>IFERROR(__xludf.DUMMYFUNCTION("""COMPUTED_VALUE"""),141000.0)</f>
        <v>141000</v>
      </c>
      <c r="Q366" s="1">
        <f>IFERROR(__xludf.DUMMYFUNCTION("""COMPUTED_VALUE"""),105.0)</f>
        <v>105</v>
      </c>
      <c r="R366" s="1">
        <f>IFERROR(__xludf.DUMMYFUNCTION("""COMPUTED_VALUE"""),78076.21875)</f>
        <v>78076.21875</v>
      </c>
      <c r="S366" s="1"/>
      <c r="T366" s="1"/>
      <c r="U366" s="1">
        <f>IFERROR(__xludf.DUMMYFUNCTION("""COMPUTED_VALUE"""),0.0)</f>
        <v>0</v>
      </c>
      <c r="V366" s="1"/>
      <c r="W366" s="1"/>
      <c r="X366" s="1">
        <f>IFERROR(__xludf.DUMMYFUNCTION("""COMPUTED_VALUE"""),0.0)</f>
        <v>0</v>
      </c>
      <c r="Y366" s="1">
        <f>IFERROR(__xludf.DUMMYFUNCTION("""COMPUTED_VALUE"""),140000.0)</f>
        <v>140000</v>
      </c>
      <c r="Z366" s="1">
        <f>IFERROR(__xludf.DUMMYFUNCTION("""COMPUTED_VALUE"""),2.0)</f>
        <v>2</v>
      </c>
      <c r="AA366" s="1">
        <f>IFERROR(__xludf.DUMMYFUNCTION("""COMPUTED_VALUE"""),150000.0)</f>
        <v>150000</v>
      </c>
      <c r="AB366" s="1">
        <f>IFERROR(__xludf.DUMMYFUNCTION("""COMPUTED_VALUE"""),2.0)</f>
        <v>2</v>
      </c>
      <c r="AC366" s="1">
        <f>IFERROR(__xludf.DUMMYFUNCTION("""COMPUTED_VALUE"""),100.0)</f>
        <v>100</v>
      </c>
      <c r="AD366" s="1">
        <f>IFERROR(__xludf.DUMMYFUNCTION("""COMPUTED_VALUE"""),140000.0)</f>
        <v>140000</v>
      </c>
      <c r="AE366" s="1">
        <f>IFERROR(__xludf.DUMMYFUNCTION("""COMPUTED_VALUE"""),100.0)</f>
        <v>100</v>
      </c>
      <c r="AF366" s="1">
        <f>IFERROR(__xludf.DUMMYFUNCTION("""COMPUTED_VALUE"""),78076.21875)</f>
        <v>78076.21875</v>
      </c>
      <c r="AG366" s="1"/>
      <c r="AH366" s="1"/>
      <c r="AI366" s="1">
        <f>IFERROR(__xludf.DUMMYFUNCTION("""COMPUTED_VALUE"""),0.0)</f>
        <v>0</v>
      </c>
      <c r="AJ366" s="1"/>
      <c r="AK366" s="1"/>
      <c r="AL366" s="1">
        <f>IFERROR(__xludf.DUMMYFUNCTION("""COMPUTED_VALUE"""),0.0)</f>
        <v>0</v>
      </c>
      <c r="AM366" s="1">
        <f>IFERROR(__xludf.DUMMYFUNCTION("""COMPUTED_VALUE"""),140000.0)</f>
        <v>140000</v>
      </c>
      <c r="AN366" s="1"/>
      <c r="AO366" s="1"/>
      <c r="AP366" s="1">
        <f>IFERROR(__xludf.DUMMYFUNCTION("""COMPUTED_VALUE"""),0.0)</f>
        <v>0</v>
      </c>
      <c r="AQ366" s="1">
        <f>IFERROR(__xludf.DUMMYFUNCTION("""COMPUTED_VALUE"""),100.0)</f>
        <v>100</v>
      </c>
      <c r="AR366" s="1">
        <f>IFERROR(__xludf.DUMMYFUNCTION("""COMPUTED_VALUE"""),140000.0)</f>
        <v>140000</v>
      </c>
      <c r="AS366" s="1">
        <f>IFERROR(__xludf.DUMMYFUNCTION("""COMPUTED_VALUE"""),100.0)</f>
        <v>100</v>
      </c>
    </row>
    <row r="367">
      <c r="A367" s="1" t="str">
        <f>IFERROR(__xludf.DUMMYFUNCTION("""COMPUTED_VALUE"""),"WRH")</f>
        <v>WRH</v>
      </c>
      <c r="B367" s="1"/>
      <c r="C367" s="1"/>
      <c r="D367" s="1">
        <f>IFERROR(__xludf.DUMMYFUNCTION("""COMPUTED_VALUE"""),9500.0)</f>
        <v>9500</v>
      </c>
      <c r="E367" s="1"/>
      <c r="F367" s="1"/>
      <c r="G367" s="1">
        <f>IFERROR(__xludf.DUMMYFUNCTION("""COMPUTED_VALUE"""),0.0)</f>
        <v>0</v>
      </c>
      <c r="H367" s="1">
        <f>IFERROR(__xludf.DUMMYFUNCTION("""COMPUTED_VALUE"""),1.0)</f>
        <v>1</v>
      </c>
      <c r="I367" s="1">
        <f>IFERROR(__xludf.DUMMYFUNCTION("""COMPUTED_VALUE"""),9500.0)</f>
        <v>9500</v>
      </c>
      <c r="J367" s="1">
        <f>IFERROR(__xludf.DUMMYFUNCTION("""COMPUTED_VALUE"""),1.0)</f>
        <v>1</v>
      </c>
      <c r="K367" s="1">
        <f>IFERROR(__xludf.DUMMYFUNCTION("""COMPUTED_VALUE"""),3389.90991210937)</f>
        <v>3389.909912</v>
      </c>
      <c r="L367" s="1"/>
      <c r="M367" s="1"/>
      <c r="N367" s="1">
        <f>IFERROR(__xludf.DUMMYFUNCTION("""COMPUTED_VALUE"""),0.0)</f>
        <v>0</v>
      </c>
      <c r="O367" s="1"/>
      <c r="P367" s="1"/>
      <c r="Q367" s="1">
        <f>IFERROR(__xludf.DUMMYFUNCTION("""COMPUTED_VALUE"""),0.0)</f>
        <v>0</v>
      </c>
      <c r="R367" s="1">
        <f>IFERROR(__xludf.DUMMYFUNCTION("""COMPUTED_VALUE"""),3389.90991210937)</f>
        <v>3389.909912</v>
      </c>
      <c r="S367" s="1"/>
      <c r="T367" s="1"/>
      <c r="U367" s="1">
        <f>IFERROR(__xludf.DUMMYFUNCTION("""COMPUTED_VALUE"""),0.0)</f>
        <v>0</v>
      </c>
      <c r="V367" s="1"/>
      <c r="W367" s="1"/>
      <c r="X367" s="1">
        <f>IFERROR(__xludf.DUMMYFUNCTION("""COMPUTED_VALUE"""),0.0)</f>
        <v>0</v>
      </c>
      <c r="Y367" s="1">
        <f>IFERROR(__xludf.DUMMYFUNCTION("""COMPUTED_VALUE"""),3389.90991210937)</f>
        <v>3389.909912</v>
      </c>
      <c r="Z367" s="1"/>
      <c r="AA367" s="1"/>
      <c r="AB367" s="1">
        <f>IFERROR(__xludf.DUMMYFUNCTION("""COMPUTED_VALUE"""),0.0)</f>
        <v>0</v>
      </c>
      <c r="AC367" s="1"/>
      <c r="AD367" s="1"/>
      <c r="AE367" s="1">
        <f>IFERROR(__xludf.DUMMYFUNCTION("""COMPUTED_VALUE"""),0.0)</f>
        <v>0</v>
      </c>
      <c r="AF367" s="1">
        <f>IFERROR(__xludf.DUMMYFUNCTION("""COMPUTED_VALUE"""),3389.90991210937)</f>
        <v>3389.909912</v>
      </c>
      <c r="AG367" s="1"/>
      <c r="AH367" s="1"/>
      <c r="AI367" s="1">
        <f>IFERROR(__xludf.DUMMYFUNCTION("""COMPUTED_VALUE"""),0.0)</f>
        <v>0</v>
      </c>
      <c r="AJ367" s="1"/>
      <c r="AK367" s="1"/>
      <c r="AL367" s="1">
        <f>IFERROR(__xludf.DUMMYFUNCTION("""COMPUTED_VALUE"""),0.0)</f>
        <v>0</v>
      </c>
      <c r="AM367" s="1">
        <f>IFERROR(__xludf.DUMMYFUNCTION("""COMPUTED_VALUE"""),3389.90991210937)</f>
        <v>3389.909912</v>
      </c>
      <c r="AN367" s="1"/>
      <c r="AO367" s="1"/>
      <c r="AP367" s="1">
        <f>IFERROR(__xludf.DUMMYFUNCTION("""COMPUTED_VALUE"""),0.0)</f>
        <v>0</v>
      </c>
      <c r="AQ367" s="1"/>
      <c r="AR367" s="1"/>
      <c r="AS367" s="1">
        <f>IFERROR(__xludf.DUMMYFUNCTION("""COMPUTED_VALUE"""),0.0)</f>
        <v>0</v>
      </c>
    </row>
    <row r="368">
      <c r="A368" s="1" t="str">
        <f>IFERROR(__xludf.DUMMYFUNCTION("""COMPUTED_VALUE"""),"WS")</f>
        <v>WS</v>
      </c>
      <c r="B368" s="1"/>
      <c r="C368" s="1"/>
      <c r="D368" s="1">
        <f>IFERROR(__xludf.DUMMYFUNCTION("""COMPUTED_VALUE"""),4740.0)</f>
        <v>4740</v>
      </c>
      <c r="E368" s="1">
        <f>IFERROR(__xludf.DUMMYFUNCTION("""COMPUTED_VALUE"""),2.0)</f>
        <v>2</v>
      </c>
      <c r="F368" s="1">
        <f>IFERROR(__xludf.DUMMYFUNCTION("""COMPUTED_VALUE"""),4740.0)</f>
        <v>4740</v>
      </c>
      <c r="G368" s="1">
        <f>IFERROR(__xludf.DUMMYFUNCTION("""COMPUTED_VALUE"""),1724.0)</f>
        <v>1724</v>
      </c>
      <c r="H368" s="1">
        <f>IFERROR(__xludf.DUMMYFUNCTION("""COMPUTED_VALUE"""),66.0)</f>
        <v>66</v>
      </c>
      <c r="I368" s="1">
        <f>IFERROR(__xludf.DUMMYFUNCTION("""COMPUTED_VALUE"""),4600.0)</f>
        <v>4600</v>
      </c>
      <c r="J368" s="1">
        <f>IFERROR(__xludf.DUMMYFUNCTION("""COMPUTED_VALUE"""),10357.0)</f>
        <v>10357</v>
      </c>
      <c r="K368" s="1">
        <f>IFERROR(__xludf.DUMMYFUNCTION("""COMPUTED_VALUE"""),4500.0)</f>
        <v>4500</v>
      </c>
      <c r="L368" s="1">
        <f>IFERROR(__xludf.DUMMYFUNCTION("""COMPUTED_VALUE"""),442.0)</f>
        <v>442</v>
      </c>
      <c r="M368" s="1">
        <f>IFERROR(__xludf.DUMMYFUNCTION("""COMPUTED_VALUE"""),4500.0)</f>
        <v>4500</v>
      </c>
      <c r="N368" s="1">
        <f>IFERROR(__xludf.DUMMYFUNCTION("""COMPUTED_VALUE"""),863.0)</f>
        <v>863</v>
      </c>
      <c r="O368" s="1">
        <f>IFERROR(__xludf.DUMMYFUNCTION("""COMPUTED_VALUE"""),59.0)</f>
        <v>59</v>
      </c>
      <c r="P368" s="1">
        <f>IFERROR(__xludf.DUMMYFUNCTION("""COMPUTED_VALUE"""),3060.0)</f>
        <v>3060</v>
      </c>
      <c r="Q368" s="1">
        <f>IFERROR(__xludf.DUMMYFUNCTION("""COMPUTED_VALUE"""),10140.0)</f>
        <v>10140</v>
      </c>
      <c r="R368" s="1">
        <f>IFERROR(__xludf.DUMMYFUNCTION("""COMPUTED_VALUE"""),6000.0)</f>
        <v>6000</v>
      </c>
      <c r="S368" s="1">
        <f>IFERROR(__xludf.DUMMYFUNCTION("""COMPUTED_VALUE"""),60.0)</f>
        <v>60</v>
      </c>
      <c r="T368" s="1">
        <f>IFERROR(__xludf.DUMMYFUNCTION("""COMPUTED_VALUE"""),5200.0)</f>
        <v>5200</v>
      </c>
      <c r="U368" s="1">
        <f>IFERROR(__xludf.DUMMYFUNCTION("""COMPUTED_VALUE"""),64.0)</f>
        <v>64</v>
      </c>
      <c r="V368" s="1"/>
      <c r="W368" s="1"/>
      <c r="X368" s="1">
        <f>IFERROR(__xludf.DUMMYFUNCTION("""COMPUTED_VALUE"""),0.0)</f>
        <v>0</v>
      </c>
      <c r="Y368" s="1">
        <f>IFERROR(__xludf.DUMMYFUNCTION("""COMPUTED_VALUE"""),4400.0)</f>
        <v>4400</v>
      </c>
      <c r="Z368" s="1">
        <f>IFERROR(__xludf.DUMMYFUNCTION("""COMPUTED_VALUE"""),67.0)</f>
        <v>67</v>
      </c>
      <c r="AA368" s="1">
        <f>IFERROR(__xludf.DUMMYFUNCTION("""COMPUTED_VALUE"""),4400.0)</f>
        <v>4400</v>
      </c>
      <c r="AB368" s="1">
        <f>IFERROR(__xludf.DUMMYFUNCTION("""COMPUTED_VALUE"""),3003.0)</f>
        <v>3003</v>
      </c>
      <c r="AC368" s="1">
        <f>IFERROR(__xludf.DUMMYFUNCTION("""COMPUTED_VALUE"""),50.0)</f>
        <v>50</v>
      </c>
      <c r="AD368" s="1">
        <f>IFERROR(__xludf.DUMMYFUNCTION("""COMPUTED_VALUE"""),3800.0)</f>
        <v>3800</v>
      </c>
      <c r="AE368" s="1">
        <f>IFERROR(__xludf.DUMMYFUNCTION("""COMPUTED_VALUE"""),513.0)</f>
        <v>513</v>
      </c>
      <c r="AF368" s="1">
        <f>IFERROR(__xludf.DUMMYFUNCTION("""COMPUTED_VALUE"""),2593.96997070312)</f>
        <v>2593.969971</v>
      </c>
      <c r="AG368" s="1">
        <f>IFERROR(__xludf.DUMMYFUNCTION("""COMPUTED_VALUE"""),20.0)</f>
        <v>20</v>
      </c>
      <c r="AH368" s="1">
        <f>IFERROR(__xludf.DUMMYFUNCTION("""COMPUTED_VALUE"""),5000.0)</f>
        <v>5000</v>
      </c>
      <c r="AI368" s="1">
        <f>IFERROR(__xludf.DUMMYFUNCTION("""COMPUTED_VALUE"""),80.0)</f>
        <v>80</v>
      </c>
      <c r="AJ368" s="1"/>
      <c r="AK368" s="1"/>
      <c r="AL368" s="1">
        <f>IFERROR(__xludf.DUMMYFUNCTION("""COMPUTED_VALUE"""),0.0)</f>
        <v>0</v>
      </c>
      <c r="AM368" s="1">
        <f>IFERROR(__xludf.DUMMYFUNCTION("""COMPUTED_VALUE"""),5280.0)</f>
        <v>5280</v>
      </c>
      <c r="AN368" s="1">
        <f>IFERROR(__xludf.DUMMYFUNCTION("""COMPUTED_VALUE"""),395.0)</f>
        <v>395</v>
      </c>
      <c r="AO368" s="1">
        <f>IFERROR(__xludf.DUMMYFUNCTION("""COMPUTED_VALUE"""),5280.0)</f>
        <v>5280</v>
      </c>
      <c r="AP368" s="1">
        <f>IFERROR(__xludf.DUMMYFUNCTION("""COMPUTED_VALUE"""),1598.0)</f>
        <v>1598</v>
      </c>
      <c r="AQ368" s="1">
        <f>IFERROR(__xludf.DUMMYFUNCTION("""COMPUTED_VALUE"""),100.0)</f>
        <v>100</v>
      </c>
      <c r="AR368" s="1">
        <f>IFERROR(__xludf.DUMMYFUNCTION("""COMPUTED_VALUE"""),3530.0)</f>
        <v>3530</v>
      </c>
      <c r="AS368" s="1">
        <f>IFERROR(__xludf.DUMMYFUNCTION("""COMPUTED_VALUE"""),116.0)</f>
        <v>116</v>
      </c>
    </row>
    <row r="369">
      <c r="A369" s="1" t="str">
        <f>IFERROR(__xludf.DUMMYFUNCTION("""COMPUTED_VALUE"""),"ZIR")</f>
        <v>ZIR</v>
      </c>
      <c r="B369" s="1"/>
      <c r="C369" s="1"/>
      <c r="D369" s="1">
        <f>IFERROR(__xludf.DUMMYFUNCTION("""COMPUTED_VALUE"""),997.0)</f>
        <v>997</v>
      </c>
      <c r="E369" s="1">
        <f>IFERROR(__xludf.DUMMYFUNCTION("""COMPUTED_VALUE"""),997.0)</f>
        <v>997</v>
      </c>
      <c r="F369" s="1">
        <f>IFERROR(__xludf.DUMMYFUNCTION("""COMPUTED_VALUE"""),997.0)</f>
        <v>997</v>
      </c>
      <c r="G369" s="1">
        <f>IFERROR(__xludf.DUMMYFUNCTION("""COMPUTED_VALUE"""),24117.0)</f>
        <v>24117</v>
      </c>
      <c r="H369" s="1">
        <f>IFERROR(__xludf.DUMMYFUNCTION("""COMPUTED_VALUE"""),2000.0)</f>
        <v>2000</v>
      </c>
      <c r="I369" s="1">
        <f>IFERROR(__xludf.DUMMYFUNCTION("""COMPUTED_VALUE"""),450.0)</f>
        <v>450</v>
      </c>
      <c r="J369" s="1">
        <f>IFERROR(__xludf.DUMMYFUNCTION("""COMPUTED_VALUE"""),3899.0)</f>
        <v>3899</v>
      </c>
      <c r="K369" s="1">
        <f>IFERROR(__xludf.DUMMYFUNCTION("""COMPUTED_VALUE"""),999.0)</f>
        <v>999</v>
      </c>
      <c r="L369" s="1">
        <f>IFERROR(__xludf.DUMMYFUNCTION("""COMPUTED_VALUE"""),1048.0)</f>
        <v>1048</v>
      </c>
      <c r="M369" s="1">
        <f>IFERROR(__xludf.DUMMYFUNCTION("""COMPUTED_VALUE"""),999.0)</f>
        <v>999</v>
      </c>
      <c r="N369" s="1">
        <f>IFERROR(__xludf.DUMMYFUNCTION("""COMPUTED_VALUE"""),3197.0)</f>
        <v>3197</v>
      </c>
      <c r="O369" s="1">
        <f>IFERROR(__xludf.DUMMYFUNCTION("""COMPUTED_VALUE"""),1000.0)</f>
        <v>1000</v>
      </c>
      <c r="P369" s="1">
        <f>IFERROR(__xludf.DUMMYFUNCTION("""COMPUTED_VALUE"""),500.0)</f>
        <v>500</v>
      </c>
      <c r="Q369" s="1">
        <f>IFERROR(__xludf.DUMMYFUNCTION("""COMPUTED_VALUE"""),1100.0)</f>
        <v>1100</v>
      </c>
      <c r="R369" s="1">
        <f>IFERROR(__xludf.DUMMYFUNCTION("""COMPUTED_VALUE"""),117.550003051757)</f>
        <v>117.5500031</v>
      </c>
      <c r="S369" s="1"/>
      <c r="T369" s="1"/>
      <c r="U369" s="1">
        <f>IFERROR(__xludf.DUMMYFUNCTION("""COMPUTED_VALUE"""),0.0)</f>
        <v>0</v>
      </c>
      <c r="V369" s="1"/>
      <c r="W369" s="1"/>
      <c r="X369" s="1">
        <f>IFERROR(__xludf.DUMMYFUNCTION("""COMPUTED_VALUE"""),0.0)</f>
        <v>0</v>
      </c>
      <c r="Y369" s="1">
        <f>IFERROR(__xludf.DUMMYFUNCTION("""COMPUTED_VALUE"""),777.0)</f>
        <v>777</v>
      </c>
      <c r="Z369" s="1">
        <f>IFERROR(__xludf.DUMMYFUNCTION("""COMPUTED_VALUE"""),249.0)</f>
        <v>249</v>
      </c>
      <c r="AA369" s="1">
        <f>IFERROR(__xludf.DUMMYFUNCTION("""COMPUTED_VALUE"""),777.0)</f>
        <v>777</v>
      </c>
      <c r="AB369" s="1">
        <f>IFERROR(__xludf.DUMMYFUNCTION("""COMPUTED_VALUE"""),7391.0)</f>
        <v>7391</v>
      </c>
      <c r="AC369" s="1">
        <f>IFERROR(__xludf.DUMMYFUNCTION("""COMPUTED_VALUE"""),500.0)</f>
        <v>500</v>
      </c>
      <c r="AD369" s="1">
        <f>IFERROR(__xludf.DUMMYFUNCTION("""COMPUTED_VALUE"""),350.0)</f>
        <v>350</v>
      </c>
      <c r="AE369" s="1">
        <f>IFERROR(__xludf.DUMMYFUNCTION("""COMPUTED_VALUE"""),5288.0)</f>
        <v>5288</v>
      </c>
      <c r="AF369" s="1">
        <f>IFERROR(__xludf.DUMMYFUNCTION("""COMPUTED_VALUE"""),117.550003051757)</f>
        <v>117.5500031</v>
      </c>
      <c r="AG369" s="1">
        <f>IFERROR(__xludf.DUMMYFUNCTION("""COMPUTED_VALUE"""),20.0)</f>
        <v>20</v>
      </c>
      <c r="AH369" s="1">
        <f>IFERROR(__xludf.DUMMYFUNCTION("""COMPUTED_VALUE"""),648.0)</f>
        <v>648</v>
      </c>
      <c r="AI369" s="1">
        <f>IFERROR(__xludf.DUMMYFUNCTION("""COMPUTED_VALUE"""),20.0)</f>
        <v>20</v>
      </c>
      <c r="AJ369" s="1"/>
      <c r="AK369" s="1"/>
      <c r="AL369" s="1">
        <f>IFERROR(__xludf.DUMMYFUNCTION("""COMPUTED_VALUE"""),0.0)</f>
        <v>0</v>
      </c>
      <c r="AM369" s="1">
        <f>IFERROR(__xludf.DUMMYFUNCTION("""COMPUTED_VALUE"""),750.0)</f>
        <v>750</v>
      </c>
      <c r="AN369" s="1">
        <f>IFERROR(__xludf.DUMMYFUNCTION("""COMPUTED_VALUE"""),940.0)</f>
        <v>940</v>
      </c>
      <c r="AO369" s="1">
        <f>IFERROR(__xludf.DUMMYFUNCTION("""COMPUTED_VALUE"""),887.0)</f>
        <v>887</v>
      </c>
      <c r="AP369" s="1">
        <f>IFERROR(__xludf.DUMMYFUNCTION("""COMPUTED_VALUE"""),2402.0)</f>
        <v>2402</v>
      </c>
      <c r="AQ369" s="1"/>
      <c r="AR369" s="1"/>
      <c r="AS369" s="1">
        <f>IFERROR(__xludf.DUMMYFUNCTION("""COMPUTED_VALUE"""),0.0)</f>
        <v>0</v>
      </c>
    </row>
    <row r="370">
      <c r="A370" s="1" t="str">
        <f>IFERROR(__xludf.DUMMYFUNCTION("""COMPUTED_VALUE"""),"ZR")</f>
        <v>ZR</v>
      </c>
      <c r="B370" s="1"/>
      <c r="C370" s="1"/>
      <c r="D370" s="1">
        <f>IFERROR(__xludf.DUMMYFUNCTION("""COMPUTED_VALUE"""),15000.0)</f>
        <v>15000</v>
      </c>
      <c r="E370" s="1">
        <f>IFERROR(__xludf.DUMMYFUNCTION("""COMPUTED_VALUE"""),171.0)</f>
        <v>171</v>
      </c>
      <c r="F370" s="1">
        <f>IFERROR(__xludf.DUMMYFUNCTION("""COMPUTED_VALUE"""),16000.0)</f>
        <v>16000</v>
      </c>
      <c r="G370" s="1">
        <f>IFERROR(__xludf.DUMMYFUNCTION("""COMPUTED_VALUE"""),171.0)</f>
        <v>171</v>
      </c>
      <c r="H370" s="1">
        <f>IFERROR(__xludf.DUMMYFUNCTION("""COMPUTED_VALUE"""),10.0)</f>
        <v>10</v>
      </c>
      <c r="I370" s="1">
        <f>IFERROR(__xludf.DUMMYFUNCTION("""COMPUTED_VALUE"""),7100.0)</f>
        <v>7100</v>
      </c>
      <c r="J370" s="1">
        <f>IFERROR(__xludf.DUMMYFUNCTION("""COMPUTED_VALUE"""),10.0)</f>
        <v>10</v>
      </c>
      <c r="K370" s="1">
        <f>IFERROR(__xludf.DUMMYFUNCTION("""COMPUTED_VALUE"""),20000.0)</f>
        <v>20000</v>
      </c>
      <c r="L370" s="1">
        <f>IFERROR(__xludf.DUMMYFUNCTION("""COMPUTED_VALUE"""),1.0)</f>
        <v>1</v>
      </c>
      <c r="M370" s="1">
        <f>IFERROR(__xludf.DUMMYFUNCTION("""COMPUTED_VALUE"""),20000.0)</f>
        <v>20000</v>
      </c>
      <c r="N370" s="1">
        <f>IFERROR(__xludf.DUMMYFUNCTION("""COMPUTED_VALUE"""),1.0)</f>
        <v>1</v>
      </c>
      <c r="O370" s="1">
        <f>IFERROR(__xludf.DUMMYFUNCTION("""COMPUTED_VALUE"""),5.0)</f>
        <v>5</v>
      </c>
      <c r="P370" s="1">
        <f>IFERROR(__xludf.DUMMYFUNCTION("""COMPUTED_VALUE"""),12100.0)</f>
        <v>12100</v>
      </c>
      <c r="Q370" s="1">
        <f>IFERROR(__xludf.DUMMYFUNCTION("""COMPUTED_VALUE"""),134.0)</f>
        <v>134</v>
      </c>
      <c r="R370" s="1">
        <f>IFERROR(__xludf.DUMMYFUNCTION("""COMPUTED_VALUE"""),5977.02001953125)</f>
        <v>5977.02002</v>
      </c>
      <c r="S370" s="1"/>
      <c r="T370" s="1"/>
      <c r="U370" s="1">
        <f>IFERROR(__xludf.DUMMYFUNCTION("""COMPUTED_VALUE"""),0.0)</f>
        <v>0</v>
      </c>
      <c r="V370" s="1"/>
      <c r="W370" s="1"/>
      <c r="X370" s="1">
        <f>IFERROR(__xludf.DUMMYFUNCTION("""COMPUTED_VALUE"""),0.0)</f>
        <v>0</v>
      </c>
      <c r="Y370" s="1">
        <f>IFERROR(__xludf.DUMMYFUNCTION("""COMPUTED_VALUE"""),15065.0)</f>
        <v>15065</v>
      </c>
      <c r="Z370" s="1">
        <f>IFERROR(__xludf.DUMMYFUNCTION("""COMPUTED_VALUE"""),438.0)</f>
        <v>438</v>
      </c>
      <c r="AA370" s="1">
        <f>IFERROR(__xludf.DUMMYFUNCTION("""COMPUTED_VALUE"""),15100.0)</f>
        <v>15100</v>
      </c>
      <c r="AB370" s="1">
        <f>IFERROR(__xludf.DUMMYFUNCTION("""COMPUTED_VALUE"""),474.0)</f>
        <v>474</v>
      </c>
      <c r="AC370" s="1">
        <f>IFERROR(__xludf.DUMMYFUNCTION("""COMPUTED_VALUE"""),40.0)</f>
        <v>40</v>
      </c>
      <c r="AD370" s="1">
        <f>IFERROR(__xludf.DUMMYFUNCTION("""COMPUTED_VALUE"""),11500.0)</f>
        <v>11500</v>
      </c>
      <c r="AE370" s="1">
        <f>IFERROR(__xludf.DUMMYFUNCTION("""COMPUTED_VALUE"""),283.0)</f>
        <v>283</v>
      </c>
      <c r="AF370" s="1">
        <f>IFERROR(__xludf.DUMMYFUNCTION("""COMPUTED_VALUE"""),5977.02001953125)</f>
        <v>5977.02002</v>
      </c>
      <c r="AG370" s="1">
        <f>IFERROR(__xludf.DUMMYFUNCTION("""COMPUTED_VALUE"""),10.0)</f>
        <v>10</v>
      </c>
      <c r="AH370" s="1">
        <f>IFERROR(__xludf.DUMMYFUNCTION("""COMPUTED_VALUE"""),15200.0)</f>
        <v>15200</v>
      </c>
      <c r="AI370" s="1">
        <f>IFERROR(__xludf.DUMMYFUNCTION("""COMPUTED_VALUE"""),10.0)</f>
        <v>10</v>
      </c>
      <c r="AJ370" s="1"/>
      <c r="AK370" s="1"/>
      <c r="AL370" s="1">
        <f>IFERROR(__xludf.DUMMYFUNCTION("""COMPUTED_VALUE"""),0.0)</f>
        <v>0</v>
      </c>
      <c r="AM370" s="1">
        <f>IFERROR(__xludf.DUMMYFUNCTION("""COMPUTED_VALUE"""),15000.0)</f>
        <v>15000</v>
      </c>
      <c r="AN370" s="1">
        <f>IFERROR(__xludf.DUMMYFUNCTION("""COMPUTED_VALUE"""),80.0)</f>
        <v>80</v>
      </c>
      <c r="AO370" s="1">
        <f>IFERROR(__xludf.DUMMYFUNCTION("""COMPUTED_VALUE"""),15000.0)</f>
        <v>15000</v>
      </c>
      <c r="AP370" s="1">
        <f>IFERROR(__xludf.DUMMYFUNCTION("""COMPUTED_VALUE"""),80.0)</f>
        <v>80</v>
      </c>
      <c r="AQ370" s="1"/>
      <c r="AR370" s="1"/>
      <c r="AS370" s="1">
        <f>IFERROR(__xludf.DUMMYFUNCTION("""COMPUTED_VALUE"""),0.0)</f>
        <v>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7.63"/>
    <col customWidth="1" min="3" max="15" width="5.13"/>
    <col customWidth="1" min="16" max="29" width="7.63"/>
  </cols>
  <sheetData>
    <row r="1">
      <c r="A1" s="3" t="str">
        <f>Calculator!C4</f>
        <v>TNP</v>
      </c>
      <c r="B1" s="1">
        <f>VLOOKUP(A1,BUI!G2:I84,3,TRUE)</f>
        <v>30</v>
      </c>
      <c r="C1" s="4">
        <f>4*B1</f>
        <v>120</v>
      </c>
      <c r="D1" s="1">
        <f>ROUNDUP(B1/3,0)</f>
        <v>10</v>
      </c>
      <c r="E1" s="5">
        <v>1.0</v>
      </c>
      <c r="F1" s="5">
        <v>1.0</v>
      </c>
      <c r="G1" s="1">
        <f>B1*10</f>
        <v>300</v>
      </c>
      <c r="H1" s="5">
        <v>1.0</v>
      </c>
      <c r="I1" s="1">
        <f>B1</f>
        <v>30</v>
      </c>
      <c r="J1" s="5">
        <v>1.0</v>
      </c>
      <c r="K1" s="1">
        <f>IFERROR(__xludf.DUMMYFUNCTION("TRANSPOSE(FILTER(BUI!D2:D411,$A$1=BUI!$B$2:$B$411))"),6.0)</f>
        <v>6</v>
      </c>
      <c r="L1" s="1">
        <f>IFERROR(__xludf.DUMMYFUNCTION("""COMPUTED_VALUE"""),8.0)</f>
        <v>8</v>
      </c>
      <c r="M1" s="1">
        <f>IFERROR(__xludf.DUMMYFUNCTION("""COMPUTED_VALUE"""),12.0)</f>
        <v>12</v>
      </c>
      <c r="N1" s="1">
        <f>IFERROR(__xludf.DUMMYFUNCTION("""COMPUTED_VALUE"""),8.0)</f>
        <v>8</v>
      </c>
      <c r="P1" s="6">
        <f>VLOOKUP(P2,CXP!$A$1:$AS$344,$AD$1)</f>
        <v>39</v>
      </c>
      <c r="Q1" s="6">
        <f>VLOOKUP(Q2,CXP!$A$1:$AS$344,$AD$1)</f>
        <v>5793.709961</v>
      </c>
      <c r="R1" s="6">
        <f>VLOOKUP(R2,CXP!$A$1:$AS$344,$AD$1)</f>
        <v>15000</v>
      </c>
      <c r="S1" s="6">
        <f>VLOOKUP(S2,CXP!$A$1:$AS$344,$AD$1)</f>
        <v>8000</v>
      </c>
      <c r="T1" s="6">
        <f>VLOOKUP(T2,CXP!$A$1:$AS$344,$AD$1)</f>
        <v>170</v>
      </c>
      <c r="U1" s="6">
        <f>VLOOKUP(U2,CXP!$A$1:$AS$344,$AD$1)</f>
        <v>100147.4063</v>
      </c>
      <c r="V1" s="6">
        <f>VLOOKUP(V2,CXP!$A$1:$AS$344,$AD$1)</f>
        <v>140</v>
      </c>
      <c r="W1" s="6">
        <f>VLOOKUP(W2,CXP!$A$1:$AS$344,$AD$1)</f>
        <v>14760.70996</v>
      </c>
      <c r="X1" s="6">
        <f>if(X2="","",VLOOKUP(X2,CXP!$A$1:$AS$344,$AD$1))</f>
        <v>4400</v>
      </c>
      <c r="Y1" s="6">
        <f>if(Y2="","",VLOOKUP(Y2,CXP!$A$1:$AS$344,$AD$1))</f>
        <v>10100</v>
      </c>
      <c r="Z1" s="6">
        <f>if(Z2="","",VLOOKUP(Z2,CXP!$A$1:$AS$344,$AD$1))</f>
        <v>10500</v>
      </c>
      <c r="AA1" s="6">
        <f>if(AA2="","",VLOOKUP(AA2,CXP!$A$1:$AS$344,$AD$1))</f>
        <v>100147.4063</v>
      </c>
      <c r="AB1" s="6" t="str">
        <f>if(AB2="","",VLOOKUP(AB2,CXP!$A$1:$AS$344,$AD$1))</f>
        <v/>
      </c>
      <c r="AD1" s="3">
        <f>IF(Calculator!C6="AI1",4,IF(Calculator!C6="CI1",11,IF(Calculator!C6="IC1",39,IF(Calculator!C6="NC1",25,0))))</f>
        <v>39</v>
      </c>
      <c r="AE1" s="1">
        <f>Calculator!C5</f>
        <v>8000</v>
      </c>
    </row>
    <row r="2">
      <c r="A2" s="5" t="s">
        <v>0</v>
      </c>
      <c r="B2" s="5" t="s">
        <v>1</v>
      </c>
      <c r="C2" s="7" t="str">
        <f>IF(Calculator!$F$5,"MCG","")</f>
        <v>MCG</v>
      </c>
      <c r="D2" s="1" t="str">
        <f>IF(Calculator!$F$5,"","AEF")</f>
        <v/>
      </c>
      <c r="E2" s="1" t="str">
        <f>IF(Calculator!$F$6="low","MGC","")</f>
        <v/>
      </c>
      <c r="F2" s="1" t="str">
        <f>IF(Calculator!$F$6="high","BL","")</f>
        <v/>
      </c>
      <c r="G2" s="1" t="str">
        <f>IF(Calculator!$F$7="low","INS","")</f>
        <v>INS</v>
      </c>
      <c r="H2" s="1" t="str">
        <f>IF(Calculator!$F$7="high","TSH","")</f>
        <v/>
      </c>
      <c r="I2" s="1" t="str">
        <f>IF(Calculator!$F$8="low","SEA","")</f>
        <v/>
      </c>
      <c r="J2" s="1" t="str">
        <f>IF(Calculator!$F$8="high","HSE","")</f>
        <v>HSE</v>
      </c>
      <c r="K2" s="1" t="str">
        <f>IFERROR(__xludf.DUMMYFUNCTION("TRANSPOSE(FILTER(BUI!C2:C411,$A$1=BUI!$B$2:$B$411))"),"LBH")</f>
        <v>LBH</v>
      </c>
      <c r="L2" s="1" t="str">
        <f>IFERROR(__xludf.DUMMYFUNCTION("""COMPUTED_VALUE"""),"LDE")</f>
        <v>LDE</v>
      </c>
      <c r="M2" s="1" t="str">
        <f>IFERROR(__xludf.DUMMYFUNCTION("""COMPUTED_VALUE"""),"LSE")</f>
        <v>LSE</v>
      </c>
      <c r="N2" s="1" t="str">
        <f>IFERROR(__xludf.DUMMYFUNCTION("""COMPUTED_VALUE"""),"TRU")</f>
        <v>TRU</v>
      </c>
      <c r="P2" s="5" t="s">
        <v>2</v>
      </c>
      <c r="Q2" s="5" t="s">
        <v>3</v>
      </c>
      <c r="R2" s="5" t="s">
        <v>4</v>
      </c>
      <c r="S2" s="5" t="s">
        <v>5</v>
      </c>
      <c r="T2" s="5" t="s">
        <v>6</v>
      </c>
      <c r="U2" s="5" t="s">
        <v>7</v>
      </c>
      <c r="V2" s="5" t="s">
        <v>8</v>
      </c>
      <c r="W2" s="5" t="s">
        <v>9</v>
      </c>
      <c r="X2" s="1" t="str">
        <f t="shared" ref="X2:AB2" si="1">K2</f>
        <v>LBH</v>
      </c>
      <c r="Y2" s="1" t="str">
        <f t="shared" si="1"/>
        <v>LDE</v>
      </c>
      <c r="Z2" s="1" t="str">
        <f t="shared" si="1"/>
        <v>LSE</v>
      </c>
      <c r="AA2" s="1" t="str">
        <f t="shared" si="1"/>
        <v>TRU</v>
      </c>
      <c r="AB2" s="1" t="str">
        <f t="shared" si="1"/>
        <v/>
      </c>
      <c r="AC2" s="5" t="s">
        <v>10</v>
      </c>
      <c r="AE2" s="5" t="s">
        <v>11</v>
      </c>
      <c r="AF2" s="5" t="s">
        <v>12</v>
      </c>
      <c r="AG2" s="5" t="s">
        <v>13</v>
      </c>
      <c r="AH2" s="5" t="s">
        <v>14</v>
      </c>
      <c r="AI2" s="5" t="s">
        <v>15</v>
      </c>
      <c r="AJ2" s="5" t="s">
        <v>16</v>
      </c>
      <c r="AK2" s="5" t="s">
        <v>17</v>
      </c>
    </row>
    <row r="3">
      <c r="A3" s="5">
        <v>0.0</v>
      </c>
      <c r="B3" s="8">
        <f t="shared" ref="B3:B183" si="4">0.33+0.67/(1+EXP(1789/25000 * (A3-100.87)))</f>
        <v>0.9995091969</v>
      </c>
      <c r="C3" s="4">
        <f t="shared" ref="C3:N3" si="2">IF(C$2="","",C$1-_xlfn.FLOOR.MATH(C$1*(180-MIN(180,$A3))/180))</f>
        <v>0</v>
      </c>
      <c r="D3" s="1" t="str">
        <f t="shared" si="2"/>
        <v/>
      </c>
      <c r="E3" s="1" t="str">
        <f t="shared" si="2"/>
        <v/>
      </c>
      <c r="F3" s="1" t="str">
        <f t="shared" si="2"/>
        <v/>
      </c>
      <c r="G3" s="1">
        <f t="shared" si="2"/>
        <v>0</v>
      </c>
      <c r="H3" s="1" t="str">
        <f t="shared" si="2"/>
        <v/>
      </c>
      <c r="I3" s="1" t="str">
        <f t="shared" si="2"/>
        <v/>
      </c>
      <c r="J3" s="1">
        <f t="shared" si="2"/>
        <v>0</v>
      </c>
      <c r="K3" s="1">
        <f t="shared" si="2"/>
        <v>0</v>
      </c>
      <c r="L3" s="1">
        <f t="shared" si="2"/>
        <v>0</v>
      </c>
      <c r="M3" s="1">
        <f t="shared" si="2"/>
        <v>0</v>
      </c>
      <c r="N3" s="1">
        <f t="shared" si="2"/>
        <v>0</v>
      </c>
      <c r="O3" s="1" t="str">
        <f t="shared" ref="O3:O183" si="6">IF(O$2="","",AD$1-_xlfn.FLOOR.MATH(AD$1*(180-MIN(180,$A3))/180))</f>
        <v/>
      </c>
      <c r="P3" s="1">
        <f t="shared" ref="P3:AB3" si="3">if(C$2="","",C3*P$1)</f>
        <v>0</v>
      </c>
      <c r="Q3" s="1" t="str">
        <f t="shared" si="3"/>
        <v/>
      </c>
      <c r="R3" s="1" t="str">
        <f t="shared" si="3"/>
        <v/>
      </c>
      <c r="S3" s="1" t="str">
        <f t="shared" si="3"/>
        <v/>
      </c>
      <c r="T3" s="1">
        <f t="shared" si="3"/>
        <v>0</v>
      </c>
      <c r="U3" s="1" t="str">
        <f t="shared" si="3"/>
        <v/>
      </c>
      <c r="V3" s="1" t="str">
        <f t="shared" si="3"/>
        <v/>
      </c>
      <c r="W3" s="1">
        <f t="shared" si="3"/>
        <v>0</v>
      </c>
      <c r="X3" s="1">
        <f t="shared" si="3"/>
        <v>0</v>
      </c>
      <c r="Y3" s="1">
        <f t="shared" si="3"/>
        <v>0</v>
      </c>
      <c r="Z3" s="1">
        <f t="shared" si="3"/>
        <v>0</v>
      </c>
      <c r="AA3" s="1">
        <f t="shared" si="3"/>
        <v>0</v>
      </c>
      <c r="AB3" s="1" t="str">
        <f t="shared" si="3"/>
        <v/>
      </c>
      <c r="AC3" s="1" t="str">
        <f>if(Calculator!$C$8,SUM(P3:AB3),"")</f>
        <v/>
      </c>
      <c r="AE3" s="1">
        <f t="shared" ref="AE3:AE183" si="8">$AE$1*B3</f>
        <v>7996.073575</v>
      </c>
      <c r="AF3" s="1">
        <f t="shared" ref="AF3:AF183" si="9">SUM($AE$3:AE3)</f>
        <v>7996.073575</v>
      </c>
      <c r="AG3" s="1">
        <f t="shared" ref="AG3:AG183" si="10">AF3/(A3+1)</f>
        <v>7996.073575</v>
      </c>
      <c r="AH3" s="1">
        <f t="shared" ref="AH3:AH183" si="11">SUM(P3:AB3)/(A3+1)</f>
        <v>0</v>
      </c>
      <c r="AI3" s="1">
        <f>AI4</f>
        <v>-62147.63005</v>
      </c>
      <c r="AJ3" s="1" t="str">
        <f t="shared" ref="AJ3:AJ183" si="12">if(A3=$AK$7,$AK$3,"")</f>
        <v/>
      </c>
      <c r="AK3" s="1">
        <f>MAX(AI3:AI183)</f>
        <v>1677.532111</v>
      </c>
    </row>
    <row r="4">
      <c r="A4" s="5">
        <v>1.0</v>
      </c>
      <c r="B4" s="8">
        <f t="shared" si="4"/>
        <v>0.9994728165</v>
      </c>
      <c r="C4" s="4">
        <f t="shared" ref="C4:N4" si="5">IF(C$2="","",C$1-_xlfn.FLOOR.MATH(C$1*(180-MIN(180,$A4))/180))</f>
        <v>1</v>
      </c>
      <c r="D4" s="1" t="str">
        <f t="shared" si="5"/>
        <v/>
      </c>
      <c r="E4" s="1" t="str">
        <f t="shared" si="5"/>
        <v/>
      </c>
      <c r="F4" s="1" t="str">
        <f t="shared" si="5"/>
        <v/>
      </c>
      <c r="G4" s="1">
        <f t="shared" si="5"/>
        <v>2</v>
      </c>
      <c r="H4" s="1" t="str">
        <f t="shared" si="5"/>
        <v/>
      </c>
      <c r="I4" s="1" t="str">
        <f t="shared" si="5"/>
        <v/>
      </c>
      <c r="J4" s="1">
        <f t="shared" si="5"/>
        <v>1</v>
      </c>
      <c r="K4" s="1">
        <f t="shared" si="5"/>
        <v>1</v>
      </c>
      <c r="L4" s="1">
        <f t="shared" si="5"/>
        <v>1</v>
      </c>
      <c r="M4" s="1">
        <f t="shared" si="5"/>
        <v>1</v>
      </c>
      <c r="N4" s="1">
        <f t="shared" si="5"/>
        <v>1</v>
      </c>
      <c r="O4" s="1" t="str">
        <f t="shared" si="6"/>
        <v/>
      </c>
      <c r="P4" s="1">
        <f t="shared" ref="P4:AB4" si="7">if(C$2="","",C4*P$1)</f>
        <v>39</v>
      </c>
      <c r="Q4" s="1" t="str">
        <f t="shared" si="7"/>
        <v/>
      </c>
      <c r="R4" s="1" t="str">
        <f t="shared" si="7"/>
        <v/>
      </c>
      <c r="S4" s="1" t="str">
        <f t="shared" si="7"/>
        <v/>
      </c>
      <c r="T4" s="1">
        <f t="shared" si="7"/>
        <v>340</v>
      </c>
      <c r="U4" s="1" t="str">
        <f t="shared" si="7"/>
        <v/>
      </c>
      <c r="V4" s="1" t="str">
        <f t="shared" si="7"/>
        <v/>
      </c>
      <c r="W4" s="1">
        <f t="shared" si="7"/>
        <v>14760.70996</v>
      </c>
      <c r="X4" s="1">
        <f t="shared" si="7"/>
        <v>4400</v>
      </c>
      <c r="Y4" s="1">
        <f t="shared" si="7"/>
        <v>10100</v>
      </c>
      <c r="Z4" s="1">
        <f t="shared" si="7"/>
        <v>10500</v>
      </c>
      <c r="AA4" s="1">
        <f t="shared" si="7"/>
        <v>100147.4063</v>
      </c>
      <c r="AB4" s="1" t="str">
        <f t="shared" si="7"/>
        <v/>
      </c>
      <c r="AC4" s="1" t="str">
        <f>if(Calculator!$C$8,SUM(P4:AB4),"")</f>
        <v/>
      </c>
      <c r="AE4" s="1">
        <f t="shared" si="8"/>
        <v>7995.782532</v>
      </c>
      <c r="AF4" s="1">
        <f t="shared" si="9"/>
        <v>15991.85611</v>
      </c>
      <c r="AG4" s="1">
        <f t="shared" si="10"/>
        <v>7995.928054</v>
      </c>
      <c r="AH4" s="1">
        <f t="shared" si="11"/>
        <v>70143.55811</v>
      </c>
      <c r="AI4" s="1">
        <f t="shared" ref="AI4:AI183" si="15">AG4-AH4</f>
        <v>-62147.63005</v>
      </c>
      <c r="AJ4" s="1" t="str">
        <f t="shared" si="12"/>
        <v/>
      </c>
      <c r="AK4" s="5" t="s">
        <v>18</v>
      </c>
    </row>
    <row r="5">
      <c r="A5" s="5">
        <v>2.0</v>
      </c>
      <c r="B5" s="8">
        <f t="shared" si="4"/>
        <v>0.9994337417</v>
      </c>
      <c r="C5" s="4">
        <f t="shared" ref="C5:N5" si="13">IF(C$2="","",C$1-_xlfn.FLOOR.MATH(C$1*(180-MIN(180,$A5))/180))</f>
        <v>2</v>
      </c>
      <c r="D5" s="1" t="str">
        <f t="shared" si="13"/>
        <v/>
      </c>
      <c r="E5" s="1" t="str">
        <f t="shared" si="13"/>
        <v/>
      </c>
      <c r="F5" s="1" t="str">
        <f t="shared" si="13"/>
        <v/>
      </c>
      <c r="G5" s="1">
        <f t="shared" si="13"/>
        <v>4</v>
      </c>
      <c r="H5" s="1" t="str">
        <f t="shared" si="13"/>
        <v/>
      </c>
      <c r="I5" s="1" t="str">
        <f t="shared" si="13"/>
        <v/>
      </c>
      <c r="J5" s="1">
        <f t="shared" si="13"/>
        <v>1</v>
      </c>
      <c r="K5" s="1">
        <f t="shared" si="13"/>
        <v>1</v>
      </c>
      <c r="L5" s="1">
        <f t="shared" si="13"/>
        <v>1</v>
      </c>
      <c r="M5" s="1">
        <f t="shared" si="13"/>
        <v>1</v>
      </c>
      <c r="N5" s="1">
        <f t="shared" si="13"/>
        <v>1</v>
      </c>
      <c r="O5" s="1" t="str">
        <f t="shared" si="6"/>
        <v/>
      </c>
      <c r="P5" s="1">
        <f t="shared" ref="P5:AB5" si="14">if(C$2="","",C5*P$1)</f>
        <v>78</v>
      </c>
      <c r="Q5" s="1" t="str">
        <f t="shared" si="14"/>
        <v/>
      </c>
      <c r="R5" s="1" t="str">
        <f t="shared" si="14"/>
        <v/>
      </c>
      <c r="S5" s="1" t="str">
        <f t="shared" si="14"/>
        <v/>
      </c>
      <c r="T5" s="1">
        <f t="shared" si="14"/>
        <v>680</v>
      </c>
      <c r="U5" s="1" t="str">
        <f t="shared" si="14"/>
        <v/>
      </c>
      <c r="V5" s="1" t="str">
        <f t="shared" si="14"/>
        <v/>
      </c>
      <c r="W5" s="1">
        <f t="shared" si="14"/>
        <v>14760.70996</v>
      </c>
      <c r="X5" s="1">
        <f t="shared" si="14"/>
        <v>4400</v>
      </c>
      <c r="Y5" s="1">
        <f t="shared" si="14"/>
        <v>10100</v>
      </c>
      <c r="Z5" s="1">
        <f t="shared" si="14"/>
        <v>10500</v>
      </c>
      <c r="AA5" s="1">
        <f t="shared" si="14"/>
        <v>100147.4063</v>
      </c>
      <c r="AB5" s="1" t="str">
        <f t="shared" si="14"/>
        <v/>
      </c>
      <c r="AC5" s="1" t="str">
        <f>if(Calculator!$C$8,SUM(P5:AB5),"")</f>
        <v/>
      </c>
      <c r="AE5" s="1">
        <f t="shared" si="8"/>
        <v>7995.469934</v>
      </c>
      <c r="AF5" s="1">
        <f t="shared" si="9"/>
        <v>23987.32604</v>
      </c>
      <c r="AG5" s="1">
        <f t="shared" si="10"/>
        <v>7995.775347</v>
      </c>
      <c r="AH5" s="1">
        <f t="shared" si="11"/>
        <v>46888.7054</v>
      </c>
      <c r="AI5" s="1">
        <f t="shared" si="15"/>
        <v>-38892.93006</v>
      </c>
      <c r="AJ5" s="1" t="str">
        <f t="shared" si="12"/>
        <v/>
      </c>
      <c r="AK5" s="1">
        <f>MATCH(AK3,AI3:AI183,0)</f>
        <v>46</v>
      </c>
    </row>
    <row r="6">
      <c r="A6" s="5">
        <v>3.0</v>
      </c>
      <c r="B6" s="8">
        <f t="shared" si="4"/>
        <v>0.9993917734</v>
      </c>
      <c r="C6" s="4">
        <f t="shared" ref="C6:N6" si="16">IF(C$2="","",C$1-_xlfn.FLOOR.MATH(C$1*(180-MIN(180,$A6))/180))</f>
        <v>2</v>
      </c>
      <c r="D6" s="1" t="str">
        <f t="shared" si="16"/>
        <v/>
      </c>
      <c r="E6" s="1" t="str">
        <f t="shared" si="16"/>
        <v/>
      </c>
      <c r="F6" s="1" t="str">
        <f t="shared" si="16"/>
        <v/>
      </c>
      <c r="G6" s="1">
        <f t="shared" si="16"/>
        <v>5</v>
      </c>
      <c r="H6" s="1" t="str">
        <f t="shared" si="16"/>
        <v/>
      </c>
      <c r="I6" s="1" t="str">
        <f t="shared" si="16"/>
        <v/>
      </c>
      <c r="J6" s="1">
        <f t="shared" si="16"/>
        <v>1</v>
      </c>
      <c r="K6" s="1">
        <f t="shared" si="16"/>
        <v>1</v>
      </c>
      <c r="L6" s="1">
        <f t="shared" si="16"/>
        <v>1</v>
      </c>
      <c r="M6" s="1">
        <f t="shared" si="16"/>
        <v>1</v>
      </c>
      <c r="N6" s="1">
        <f t="shared" si="16"/>
        <v>1</v>
      </c>
      <c r="O6" s="1" t="str">
        <f t="shared" si="6"/>
        <v/>
      </c>
      <c r="P6" s="1">
        <f t="shared" ref="P6:AB6" si="17">if(C$2="","",C6*P$1)</f>
        <v>78</v>
      </c>
      <c r="Q6" s="1" t="str">
        <f t="shared" si="17"/>
        <v/>
      </c>
      <c r="R6" s="1" t="str">
        <f t="shared" si="17"/>
        <v/>
      </c>
      <c r="S6" s="1" t="str">
        <f t="shared" si="17"/>
        <v/>
      </c>
      <c r="T6" s="1">
        <f t="shared" si="17"/>
        <v>850</v>
      </c>
      <c r="U6" s="1" t="str">
        <f t="shared" si="17"/>
        <v/>
      </c>
      <c r="V6" s="1" t="str">
        <f t="shared" si="17"/>
        <v/>
      </c>
      <c r="W6" s="1">
        <f t="shared" si="17"/>
        <v>14760.70996</v>
      </c>
      <c r="X6" s="1">
        <f t="shared" si="17"/>
        <v>4400</v>
      </c>
      <c r="Y6" s="1">
        <f t="shared" si="17"/>
        <v>10100</v>
      </c>
      <c r="Z6" s="1">
        <f t="shared" si="17"/>
        <v>10500</v>
      </c>
      <c r="AA6" s="1">
        <f t="shared" si="17"/>
        <v>100147.4063</v>
      </c>
      <c r="AB6" s="1" t="str">
        <f t="shared" si="17"/>
        <v/>
      </c>
      <c r="AC6" s="1" t="str">
        <f>if(Calculator!$C$8,SUM(P6:AB6),"")</f>
        <v/>
      </c>
      <c r="AE6" s="1">
        <f t="shared" si="8"/>
        <v>7995.134187</v>
      </c>
      <c r="AF6" s="1">
        <f t="shared" si="9"/>
        <v>31982.46023</v>
      </c>
      <c r="AG6" s="1">
        <f t="shared" si="10"/>
        <v>7995.615057</v>
      </c>
      <c r="AH6" s="1">
        <f t="shared" si="11"/>
        <v>35209.02905</v>
      </c>
      <c r="AI6" s="1">
        <f t="shared" si="15"/>
        <v>-27213.414</v>
      </c>
      <c r="AJ6" s="1" t="str">
        <f t="shared" si="12"/>
        <v/>
      </c>
      <c r="AK6" s="5" t="s">
        <v>19</v>
      </c>
    </row>
    <row r="7">
      <c r="A7" s="5">
        <v>4.0</v>
      </c>
      <c r="B7" s="8">
        <f t="shared" si="4"/>
        <v>0.9993466975</v>
      </c>
      <c r="C7" s="4">
        <f t="shared" ref="C7:N7" si="18">IF(C$2="","",C$1-_xlfn.FLOOR.MATH(C$1*(180-MIN(180,$A7))/180))</f>
        <v>3</v>
      </c>
      <c r="D7" s="1" t="str">
        <f t="shared" si="18"/>
        <v/>
      </c>
      <c r="E7" s="1" t="str">
        <f t="shared" si="18"/>
        <v/>
      </c>
      <c r="F7" s="1" t="str">
        <f t="shared" si="18"/>
        <v/>
      </c>
      <c r="G7" s="1">
        <f t="shared" si="18"/>
        <v>7</v>
      </c>
      <c r="H7" s="1" t="str">
        <f t="shared" si="18"/>
        <v/>
      </c>
      <c r="I7" s="1" t="str">
        <f t="shared" si="18"/>
        <v/>
      </c>
      <c r="J7" s="1">
        <f t="shared" si="18"/>
        <v>1</v>
      </c>
      <c r="K7" s="1">
        <f t="shared" si="18"/>
        <v>1</v>
      </c>
      <c r="L7" s="1">
        <f t="shared" si="18"/>
        <v>1</v>
      </c>
      <c r="M7" s="1">
        <f t="shared" si="18"/>
        <v>1</v>
      </c>
      <c r="N7" s="1">
        <f t="shared" si="18"/>
        <v>1</v>
      </c>
      <c r="O7" s="1" t="str">
        <f t="shared" si="6"/>
        <v/>
      </c>
      <c r="P7" s="1">
        <f t="shared" ref="P7:AB7" si="19">if(C$2="","",C7*P$1)</f>
        <v>117</v>
      </c>
      <c r="Q7" s="1" t="str">
        <f t="shared" si="19"/>
        <v/>
      </c>
      <c r="R7" s="1" t="str">
        <f t="shared" si="19"/>
        <v/>
      </c>
      <c r="S7" s="1" t="str">
        <f t="shared" si="19"/>
        <v/>
      </c>
      <c r="T7" s="1">
        <f t="shared" si="19"/>
        <v>1190</v>
      </c>
      <c r="U7" s="1" t="str">
        <f t="shared" si="19"/>
        <v/>
      </c>
      <c r="V7" s="1" t="str">
        <f t="shared" si="19"/>
        <v/>
      </c>
      <c r="W7" s="1">
        <f t="shared" si="19"/>
        <v>14760.70996</v>
      </c>
      <c r="X7" s="1">
        <f t="shared" si="19"/>
        <v>4400</v>
      </c>
      <c r="Y7" s="1">
        <f t="shared" si="19"/>
        <v>10100</v>
      </c>
      <c r="Z7" s="1">
        <f t="shared" si="19"/>
        <v>10500</v>
      </c>
      <c r="AA7" s="1">
        <f t="shared" si="19"/>
        <v>100147.4063</v>
      </c>
      <c r="AB7" s="1" t="str">
        <f t="shared" si="19"/>
        <v/>
      </c>
      <c r="AC7" s="1" t="str">
        <f>if(Calculator!$C$8,SUM(P7:AB7),"")</f>
        <v/>
      </c>
      <c r="AE7" s="1">
        <f t="shared" si="8"/>
        <v>7994.77358</v>
      </c>
      <c r="AF7" s="1">
        <f t="shared" si="9"/>
        <v>39977.23381</v>
      </c>
      <c r="AG7" s="1">
        <f t="shared" si="10"/>
        <v>7995.446762</v>
      </c>
      <c r="AH7" s="1">
        <f t="shared" si="11"/>
        <v>28243.02324</v>
      </c>
      <c r="AI7" s="1">
        <f t="shared" si="15"/>
        <v>-20247.57648</v>
      </c>
      <c r="AJ7" s="1" t="str">
        <f t="shared" si="12"/>
        <v/>
      </c>
      <c r="AK7" s="1">
        <f t="array" ref="AK7">INDEX(A3:A183,AK5,1)</f>
        <v>45</v>
      </c>
    </row>
    <row r="8">
      <c r="A8" s="5">
        <v>5.0</v>
      </c>
      <c r="B8" s="8">
        <f t="shared" si="4"/>
        <v>0.9992982846</v>
      </c>
      <c r="C8" s="4">
        <f t="shared" ref="C8:N8" si="20">IF(C$2="","",C$1-_xlfn.FLOOR.MATH(C$1*(180-MIN(180,$A8))/180))</f>
        <v>4</v>
      </c>
      <c r="D8" s="1" t="str">
        <f t="shared" si="20"/>
        <v/>
      </c>
      <c r="E8" s="1" t="str">
        <f t="shared" si="20"/>
        <v/>
      </c>
      <c r="F8" s="1" t="str">
        <f t="shared" si="20"/>
        <v/>
      </c>
      <c r="G8" s="1">
        <f t="shared" si="20"/>
        <v>9</v>
      </c>
      <c r="H8" s="1" t="str">
        <f t="shared" si="20"/>
        <v/>
      </c>
      <c r="I8" s="1" t="str">
        <f t="shared" si="20"/>
        <v/>
      </c>
      <c r="J8" s="1">
        <f t="shared" si="20"/>
        <v>1</v>
      </c>
      <c r="K8" s="1">
        <f t="shared" si="20"/>
        <v>1</v>
      </c>
      <c r="L8" s="1">
        <f t="shared" si="20"/>
        <v>1</v>
      </c>
      <c r="M8" s="1">
        <f t="shared" si="20"/>
        <v>1</v>
      </c>
      <c r="N8" s="1">
        <f t="shared" si="20"/>
        <v>1</v>
      </c>
      <c r="O8" s="1" t="str">
        <f t="shared" si="6"/>
        <v/>
      </c>
      <c r="P8" s="1">
        <f t="shared" ref="P8:AB8" si="21">if(C$2="","",C8*P$1)</f>
        <v>156</v>
      </c>
      <c r="Q8" s="1" t="str">
        <f t="shared" si="21"/>
        <v/>
      </c>
      <c r="R8" s="1" t="str">
        <f t="shared" si="21"/>
        <v/>
      </c>
      <c r="S8" s="1" t="str">
        <f t="shared" si="21"/>
        <v/>
      </c>
      <c r="T8" s="1">
        <f t="shared" si="21"/>
        <v>1530</v>
      </c>
      <c r="U8" s="1" t="str">
        <f t="shared" si="21"/>
        <v/>
      </c>
      <c r="V8" s="1" t="str">
        <f t="shared" si="21"/>
        <v/>
      </c>
      <c r="W8" s="1">
        <f t="shared" si="21"/>
        <v>14760.70996</v>
      </c>
      <c r="X8" s="1">
        <f t="shared" si="21"/>
        <v>4400</v>
      </c>
      <c r="Y8" s="1">
        <f t="shared" si="21"/>
        <v>10100</v>
      </c>
      <c r="Z8" s="1">
        <f t="shared" si="21"/>
        <v>10500</v>
      </c>
      <c r="AA8" s="1">
        <f t="shared" si="21"/>
        <v>100147.4063</v>
      </c>
      <c r="AB8" s="1" t="str">
        <f t="shared" si="21"/>
        <v/>
      </c>
      <c r="AC8" s="1" t="str">
        <f>if(Calculator!$C$8,SUM(P8:AB8),"")</f>
        <v/>
      </c>
      <c r="AE8" s="1">
        <f t="shared" si="8"/>
        <v>7994.386277</v>
      </c>
      <c r="AF8" s="1">
        <f t="shared" si="9"/>
        <v>47971.62009</v>
      </c>
      <c r="AG8" s="1">
        <f t="shared" si="10"/>
        <v>7995.270014</v>
      </c>
      <c r="AH8" s="1">
        <f t="shared" si="11"/>
        <v>23599.01937</v>
      </c>
      <c r="AI8" s="1">
        <f t="shared" si="15"/>
        <v>-15603.74935</v>
      </c>
      <c r="AJ8" s="1" t="str">
        <f t="shared" si="12"/>
        <v/>
      </c>
    </row>
    <row r="9">
      <c r="A9" s="5">
        <v>6.0</v>
      </c>
      <c r="B9" s="8">
        <f t="shared" si="4"/>
        <v>0.9992462881</v>
      </c>
      <c r="C9" s="4">
        <f t="shared" ref="C9:N9" si="22">IF(C$2="","",C$1-_xlfn.FLOOR.MATH(C$1*(180-MIN(180,$A9))/180))</f>
        <v>4</v>
      </c>
      <c r="D9" s="1" t="str">
        <f t="shared" si="22"/>
        <v/>
      </c>
      <c r="E9" s="1" t="str">
        <f t="shared" si="22"/>
        <v/>
      </c>
      <c r="F9" s="1" t="str">
        <f t="shared" si="22"/>
        <v/>
      </c>
      <c r="G9" s="1">
        <f t="shared" si="22"/>
        <v>10</v>
      </c>
      <c r="H9" s="1" t="str">
        <f t="shared" si="22"/>
        <v/>
      </c>
      <c r="I9" s="1" t="str">
        <f t="shared" si="22"/>
        <v/>
      </c>
      <c r="J9" s="1">
        <f t="shared" si="22"/>
        <v>1</v>
      </c>
      <c r="K9" s="1">
        <f t="shared" si="22"/>
        <v>1</v>
      </c>
      <c r="L9" s="1">
        <f t="shared" si="22"/>
        <v>1</v>
      </c>
      <c r="M9" s="1">
        <f t="shared" si="22"/>
        <v>1</v>
      </c>
      <c r="N9" s="1">
        <f t="shared" si="22"/>
        <v>1</v>
      </c>
      <c r="O9" s="1" t="str">
        <f t="shared" si="6"/>
        <v/>
      </c>
      <c r="P9" s="1">
        <f t="shared" ref="P9:AB9" si="23">if(C$2="","",C9*P$1)</f>
        <v>156</v>
      </c>
      <c r="Q9" s="1" t="str">
        <f t="shared" si="23"/>
        <v/>
      </c>
      <c r="R9" s="1" t="str">
        <f t="shared" si="23"/>
        <v/>
      </c>
      <c r="S9" s="1" t="str">
        <f t="shared" si="23"/>
        <v/>
      </c>
      <c r="T9" s="1">
        <f t="shared" si="23"/>
        <v>1700</v>
      </c>
      <c r="U9" s="1" t="str">
        <f t="shared" si="23"/>
        <v/>
      </c>
      <c r="V9" s="1" t="str">
        <f t="shared" si="23"/>
        <v/>
      </c>
      <c r="W9" s="1">
        <f t="shared" si="23"/>
        <v>14760.70996</v>
      </c>
      <c r="X9" s="1">
        <f t="shared" si="23"/>
        <v>4400</v>
      </c>
      <c r="Y9" s="1">
        <f t="shared" si="23"/>
        <v>10100</v>
      </c>
      <c r="Z9" s="1">
        <f t="shared" si="23"/>
        <v>10500</v>
      </c>
      <c r="AA9" s="1">
        <f t="shared" si="23"/>
        <v>100147.4063</v>
      </c>
      <c r="AB9" s="1" t="str">
        <f t="shared" si="23"/>
        <v/>
      </c>
      <c r="AC9" s="1" t="str">
        <f>if(Calculator!$C$8,SUM(P9:AB9),"")</f>
        <v/>
      </c>
      <c r="AE9" s="1">
        <f t="shared" si="8"/>
        <v>7993.970305</v>
      </c>
      <c r="AF9" s="1">
        <f t="shared" si="9"/>
        <v>55965.59039</v>
      </c>
      <c r="AG9" s="1">
        <f t="shared" si="10"/>
        <v>7995.084341</v>
      </c>
      <c r="AH9" s="1">
        <f t="shared" si="11"/>
        <v>20252.0166</v>
      </c>
      <c r="AI9" s="1">
        <f t="shared" si="15"/>
        <v>-12256.93226</v>
      </c>
      <c r="AJ9" s="1" t="str">
        <f t="shared" si="12"/>
        <v/>
      </c>
    </row>
    <row r="10">
      <c r="A10" s="5">
        <v>7.0</v>
      </c>
      <c r="B10" s="8">
        <f t="shared" si="4"/>
        <v>0.9991904433</v>
      </c>
      <c r="C10" s="4">
        <f t="shared" ref="C10:N10" si="24">IF(C$2="","",C$1-_xlfn.FLOOR.MATH(C$1*(180-MIN(180,$A10))/180))</f>
        <v>5</v>
      </c>
      <c r="D10" s="1" t="str">
        <f t="shared" si="24"/>
        <v/>
      </c>
      <c r="E10" s="1" t="str">
        <f t="shared" si="24"/>
        <v/>
      </c>
      <c r="F10" s="1" t="str">
        <f t="shared" si="24"/>
        <v/>
      </c>
      <c r="G10" s="1">
        <f t="shared" si="24"/>
        <v>12</v>
      </c>
      <c r="H10" s="1" t="str">
        <f t="shared" si="24"/>
        <v/>
      </c>
      <c r="I10" s="1" t="str">
        <f t="shared" si="24"/>
        <v/>
      </c>
      <c r="J10" s="1">
        <f t="shared" si="24"/>
        <v>1</v>
      </c>
      <c r="K10" s="1">
        <f t="shared" si="24"/>
        <v>1</v>
      </c>
      <c r="L10" s="1">
        <f t="shared" si="24"/>
        <v>1</v>
      </c>
      <c r="M10" s="1">
        <f t="shared" si="24"/>
        <v>1</v>
      </c>
      <c r="N10" s="1">
        <f t="shared" si="24"/>
        <v>1</v>
      </c>
      <c r="O10" s="1" t="str">
        <f t="shared" si="6"/>
        <v/>
      </c>
      <c r="P10" s="1">
        <f t="shared" ref="P10:AB10" si="25">if(C$2="","",C10*P$1)</f>
        <v>195</v>
      </c>
      <c r="Q10" s="1" t="str">
        <f t="shared" si="25"/>
        <v/>
      </c>
      <c r="R10" s="1" t="str">
        <f t="shared" si="25"/>
        <v/>
      </c>
      <c r="S10" s="1" t="str">
        <f t="shared" si="25"/>
        <v/>
      </c>
      <c r="T10" s="1">
        <f t="shared" si="25"/>
        <v>2040</v>
      </c>
      <c r="U10" s="1" t="str">
        <f t="shared" si="25"/>
        <v/>
      </c>
      <c r="V10" s="1" t="str">
        <f t="shared" si="25"/>
        <v/>
      </c>
      <c r="W10" s="1">
        <f t="shared" si="25"/>
        <v>14760.70996</v>
      </c>
      <c r="X10" s="1">
        <f t="shared" si="25"/>
        <v>4400</v>
      </c>
      <c r="Y10" s="1">
        <f t="shared" si="25"/>
        <v>10100</v>
      </c>
      <c r="Z10" s="1">
        <f t="shared" si="25"/>
        <v>10500</v>
      </c>
      <c r="AA10" s="1">
        <f t="shared" si="25"/>
        <v>100147.4063</v>
      </c>
      <c r="AB10" s="1" t="str">
        <f t="shared" si="25"/>
        <v/>
      </c>
      <c r="AC10" s="1" t="str">
        <f>if(Calculator!$C$8,SUM(P10:AB10),"")</f>
        <v/>
      </c>
      <c r="AE10" s="1">
        <f t="shared" si="8"/>
        <v>7993.523547</v>
      </c>
      <c r="AF10" s="1">
        <f t="shared" si="9"/>
        <v>63959.11394</v>
      </c>
      <c r="AG10" s="1">
        <f t="shared" si="10"/>
        <v>7994.889242</v>
      </c>
      <c r="AH10" s="1">
        <f t="shared" si="11"/>
        <v>17767.88953</v>
      </c>
      <c r="AI10" s="1">
        <f t="shared" si="15"/>
        <v>-9773.000284</v>
      </c>
      <c r="AJ10" s="1" t="str">
        <f t="shared" si="12"/>
        <v/>
      </c>
    </row>
    <row r="11">
      <c r="A11" s="5">
        <v>8.0</v>
      </c>
      <c r="B11" s="8">
        <f t="shared" si="4"/>
        <v>0.9991304663</v>
      </c>
      <c r="C11" s="4">
        <f t="shared" ref="C11:N11" si="26">IF(C$2="","",C$1-_xlfn.FLOOR.MATH(C$1*(180-MIN(180,$A11))/180))</f>
        <v>6</v>
      </c>
      <c r="D11" s="1" t="str">
        <f t="shared" si="26"/>
        <v/>
      </c>
      <c r="E11" s="1" t="str">
        <f t="shared" si="26"/>
        <v/>
      </c>
      <c r="F11" s="1" t="str">
        <f t="shared" si="26"/>
        <v/>
      </c>
      <c r="G11" s="1">
        <f t="shared" si="26"/>
        <v>14</v>
      </c>
      <c r="H11" s="1" t="str">
        <f t="shared" si="26"/>
        <v/>
      </c>
      <c r="I11" s="1" t="str">
        <f t="shared" si="26"/>
        <v/>
      </c>
      <c r="J11" s="1">
        <f t="shared" si="26"/>
        <v>1</v>
      </c>
      <c r="K11" s="1">
        <f t="shared" si="26"/>
        <v>1</v>
      </c>
      <c r="L11" s="1">
        <f t="shared" si="26"/>
        <v>1</v>
      </c>
      <c r="M11" s="1">
        <f t="shared" si="26"/>
        <v>1</v>
      </c>
      <c r="N11" s="1">
        <f t="shared" si="26"/>
        <v>1</v>
      </c>
      <c r="O11" s="1" t="str">
        <f t="shared" si="6"/>
        <v/>
      </c>
      <c r="P11" s="1">
        <f t="shared" ref="P11:AB11" si="27">if(C$2="","",C11*P$1)</f>
        <v>234</v>
      </c>
      <c r="Q11" s="1" t="str">
        <f t="shared" si="27"/>
        <v/>
      </c>
      <c r="R11" s="1" t="str">
        <f t="shared" si="27"/>
        <v/>
      </c>
      <c r="S11" s="1" t="str">
        <f t="shared" si="27"/>
        <v/>
      </c>
      <c r="T11" s="1">
        <f t="shared" si="27"/>
        <v>2380</v>
      </c>
      <c r="U11" s="1" t="str">
        <f t="shared" si="27"/>
        <v/>
      </c>
      <c r="V11" s="1" t="str">
        <f t="shared" si="27"/>
        <v/>
      </c>
      <c r="W11" s="1">
        <f t="shared" si="27"/>
        <v>14760.70996</v>
      </c>
      <c r="X11" s="1">
        <f t="shared" si="27"/>
        <v>4400</v>
      </c>
      <c r="Y11" s="1">
        <f t="shared" si="27"/>
        <v>10100</v>
      </c>
      <c r="Z11" s="1">
        <f t="shared" si="27"/>
        <v>10500</v>
      </c>
      <c r="AA11" s="1">
        <f t="shared" si="27"/>
        <v>100147.4063</v>
      </c>
      <c r="AB11" s="1" t="str">
        <f t="shared" si="27"/>
        <v/>
      </c>
      <c r="AC11" s="1" t="str">
        <f>if(Calculator!$C$8,SUM(P11:AB11),"")</f>
        <v/>
      </c>
      <c r="AE11" s="1">
        <f t="shared" si="8"/>
        <v>7993.04373</v>
      </c>
      <c r="AF11" s="1">
        <f t="shared" si="9"/>
        <v>71952.15767</v>
      </c>
      <c r="AG11" s="1">
        <f t="shared" si="10"/>
        <v>7994.684185</v>
      </c>
      <c r="AH11" s="1">
        <f t="shared" si="11"/>
        <v>15835.79069</v>
      </c>
      <c r="AI11" s="1">
        <f t="shared" si="15"/>
        <v>-7841.106505</v>
      </c>
      <c r="AJ11" s="1" t="str">
        <f t="shared" si="12"/>
        <v/>
      </c>
    </row>
    <row r="12">
      <c r="A12" s="5">
        <v>9.0</v>
      </c>
      <c r="B12" s="8">
        <f t="shared" si="4"/>
        <v>0.9990660519</v>
      </c>
      <c r="C12" s="4">
        <f t="shared" ref="C12:N12" si="28">IF(C$2="","",C$1-_xlfn.FLOOR.MATH(C$1*(180-MIN(180,$A12))/180))</f>
        <v>6</v>
      </c>
      <c r="D12" s="1" t="str">
        <f t="shared" si="28"/>
        <v/>
      </c>
      <c r="E12" s="1" t="str">
        <f t="shared" si="28"/>
        <v/>
      </c>
      <c r="F12" s="1" t="str">
        <f t="shared" si="28"/>
        <v/>
      </c>
      <c r="G12" s="1">
        <f t="shared" si="28"/>
        <v>15</v>
      </c>
      <c r="H12" s="1" t="str">
        <f t="shared" si="28"/>
        <v/>
      </c>
      <c r="I12" s="1" t="str">
        <f t="shared" si="28"/>
        <v/>
      </c>
      <c r="J12" s="1">
        <f t="shared" si="28"/>
        <v>1</v>
      </c>
      <c r="K12" s="1">
        <f t="shared" si="28"/>
        <v>1</v>
      </c>
      <c r="L12" s="1">
        <f t="shared" si="28"/>
        <v>1</v>
      </c>
      <c r="M12" s="1">
        <f t="shared" si="28"/>
        <v>1</v>
      </c>
      <c r="N12" s="1">
        <f t="shared" si="28"/>
        <v>1</v>
      </c>
      <c r="O12" s="1" t="str">
        <f t="shared" si="6"/>
        <v/>
      </c>
      <c r="P12" s="1">
        <f t="shared" ref="P12:AB12" si="29">if(C$2="","",C12*P$1)</f>
        <v>234</v>
      </c>
      <c r="Q12" s="1" t="str">
        <f t="shared" si="29"/>
        <v/>
      </c>
      <c r="R12" s="1" t="str">
        <f t="shared" si="29"/>
        <v/>
      </c>
      <c r="S12" s="1" t="str">
        <f t="shared" si="29"/>
        <v/>
      </c>
      <c r="T12" s="1">
        <f t="shared" si="29"/>
        <v>2550</v>
      </c>
      <c r="U12" s="1" t="str">
        <f t="shared" si="29"/>
        <v/>
      </c>
      <c r="V12" s="1" t="str">
        <f t="shared" si="29"/>
        <v/>
      </c>
      <c r="W12" s="1">
        <f t="shared" si="29"/>
        <v>14760.70996</v>
      </c>
      <c r="X12" s="1">
        <f t="shared" si="29"/>
        <v>4400</v>
      </c>
      <c r="Y12" s="1">
        <f t="shared" si="29"/>
        <v>10100</v>
      </c>
      <c r="Z12" s="1">
        <f t="shared" si="29"/>
        <v>10500</v>
      </c>
      <c r="AA12" s="1">
        <f t="shared" si="29"/>
        <v>100147.4063</v>
      </c>
      <c r="AB12" s="1" t="str">
        <f t="shared" si="29"/>
        <v/>
      </c>
      <c r="AC12" s="1" t="str">
        <f>if(Calculator!$C$8,SUM(P12:AB12),"")</f>
        <v/>
      </c>
      <c r="AE12" s="1">
        <f t="shared" si="8"/>
        <v>7992.528415</v>
      </c>
      <c r="AF12" s="1">
        <f t="shared" si="9"/>
        <v>79944.68608</v>
      </c>
      <c r="AG12" s="1">
        <f t="shared" si="10"/>
        <v>7994.468608</v>
      </c>
      <c r="AH12" s="1">
        <f t="shared" si="11"/>
        <v>14269.21162</v>
      </c>
      <c r="AI12" s="1">
        <f t="shared" si="15"/>
        <v>-6274.743013</v>
      </c>
      <c r="AJ12" s="1" t="str">
        <f t="shared" si="12"/>
        <v/>
      </c>
    </row>
    <row r="13">
      <c r="A13" s="5">
        <v>10.0</v>
      </c>
      <c r="B13" s="8">
        <f t="shared" si="4"/>
        <v>0.9989968729</v>
      </c>
      <c r="C13" s="4">
        <f t="shared" ref="C13:N13" si="30">IF(C$2="","",C$1-_xlfn.FLOOR.MATH(C$1*(180-MIN(180,$A13))/180))</f>
        <v>7</v>
      </c>
      <c r="D13" s="1" t="str">
        <f t="shared" si="30"/>
        <v/>
      </c>
      <c r="E13" s="1" t="str">
        <f t="shared" si="30"/>
        <v/>
      </c>
      <c r="F13" s="1" t="str">
        <f t="shared" si="30"/>
        <v/>
      </c>
      <c r="G13" s="1">
        <f t="shared" si="30"/>
        <v>17</v>
      </c>
      <c r="H13" s="1" t="str">
        <f t="shared" si="30"/>
        <v/>
      </c>
      <c r="I13" s="1" t="str">
        <f t="shared" si="30"/>
        <v/>
      </c>
      <c r="J13" s="1">
        <f t="shared" si="30"/>
        <v>1</v>
      </c>
      <c r="K13" s="1">
        <f t="shared" si="30"/>
        <v>1</v>
      </c>
      <c r="L13" s="1">
        <f t="shared" si="30"/>
        <v>1</v>
      </c>
      <c r="M13" s="1">
        <f t="shared" si="30"/>
        <v>1</v>
      </c>
      <c r="N13" s="1">
        <f t="shared" si="30"/>
        <v>1</v>
      </c>
      <c r="O13" s="1" t="str">
        <f t="shared" si="6"/>
        <v/>
      </c>
      <c r="P13" s="1">
        <f t="shared" ref="P13:AB13" si="31">if(C$2="","",C13*P$1)</f>
        <v>273</v>
      </c>
      <c r="Q13" s="1" t="str">
        <f t="shared" si="31"/>
        <v/>
      </c>
      <c r="R13" s="1" t="str">
        <f t="shared" si="31"/>
        <v/>
      </c>
      <c r="S13" s="1" t="str">
        <f t="shared" si="31"/>
        <v/>
      </c>
      <c r="T13" s="1">
        <f t="shared" si="31"/>
        <v>2890</v>
      </c>
      <c r="U13" s="1" t="str">
        <f t="shared" si="31"/>
        <v/>
      </c>
      <c r="V13" s="1" t="str">
        <f t="shared" si="31"/>
        <v/>
      </c>
      <c r="W13" s="1">
        <f t="shared" si="31"/>
        <v>14760.70996</v>
      </c>
      <c r="X13" s="1">
        <f t="shared" si="31"/>
        <v>4400</v>
      </c>
      <c r="Y13" s="1">
        <f t="shared" si="31"/>
        <v>10100</v>
      </c>
      <c r="Z13" s="1">
        <f t="shared" si="31"/>
        <v>10500</v>
      </c>
      <c r="AA13" s="1">
        <f t="shared" si="31"/>
        <v>100147.4063</v>
      </c>
      <c r="AB13" s="1" t="str">
        <f t="shared" si="31"/>
        <v/>
      </c>
      <c r="AC13" s="1" t="str">
        <f>if(Calculator!$C$8,SUM(P13:AB13),"")</f>
        <v/>
      </c>
      <c r="AE13" s="1">
        <f t="shared" si="8"/>
        <v>7991.974983</v>
      </c>
      <c r="AF13" s="1">
        <f t="shared" si="9"/>
        <v>87936.66107</v>
      </c>
      <c r="AG13" s="1">
        <f t="shared" si="10"/>
        <v>7994.241915</v>
      </c>
      <c r="AH13" s="1">
        <f t="shared" si="11"/>
        <v>13006.46511</v>
      </c>
      <c r="AI13" s="1">
        <f t="shared" si="15"/>
        <v>-5012.223195</v>
      </c>
      <c r="AJ13" s="1" t="str">
        <f t="shared" si="12"/>
        <v/>
      </c>
    </row>
    <row r="14">
      <c r="A14" s="5">
        <v>11.0</v>
      </c>
      <c r="B14" s="8">
        <f t="shared" si="4"/>
        <v>0.998922578</v>
      </c>
      <c r="C14" s="4">
        <f t="shared" ref="C14:N14" si="32">IF(C$2="","",C$1-_xlfn.FLOOR.MATH(C$1*(180-MIN(180,$A14))/180))</f>
        <v>8</v>
      </c>
      <c r="D14" s="1" t="str">
        <f t="shared" si="32"/>
        <v/>
      </c>
      <c r="E14" s="1" t="str">
        <f t="shared" si="32"/>
        <v/>
      </c>
      <c r="F14" s="1" t="str">
        <f t="shared" si="32"/>
        <v/>
      </c>
      <c r="G14" s="1">
        <f t="shared" si="32"/>
        <v>19</v>
      </c>
      <c r="H14" s="1" t="str">
        <f t="shared" si="32"/>
        <v/>
      </c>
      <c r="I14" s="1" t="str">
        <f t="shared" si="32"/>
        <v/>
      </c>
      <c r="J14" s="1">
        <f t="shared" si="32"/>
        <v>1</v>
      </c>
      <c r="K14" s="1">
        <f t="shared" si="32"/>
        <v>1</v>
      </c>
      <c r="L14" s="1">
        <f t="shared" si="32"/>
        <v>1</v>
      </c>
      <c r="M14" s="1">
        <f t="shared" si="32"/>
        <v>1</v>
      </c>
      <c r="N14" s="1">
        <f t="shared" si="32"/>
        <v>1</v>
      </c>
      <c r="O14" s="1" t="str">
        <f t="shared" si="6"/>
        <v/>
      </c>
      <c r="P14" s="1">
        <f t="shared" ref="P14:AB14" si="33">if(C$2="","",C14*P$1)</f>
        <v>312</v>
      </c>
      <c r="Q14" s="1" t="str">
        <f t="shared" si="33"/>
        <v/>
      </c>
      <c r="R14" s="1" t="str">
        <f t="shared" si="33"/>
        <v/>
      </c>
      <c r="S14" s="1" t="str">
        <f t="shared" si="33"/>
        <v/>
      </c>
      <c r="T14" s="1">
        <f t="shared" si="33"/>
        <v>3230</v>
      </c>
      <c r="U14" s="1" t="str">
        <f t="shared" si="33"/>
        <v/>
      </c>
      <c r="V14" s="1" t="str">
        <f t="shared" si="33"/>
        <v/>
      </c>
      <c r="W14" s="1">
        <f t="shared" si="33"/>
        <v>14760.70996</v>
      </c>
      <c r="X14" s="1">
        <f t="shared" si="33"/>
        <v>4400</v>
      </c>
      <c r="Y14" s="1">
        <f t="shared" si="33"/>
        <v>10100</v>
      </c>
      <c r="Z14" s="1">
        <f t="shared" si="33"/>
        <v>10500</v>
      </c>
      <c r="AA14" s="1">
        <f t="shared" si="33"/>
        <v>100147.4063</v>
      </c>
      <c r="AB14" s="1" t="str">
        <f t="shared" si="33"/>
        <v/>
      </c>
      <c r="AC14" s="1" t="str">
        <f>if(Calculator!$C$8,SUM(P14:AB14),"")</f>
        <v/>
      </c>
      <c r="AE14" s="1">
        <f t="shared" si="8"/>
        <v>7991.380624</v>
      </c>
      <c r="AF14" s="1">
        <f t="shared" si="9"/>
        <v>95928.04169</v>
      </c>
      <c r="AG14" s="1">
        <f t="shared" si="10"/>
        <v>7994.003474</v>
      </c>
      <c r="AH14" s="1">
        <f t="shared" si="11"/>
        <v>11954.17635</v>
      </c>
      <c r="AI14" s="1">
        <f t="shared" si="15"/>
        <v>-3960.172877</v>
      </c>
      <c r="AJ14" s="1" t="str">
        <f t="shared" si="12"/>
        <v/>
      </c>
    </row>
    <row r="15">
      <c r="A15" s="5">
        <v>12.0</v>
      </c>
      <c r="B15" s="8">
        <f t="shared" si="4"/>
        <v>0.9988427901</v>
      </c>
      <c r="C15" s="4">
        <f t="shared" ref="C15:N15" si="34">IF(C$2="","",C$1-_xlfn.FLOOR.MATH(C$1*(180-MIN(180,$A15))/180))</f>
        <v>8</v>
      </c>
      <c r="D15" s="1" t="str">
        <f t="shared" si="34"/>
        <v/>
      </c>
      <c r="E15" s="1" t="str">
        <f t="shared" si="34"/>
        <v/>
      </c>
      <c r="F15" s="1" t="str">
        <f t="shared" si="34"/>
        <v/>
      </c>
      <c r="G15" s="1">
        <f t="shared" si="34"/>
        <v>20</v>
      </c>
      <c r="H15" s="1" t="str">
        <f t="shared" si="34"/>
        <v/>
      </c>
      <c r="I15" s="1" t="str">
        <f t="shared" si="34"/>
        <v/>
      </c>
      <c r="J15" s="1">
        <f t="shared" si="34"/>
        <v>1</v>
      </c>
      <c r="K15" s="1">
        <f t="shared" si="34"/>
        <v>1</v>
      </c>
      <c r="L15" s="1">
        <f t="shared" si="34"/>
        <v>1</v>
      </c>
      <c r="M15" s="1">
        <f t="shared" si="34"/>
        <v>1</v>
      </c>
      <c r="N15" s="1">
        <f t="shared" si="34"/>
        <v>1</v>
      </c>
      <c r="O15" s="1" t="str">
        <f t="shared" si="6"/>
        <v/>
      </c>
      <c r="P15" s="1">
        <f t="shared" ref="P15:AB15" si="35">if(C$2="","",C15*P$1)</f>
        <v>312</v>
      </c>
      <c r="Q15" s="1" t="str">
        <f t="shared" si="35"/>
        <v/>
      </c>
      <c r="R15" s="1" t="str">
        <f t="shared" si="35"/>
        <v/>
      </c>
      <c r="S15" s="1" t="str">
        <f t="shared" si="35"/>
        <v/>
      </c>
      <c r="T15" s="1">
        <f t="shared" si="35"/>
        <v>3400</v>
      </c>
      <c r="U15" s="1" t="str">
        <f t="shared" si="35"/>
        <v/>
      </c>
      <c r="V15" s="1" t="str">
        <f t="shared" si="35"/>
        <v/>
      </c>
      <c r="W15" s="1">
        <f t="shared" si="35"/>
        <v>14760.70996</v>
      </c>
      <c r="X15" s="1">
        <f t="shared" si="35"/>
        <v>4400</v>
      </c>
      <c r="Y15" s="1">
        <f t="shared" si="35"/>
        <v>10100</v>
      </c>
      <c r="Z15" s="1">
        <f t="shared" si="35"/>
        <v>10500</v>
      </c>
      <c r="AA15" s="1">
        <f t="shared" si="35"/>
        <v>100147.4063</v>
      </c>
      <c r="AB15" s="1" t="str">
        <f t="shared" si="35"/>
        <v/>
      </c>
      <c r="AC15" s="1" t="str">
        <f>if(Calculator!$C$8,SUM(P15:AB15),"")</f>
        <v/>
      </c>
      <c r="AE15" s="1">
        <f t="shared" si="8"/>
        <v>7990.742321</v>
      </c>
      <c r="AF15" s="1">
        <f t="shared" si="9"/>
        <v>103918.784</v>
      </c>
      <c r="AG15" s="1">
        <f t="shared" si="10"/>
        <v>7993.752616</v>
      </c>
      <c r="AH15" s="1">
        <f t="shared" si="11"/>
        <v>11047.70125</v>
      </c>
      <c r="AI15" s="1">
        <f t="shared" si="15"/>
        <v>-3053.948631</v>
      </c>
      <c r="AJ15" s="1" t="str">
        <f t="shared" si="12"/>
        <v/>
      </c>
    </row>
    <row r="16">
      <c r="A16" s="5">
        <v>13.0</v>
      </c>
      <c r="B16" s="8">
        <f t="shared" si="4"/>
        <v>0.9987571045</v>
      </c>
      <c r="C16" s="4">
        <f t="shared" ref="C16:N16" si="36">IF(C$2="","",C$1-_xlfn.FLOOR.MATH(C$1*(180-MIN(180,$A16))/180))</f>
        <v>9</v>
      </c>
      <c r="D16" s="1" t="str">
        <f t="shared" si="36"/>
        <v/>
      </c>
      <c r="E16" s="1" t="str">
        <f t="shared" si="36"/>
        <v/>
      </c>
      <c r="F16" s="1" t="str">
        <f t="shared" si="36"/>
        <v/>
      </c>
      <c r="G16" s="1">
        <f t="shared" si="36"/>
        <v>22</v>
      </c>
      <c r="H16" s="1" t="str">
        <f t="shared" si="36"/>
        <v/>
      </c>
      <c r="I16" s="1" t="str">
        <f t="shared" si="36"/>
        <v/>
      </c>
      <c r="J16" s="1">
        <f t="shared" si="36"/>
        <v>1</v>
      </c>
      <c r="K16" s="1">
        <f t="shared" si="36"/>
        <v>1</v>
      </c>
      <c r="L16" s="1">
        <f t="shared" si="36"/>
        <v>1</v>
      </c>
      <c r="M16" s="1">
        <f t="shared" si="36"/>
        <v>1</v>
      </c>
      <c r="N16" s="1">
        <f t="shared" si="36"/>
        <v>1</v>
      </c>
      <c r="O16" s="1" t="str">
        <f t="shared" si="6"/>
        <v/>
      </c>
      <c r="P16" s="1">
        <f t="shared" ref="P16:AB16" si="37">if(C$2="","",C16*P$1)</f>
        <v>351</v>
      </c>
      <c r="Q16" s="1" t="str">
        <f t="shared" si="37"/>
        <v/>
      </c>
      <c r="R16" s="1" t="str">
        <f t="shared" si="37"/>
        <v/>
      </c>
      <c r="S16" s="1" t="str">
        <f t="shared" si="37"/>
        <v/>
      </c>
      <c r="T16" s="1">
        <f t="shared" si="37"/>
        <v>3740</v>
      </c>
      <c r="U16" s="1" t="str">
        <f t="shared" si="37"/>
        <v/>
      </c>
      <c r="V16" s="1" t="str">
        <f t="shared" si="37"/>
        <v/>
      </c>
      <c r="W16" s="1">
        <f t="shared" si="37"/>
        <v>14760.70996</v>
      </c>
      <c r="X16" s="1">
        <f t="shared" si="37"/>
        <v>4400</v>
      </c>
      <c r="Y16" s="1">
        <f t="shared" si="37"/>
        <v>10100</v>
      </c>
      <c r="Z16" s="1">
        <f t="shared" si="37"/>
        <v>10500</v>
      </c>
      <c r="AA16" s="1">
        <f t="shared" si="37"/>
        <v>100147.4063</v>
      </c>
      <c r="AB16" s="1" t="str">
        <f t="shared" si="37"/>
        <v/>
      </c>
      <c r="AC16" s="1" t="str">
        <f>if(Calculator!$C$8,SUM(P16:AB16),"")</f>
        <v/>
      </c>
      <c r="AE16" s="1">
        <f t="shared" si="8"/>
        <v>7990.056836</v>
      </c>
      <c r="AF16" s="1">
        <f t="shared" si="9"/>
        <v>111908.8408</v>
      </c>
      <c r="AG16" s="1">
        <f t="shared" si="10"/>
        <v>7993.488632</v>
      </c>
      <c r="AH16" s="1">
        <f t="shared" si="11"/>
        <v>10285.65116</v>
      </c>
      <c r="AI16" s="1">
        <f t="shared" si="15"/>
        <v>-2292.162526</v>
      </c>
      <c r="AJ16" s="1" t="str">
        <f t="shared" si="12"/>
        <v/>
      </c>
    </row>
    <row r="17">
      <c r="A17" s="5">
        <v>14.0</v>
      </c>
      <c r="B17" s="8">
        <f t="shared" si="4"/>
        <v>0.998665087</v>
      </c>
      <c r="C17" s="4">
        <f t="shared" ref="C17:N17" si="38">IF(C$2="","",C$1-_xlfn.FLOOR.MATH(C$1*(180-MIN(180,$A17))/180))</f>
        <v>10</v>
      </c>
      <c r="D17" s="1" t="str">
        <f t="shared" si="38"/>
        <v/>
      </c>
      <c r="E17" s="1" t="str">
        <f t="shared" si="38"/>
        <v/>
      </c>
      <c r="F17" s="1" t="str">
        <f t="shared" si="38"/>
        <v/>
      </c>
      <c r="G17" s="1">
        <f t="shared" si="38"/>
        <v>24</v>
      </c>
      <c r="H17" s="1" t="str">
        <f t="shared" si="38"/>
        <v/>
      </c>
      <c r="I17" s="1" t="str">
        <f t="shared" si="38"/>
        <v/>
      </c>
      <c r="J17" s="1">
        <f t="shared" si="38"/>
        <v>1</v>
      </c>
      <c r="K17" s="1">
        <f t="shared" si="38"/>
        <v>1</v>
      </c>
      <c r="L17" s="1">
        <f t="shared" si="38"/>
        <v>1</v>
      </c>
      <c r="M17" s="1">
        <f t="shared" si="38"/>
        <v>1</v>
      </c>
      <c r="N17" s="1">
        <f t="shared" si="38"/>
        <v>1</v>
      </c>
      <c r="O17" s="1" t="str">
        <f t="shared" si="6"/>
        <v/>
      </c>
      <c r="P17" s="1">
        <f t="shared" ref="P17:AB17" si="39">if(C$2="","",C17*P$1)</f>
        <v>390</v>
      </c>
      <c r="Q17" s="1" t="str">
        <f t="shared" si="39"/>
        <v/>
      </c>
      <c r="R17" s="1" t="str">
        <f t="shared" si="39"/>
        <v/>
      </c>
      <c r="S17" s="1" t="str">
        <f t="shared" si="39"/>
        <v/>
      </c>
      <c r="T17" s="1">
        <f t="shared" si="39"/>
        <v>4080</v>
      </c>
      <c r="U17" s="1" t="str">
        <f t="shared" si="39"/>
        <v/>
      </c>
      <c r="V17" s="1" t="str">
        <f t="shared" si="39"/>
        <v/>
      </c>
      <c r="W17" s="1">
        <f t="shared" si="39"/>
        <v>14760.70996</v>
      </c>
      <c r="X17" s="1">
        <f t="shared" si="39"/>
        <v>4400</v>
      </c>
      <c r="Y17" s="1">
        <f t="shared" si="39"/>
        <v>10100</v>
      </c>
      <c r="Z17" s="1">
        <f t="shared" si="39"/>
        <v>10500</v>
      </c>
      <c r="AA17" s="1">
        <f t="shared" si="39"/>
        <v>100147.4063</v>
      </c>
      <c r="AB17" s="1" t="str">
        <f t="shared" si="39"/>
        <v/>
      </c>
      <c r="AC17" s="1" t="str">
        <f>if(Calculator!$C$8,SUM(P17:AB17),"")</f>
        <v/>
      </c>
      <c r="AE17" s="1">
        <f t="shared" si="8"/>
        <v>7989.320696</v>
      </c>
      <c r="AF17" s="1">
        <f t="shared" si="9"/>
        <v>119898.1615</v>
      </c>
      <c r="AG17" s="1">
        <f t="shared" si="10"/>
        <v>7993.21077</v>
      </c>
      <c r="AH17" s="1">
        <f t="shared" si="11"/>
        <v>9625.207747</v>
      </c>
      <c r="AI17" s="1">
        <f t="shared" si="15"/>
        <v>-1631.996978</v>
      </c>
      <c r="AJ17" s="1" t="str">
        <f t="shared" si="12"/>
        <v/>
      </c>
    </row>
    <row r="18">
      <c r="A18" s="5">
        <v>15.0</v>
      </c>
      <c r="B18" s="8">
        <f t="shared" si="4"/>
        <v>0.9985662716</v>
      </c>
      <c r="C18" s="4">
        <f t="shared" ref="C18:N18" si="40">IF(C$2="","",C$1-_xlfn.FLOOR.MATH(C$1*(180-MIN(180,$A18))/180))</f>
        <v>10</v>
      </c>
      <c r="D18" s="1" t="str">
        <f t="shared" si="40"/>
        <v/>
      </c>
      <c r="E18" s="1" t="str">
        <f t="shared" si="40"/>
        <v/>
      </c>
      <c r="F18" s="1" t="str">
        <f t="shared" si="40"/>
        <v/>
      </c>
      <c r="G18" s="1">
        <f t="shared" si="40"/>
        <v>25</v>
      </c>
      <c r="H18" s="1" t="str">
        <f t="shared" si="40"/>
        <v/>
      </c>
      <c r="I18" s="1" t="str">
        <f t="shared" si="40"/>
        <v/>
      </c>
      <c r="J18" s="1">
        <f t="shared" si="40"/>
        <v>1</v>
      </c>
      <c r="K18" s="1">
        <f t="shared" si="40"/>
        <v>1</v>
      </c>
      <c r="L18" s="1">
        <f t="shared" si="40"/>
        <v>1</v>
      </c>
      <c r="M18" s="1">
        <f t="shared" si="40"/>
        <v>1</v>
      </c>
      <c r="N18" s="1">
        <f t="shared" si="40"/>
        <v>1</v>
      </c>
      <c r="O18" s="1" t="str">
        <f t="shared" si="6"/>
        <v/>
      </c>
      <c r="P18" s="1">
        <f t="shared" ref="P18:AB18" si="41">if(C$2="","",C18*P$1)</f>
        <v>390</v>
      </c>
      <c r="Q18" s="1" t="str">
        <f t="shared" si="41"/>
        <v/>
      </c>
      <c r="R18" s="1" t="str">
        <f t="shared" si="41"/>
        <v/>
      </c>
      <c r="S18" s="1" t="str">
        <f t="shared" si="41"/>
        <v/>
      </c>
      <c r="T18" s="1">
        <f t="shared" si="41"/>
        <v>4250</v>
      </c>
      <c r="U18" s="1" t="str">
        <f t="shared" si="41"/>
        <v/>
      </c>
      <c r="V18" s="1" t="str">
        <f t="shared" si="41"/>
        <v/>
      </c>
      <c r="W18" s="1">
        <f t="shared" si="41"/>
        <v>14760.70996</v>
      </c>
      <c r="X18" s="1">
        <f t="shared" si="41"/>
        <v>4400</v>
      </c>
      <c r="Y18" s="1">
        <f t="shared" si="41"/>
        <v>10100</v>
      </c>
      <c r="Z18" s="1">
        <f t="shared" si="41"/>
        <v>10500</v>
      </c>
      <c r="AA18" s="1">
        <f t="shared" si="41"/>
        <v>100147.4063</v>
      </c>
      <c r="AB18" s="1" t="str">
        <f t="shared" si="41"/>
        <v/>
      </c>
      <c r="AC18" s="1" t="str">
        <f>if(Calculator!$C$8,SUM(P18:AB18),"")</f>
        <v/>
      </c>
      <c r="AE18" s="1">
        <f t="shared" si="8"/>
        <v>7988.530173</v>
      </c>
      <c r="AF18" s="1">
        <f t="shared" si="9"/>
        <v>127886.6917</v>
      </c>
      <c r="AG18" s="1">
        <f t="shared" si="10"/>
        <v>7992.918232</v>
      </c>
      <c r="AH18" s="1">
        <f t="shared" si="11"/>
        <v>9034.257263</v>
      </c>
      <c r="AI18" s="1">
        <f t="shared" si="15"/>
        <v>-1041.339031</v>
      </c>
      <c r="AJ18" s="1" t="str">
        <f t="shared" si="12"/>
        <v/>
      </c>
    </row>
    <row r="19">
      <c r="A19" s="5">
        <v>16.0</v>
      </c>
      <c r="B19" s="8">
        <f t="shared" si="4"/>
        <v>0.9984601583</v>
      </c>
      <c r="C19" s="4">
        <f t="shared" ref="C19:N19" si="42">IF(C$2="","",C$1-_xlfn.FLOOR.MATH(C$1*(180-MIN(180,$A19))/180))</f>
        <v>11</v>
      </c>
      <c r="D19" s="1" t="str">
        <f t="shared" si="42"/>
        <v/>
      </c>
      <c r="E19" s="1" t="str">
        <f t="shared" si="42"/>
        <v/>
      </c>
      <c r="F19" s="1" t="str">
        <f t="shared" si="42"/>
        <v/>
      </c>
      <c r="G19" s="1">
        <f t="shared" si="42"/>
        <v>27</v>
      </c>
      <c r="H19" s="1" t="str">
        <f t="shared" si="42"/>
        <v/>
      </c>
      <c r="I19" s="1" t="str">
        <f t="shared" si="42"/>
        <v/>
      </c>
      <c r="J19" s="1">
        <f t="shared" si="42"/>
        <v>1</v>
      </c>
      <c r="K19" s="1">
        <f t="shared" si="42"/>
        <v>1</v>
      </c>
      <c r="L19" s="1">
        <f t="shared" si="42"/>
        <v>1</v>
      </c>
      <c r="M19" s="1">
        <f t="shared" si="42"/>
        <v>2</v>
      </c>
      <c r="N19" s="1">
        <f t="shared" si="42"/>
        <v>1</v>
      </c>
      <c r="O19" s="1" t="str">
        <f t="shared" si="6"/>
        <v/>
      </c>
      <c r="P19" s="1">
        <f t="shared" ref="P19:AB19" si="43">if(C$2="","",C19*P$1)</f>
        <v>429</v>
      </c>
      <c r="Q19" s="1" t="str">
        <f t="shared" si="43"/>
        <v/>
      </c>
      <c r="R19" s="1" t="str">
        <f t="shared" si="43"/>
        <v/>
      </c>
      <c r="S19" s="1" t="str">
        <f t="shared" si="43"/>
        <v/>
      </c>
      <c r="T19" s="1">
        <f t="shared" si="43"/>
        <v>4590</v>
      </c>
      <c r="U19" s="1" t="str">
        <f t="shared" si="43"/>
        <v/>
      </c>
      <c r="V19" s="1" t="str">
        <f t="shared" si="43"/>
        <v/>
      </c>
      <c r="W19" s="1">
        <f t="shared" si="43"/>
        <v>14760.70996</v>
      </c>
      <c r="X19" s="1">
        <f t="shared" si="43"/>
        <v>4400</v>
      </c>
      <c r="Y19" s="1">
        <f t="shared" si="43"/>
        <v>10100</v>
      </c>
      <c r="Z19" s="1">
        <f t="shared" si="43"/>
        <v>21000</v>
      </c>
      <c r="AA19" s="1">
        <f t="shared" si="43"/>
        <v>100147.4063</v>
      </c>
      <c r="AB19" s="1" t="str">
        <f t="shared" si="43"/>
        <v/>
      </c>
      <c r="AC19" s="1" t="str">
        <f>if(Calculator!$C$8,SUM(P19:AB19),"")</f>
        <v/>
      </c>
      <c r="AE19" s="1">
        <f t="shared" si="8"/>
        <v>7987.681267</v>
      </c>
      <c r="AF19" s="1">
        <f t="shared" si="9"/>
        <v>135874.373</v>
      </c>
      <c r="AG19" s="1">
        <f t="shared" si="10"/>
        <v>7992.610175</v>
      </c>
      <c r="AH19" s="1">
        <f t="shared" si="11"/>
        <v>9142.771542</v>
      </c>
      <c r="AI19" s="1">
        <f t="shared" si="15"/>
        <v>-1150.161366</v>
      </c>
      <c r="AJ19" s="1" t="str">
        <f t="shared" si="12"/>
        <v/>
      </c>
    </row>
    <row r="20">
      <c r="A20" s="5">
        <v>17.0</v>
      </c>
      <c r="B20" s="8">
        <f t="shared" si="4"/>
        <v>0.9983462108</v>
      </c>
      <c r="C20" s="4">
        <f t="shared" ref="C20:N20" si="44">IF(C$2="","",C$1-_xlfn.FLOOR.MATH(C$1*(180-MIN(180,$A20))/180))</f>
        <v>12</v>
      </c>
      <c r="D20" s="1" t="str">
        <f t="shared" si="44"/>
        <v/>
      </c>
      <c r="E20" s="1" t="str">
        <f t="shared" si="44"/>
        <v/>
      </c>
      <c r="F20" s="1" t="str">
        <f t="shared" si="44"/>
        <v/>
      </c>
      <c r="G20" s="1">
        <f t="shared" si="44"/>
        <v>29</v>
      </c>
      <c r="H20" s="1" t="str">
        <f t="shared" si="44"/>
        <v/>
      </c>
      <c r="I20" s="1" t="str">
        <f t="shared" si="44"/>
        <v/>
      </c>
      <c r="J20" s="1">
        <f t="shared" si="44"/>
        <v>1</v>
      </c>
      <c r="K20" s="1">
        <f t="shared" si="44"/>
        <v>1</v>
      </c>
      <c r="L20" s="1">
        <f t="shared" si="44"/>
        <v>1</v>
      </c>
      <c r="M20" s="1">
        <f t="shared" si="44"/>
        <v>2</v>
      </c>
      <c r="N20" s="1">
        <f t="shared" si="44"/>
        <v>1</v>
      </c>
      <c r="O20" s="1" t="str">
        <f t="shared" si="6"/>
        <v/>
      </c>
      <c r="P20" s="1">
        <f t="shared" ref="P20:AB20" si="45">if(C$2="","",C20*P$1)</f>
        <v>468</v>
      </c>
      <c r="Q20" s="1" t="str">
        <f t="shared" si="45"/>
        <v/>
      </c>
      <c r="R20" s="1" t="str">
        <f t="shared" si="45"/>
        <v/>
      </c>
      <c r="S20" s="1" t="str">
        <f t="shared" si="45"/>
        <v/>
      </c>
      <c r="T20" s="1">
        <f t="shared" si="45"/>
        <v>4930</v>
      </c>
      <c r="U20" s="1" t="str">
        <f t="shared" si="45"/>
        <v/>
      </c>
      <c r="V20" s="1" t="str">
        <f t="shared" si="45"/>
        <v/>
      </c>
      <c r="W20" s="1">
        <f t="shared" si="45"/>
        <v>14760.70996</v>
      </c>
      <c r="X20" s="1">
        <f t="shared" si="45"/>
        <v>4400</v>
      </c>
      <c r="Y20" s="1">
        <f t="shared" si="45"/>
        <v>10100</v>
      </c>
      <c r="Z20" s="1">
        <f t="shared" si="45"/>
        <v>21000</v>
      </c>
      <c r="AA20" s="1">
        <f t="shared" si="45"/>
        <v>100147.4063</v>
      </c>
      <c r="AB20" s="1" t="str">
        <f t="shared" si="45"/>
        <v/>
      </c>
      <c r="AC20" s="1" t="str">
        <f>if(Calculator!$C$8,SUM(P20:AB20),"")</f>
        <v/>
      </c>
      <c r="AE20" s="1">
        <f t="shared" si="8"/>
        <v>7986.769687</v>
      </c>
      <c r="AF20" s="1">
        <f t="shared" si="9"/>
        <v>143861.1427</v>
      </c>
      <c r="AG20" s="1">
        <f t="shared" si="10"/>
        <v>7992.285704</v>
      </c>
      <c r="AH20" s="1">
        <f t="shared" si="11"/>
        <v>8655.895345</v>
      </c>
      <c r="AI20" s="1">
        <f t="shared" si="15"/>
        <v>-663.6096412</v>
      </c>
      <c r="AJ20" s="1" t="str">
        <f t="shared" si="12"/>
        <v/>
      </c>
    </row>
    <row r="21">
      <c r="A21" s="5">
        <v>18.0</v>
      </c>
      <c r="B21" s="8">
        <f t="shared" si="4"/>
        <v>0.9982238537</v>
      </c>
      <c r="C21" s="4">
        <f t="shared" ref="C21:N21" si="46">IF(C$2="","",C$1-_xlfn.FLOOR.MATH(C$1*(180-MIN(180,$A21))/180))</f>
        <v>12</v>
      </c>
      <c r="D21" s="1" t="str">
        <f t="shared" si="46"/>
        <v/>
      </c>
      <c r="E21" s="1" t="str">
        <f t="shared" si="46"/>
        <v/>
      </c>
      <c r="F21" s="1" t="str">
        <f t="shared" si="46"/>
        <v/>
      </c>
      <c r="G21" s="1">
        <f t="shared" si="46"/>
        <v>30</v>
      </c>
      <c r="H21" s="1" t="str">
        <f t="shared" si="46"/>
        <v/>
      </c>
      <c r="I21" s="1" t="str">
        <f t="shared" si="46"/>
        <v/>
      </c>
      <c r="J21" s="1">
        <f t="shared" si="46"/>
        <v>1</v>
      </c>
      <c r="K21" s="1">
        <f t="shared" si="46"/>
        <v>1</v>
      </c>
      <c r="L21" s="1">
        <f t="shared" si="46"/>
        <v>1</v>
      </c>
      <c r="M21" s="1">
        <f t="shared" si="46"/>
        <v>2</v>
      </c>
      <c r="N21" s="1">
        <f t="shared" si="46"/>
        <v>1</v>
      </c>
      <c r="O21" s="1" t="str">
        <f t="shared" si="6"/>
        <v/>
      </c>
      <c r="P21" s="1">
        <f t="shared" ref="P21:AB21" si="47">if(C$2="","",C21*P$1)</f>
        <v>468</v>
      </c>
      <c r="Q21" s="1" t="str">
        <f t="shared" si="47"/>
        <v/>
      </c>
      <c r="R21" s="1" t="str">
        <f t="shared" si="47"/>
        <v/>
      </c>
      <c r="S21" s="1" t="str">
        <f t="shared" si="47"/>
        <v/>
      </c>
      <c r="T21" s="1">
        <f t="shared" si="47"/>
        <v>5100</v>
      </c>
      <c r="U21" s="1" t="str">
        <f t="shared" si="47"/>
        <v/>
      </c>
      <c r="V21" s="1" t="str">
        <f t="shared" si="47"/>
        <v/>
      </c>
      <c r="W21" s="1">
        <f t="shared" si="47"/>
        <v>14760.70996</v>
      </c>
      <c r="X21" s="1">
        <f t="shared" si="47"/>
        <v>4400</v>
      </c>
      <c r="Y21" s="1">
        <f t="shared" si="47"/>
        <v>10100</v>
      </c>
      <c r="Z21" s="1">
        <f t="shared" si="47"/>
        <v>21000</v>
      </c>
      <c r="AA21" s="1">
        <f t="shared" si="47"/>
        <v>100147.4063</v>
      </c>
      <c r="AB21" s="1" t="str">
        <f t="shared" si="47"/>
        <v/>
      </c>
      <c r="AC21" s="1" t="str">
        <f>if(Calculator!$C$8,SUM(P21:AB21),"")</f>
        <v/>
      </c>
      <c r="AE21" s="1">
        <f t="shared" si="8"/>
        <v>7985.790829</v>
      </c>
      <c r="AF21" s="1">
        <f t="shared" si="9"/>
        <v>151846.9335</v>
      </c>
      <c r="AG21" s="1">
        <f t="shared" si="10"/>
        <v>7991.943868</v>
      </c>
      <c r="AH21" s="1">
        <f t="shared" si="11"/>
        <v>8209.269274</v>
      </c>
      <c r="AI21" s="1">
        <f t="shared" si="15"/>
        <v>-217.3254059</v>
      </c>
      <c r="AJ21" s="1" t="str">
        <f t="shared" si="12"/>
        <v/>
      </c>
    </row>
    <row r="22">
      <c r="A22" s="5">
        <v>19.0</v>
      </c>
      <c r="B22" s="8">
        <f t="shared" si="4"/>
        <v>0.9980924697</v>
      </c>
      <c r="C22" s="4">
        <f t="shared" ref="C22:N22" si="48">IF(C$2="","",C$1-_xlfn.FLOOR.MATH(C$1*(180-MIN(180,$A22))/180))</f>
        <v>13</v>
      </c>
      <c r="D22" s="1" t="str">
        <f t="shared" si="48"/>
        <v/>
      </c>
      <c r="E22" s="1" t="str">
        <f t="shared" si="48"/>
        <v/>
      </c>
      <c r="F22" s="1" t="str">
        <f t="shared" si="48"/>
        <v/>
      </c>
      <c r="G22" s="1">
        <f t="shared" si="48"/>
        <v>32</v>
      </c>
      <c r="H22" s="1" t="str">
        <f t="shared" si="48"/>
        <v/>
      </c>
      <c r="I22" s="1" t="str">
        <f t="shared" si="48"/>
        <v/>
      </c>
      <c r="J22" s="1">
        <f t="shared" si="48"/>
        <v>1</v>
      </c>
      <c r="K22" s="1">
        <f t="shared" si="48"/>
        <v>1</v>
      </c>
      <c r="L22" s="1">
        <f t="shared" si="48"/>
        <v>1</v>
      </c>
      <c r="M22" s="1">
        <f t="shared" si="48"/>
        <v>2</v>
      </c>
      <c r="N22" s="1">
        <f t="shared" si="48"/>
        <v>1</v>
      </c>
      <c r="O22" s="1" t="str">
        <f t="shared" si="6"/>
        <v/>
      </c>
      <c r="P22" s="1">
        <f t="shared" ref="P22:AB22" si="49">if(C$2="","",C22*P$1)</f>
        <v>507</v>
      </c>
      <c r="Q22" s="1" t="str">
        <f t="shared" si="49"/>
        <v/>
      </c>
      <c r="R22" s="1" t="str">
        <f t="shared" si="49"/>
        <v/>
      </c>
      <c r="S22" s="1" t="str">
        <f t="shared" si="49"/>
        <v/>
      </c>
      <c r="T22" s="1">
        <f t="shared" si="49"/>
        <v>5440</v>
      </c>
      <c r="U22" s="1" t="str">
        <f t="shared" si="49"/>
        <v/>
      </c>
      <c r="V22" s="1" t="str">
        <f t="shared" si="49"/>
        <v/>
      </c>
      <c r="W22" s="1">
        <f t="shared" si="49"/>
        <v>14760.70996</v>
      </c>
      <c r="X22" s="1">
        <f t="shared" si="49"/>
        <v>4400</v>
      </c>
      <c r="Y22" s="1">
        <f t="shared" si="49"/>
        <v>10100</v>
      </c>
      <c r="Z22" s="1">
        <f t="shared" si="49"/>
        <v>21000</v>
      </c>
      <c r="AA22" s="1">
        <f t="shared" si="49"/>
        <v>100147.4063</v>
      </c>
      <c r="AB22" s="1" t="str">
        <f t="shared" si="49"/>
        <v/>
      </c>
      <c r="AC22" s="1" t="str">
        <f>if(Calculator!$C$8,SUM(P22:AB22),"")</f>
        <v/>
      </c>
      <c r="AE22" s="1">
        <f t="shared" si="8"/>
        <v>7984.739757</v>
      </c>
      <c r="AF22" s="1">
        <f t="shared" si="9"/>
        <v>159831.6733</v>
      </c>
      <c r="AG22" s="1">
        <f t="shared" si="10"/>
        <v>7991.583663</v>
      </c>
      <c r="AH22" s="1">
        <f t="shared" si="11"/>
        <v>7817.755811</v>
      </c>
      <c r="AI22" s="1">
        <f t="shared" si="15"/>
        <v>173.8278522</v>
      </c>
      <c r="AJ22" s="1" t="str">
        <f t="shared" si="12"/>
        <v/>
      </c>
    </row>
    <row r="23">
      <c r="A23" s="5">
        <v>20.0</v>
      </c>
      <c r="B23" s="8">
        <f t="shared" si="4"/>
        <v>0.9979513968</v>
      </c>
      <c r="C23" s="4">
        <f t="shared" ref="C23:N23" si="50">IF(C$2="","",C$1-_xlfn.FLOOR.MATH(C$1*(180-MIN(180,$A23))/180))</f>
        <v>14</v>
      </c>
      <c r="D23" s="1" t="str">
        <f t="shared" si="50"/>
        <v/>
      </c>
      <c r="E23" s="1" t="str">
        <f t="shared" si="50"/>
        <v/>
      </c>
      <c r="F23" s="1" t="str">
        <f t="shared" si="50"/>
        <v/>
      </c>
      <c r="G23" s="1">
        <f t="shared" si="50"/>
        <v>34</v>
      </c>
      <c r="H23" s="1" t="str">
        <f t="shared" si="50"/>
        <v/>
      </c>
      <c r="I23" s="1" t="str">
        <f t="shared" si="50"/>
        <v/>
      </c>
      <c r="J23" s="1">
        <f t="shared" si="50"/>
        <v>1</v>
      </c>
      <c r="K23" s="1">
        <f t="shared" si="50"/>
        <v>1</v>
      </c>
      <c r="L23" s="1">
        <f t="shared" si="50"/>
        <v>1</v>
      </c>
      <c r="M23" s="1">
        <f t="shared" si="50"/>
        <v>2</v>
      </c>
      <c r="N23" s="1">
        <f t="shared" si="50"/>
        <v>1</v>
      </c>
      <c r="O23" s="1" t="str">
        <f t="shared" si="6"/>
        <v/>
      </c>
      <c r="P23" s="1">
        <f t="shared" ref="P23:AB23" si="51">if(C$2="","",C23*P$1)</f>
        <v>546</v>
      </c>
      <c r="Q23" s="1" t="str">
        <f t="shared" si="51"/>
        <v/>
      </c>
      <c r="R23" s="1" t="str">
        <f t="shared" si="51"/>
        <v/>
      </c>
      <c r="S23" s="1" t="str">
        <f t="shared" si="51"/>
        <v/>
      </c>
      <c r="T23" s="1">
        <f t="shared" si="51"/>
        <v>5780</v>
      </c>
      <c r="U23" s="1" t="str">
        <f t="shared" si="51"/>
        <v/>
      </c>
      <c r="V23" s="1" t="str">
        <f t="shared" si="51"/>
        <v/>
      </c>
      <c r="W23" s="1">
        <f t="shared" si="51"/>
        <v>14760.70996</v>
      </c>
      <c r="X23" s="1">
        <f t="shared" si="51"/>
        <v>4400</v>
      </c>
      <c r="Y23" s="1">
        <f t="shared" si="51"/>
        <v>10100</v>
      </c>
      <c r="Z23" s="1">
        <f t="shared" si="51"/>
        <v>21000</v>
      </c>
      <c r="AA23" s="1">
        <f t="shared" si="51"/>
        <v>100147.4063</v>
      </c>
      <c r="AB23" s="1" t="str">
        <f t="shared" si="51"/>
        <v/>
      </c>
      <c r="AC23" s="1" t="str">
        <f>if(Calculator!$C$8,SUM(P23:AB23),"")</f>
        <v/>
      </c>
      <c r="AE23" s="1">
        <f t="shared" si="8"/>
        <v>7983.611174</v>
      </c>
      <c r="AF23" s="1">
        <f t="shared" si="9"/>
        <v>167815.2844</v>
      </c>
      <c r="AG23" s="1">
        <f t="shared" si="10"/>
        <v>7991.20402</v>
      </c>
      <c r="AH23" s="1">
        <f t="shared" si="11"/>
        <v>7463.529343</v>
      </c>
      <c r="AI23" s="1">
        <f t="shared" si="15"/>
        <v>527.6746771</v>
      </c>
      <c r="AJ23" s="1" t="str">
        <f t="shared" si="12"/>
        <v/>
      </c>
    </row>
    <row r="24">
      <c r="A24" s="5">
        <v>21.0</v>
      </c>
      <c r="B24" s="8">
        <f t="shared" si="4"/>
        <v>0.9977999251</v>
      </c>
      <c r="C24" s="4">
        <f t="shared" ref="C24:N24" si="52">IF(C$2="","",C$1-_xlfn.FLOOR.MATH(C$1*(180-MIN(180,$A24))/180))</f>
        <v>14</v>
      </c>
      <c r="D24" s="1" t="str">
        <f t="shared" si="52"/>
        <v/>
      </c>
      <c r="E24" s="1" t="str">
        <f t="shared" si="52"/>
        <v/>
      </c>
      <c r="F24" s="1" t="str">
        <f t="shared" si="52"/>
        <v/>
      </c>
      <c r="G24" s="1">
        <f t="shared" si="52"/>
        <v>35</v>
      </c>
      <c r="H24" s="1" t="str">
        <f t="shared" si="52"/>
        <v/>
      </c>
      <c r="I24" s="1" t="str">
        <f t="shared" si="52"/>
        <v/>
      </c>
      <c r="J24" s="1">
        <f t="shared" si="52"/>
        <v>1</v>
      </c>
      <c r="K24" s="1">
        <f t="shared" si="52"/>
        <v>1</v>
      </c>
      <c r="L24" s="1">
        <f t="shared" si="52"/>
        <v>1</v>
      </c>
      <c r="M24" s="1">
        <f t="shared" si="52"/>
        <v>2</v>
      </c>
      <c r="N24" s="1">
        <f t="shared" si="52"/>
        <v>1</v>
      </c>
      <c r="O24" s="1" t="str">
        <f t="shared" si="6"/>
        <v/>
      </c>
      <c r="P24" s="1">
        <f t="shared" ref="P24:AB24" si="53">if(C$2="","",C24*P$1)</f>
        <v>546</v>
      </c>
      <c r="Q24" s="1" t="str">
        <f t="shared" si="53"/>
        <v/>
      </c>
      <c r="R24" s="1" t="str">
        <f t="shared" si="53"/>
        <v/>
      </c>
      <c r="S24" s="1" t="str">
        <f t="shared" si="53"/>
        <v/>
      </c>
      <c r="T24" s="1">
        <f t="shared" si="53"/>
        <v>5950</v>
      </c>
      <c r="U24" s="1" t="str">
        <f t="shared" si="53"/>
        <v/>
      </c>
      <c r="V24" s="1" t="str">
        <f t="shared" si="53"/>
        <v/>
      </c>
      <c r="W24" s="1">
        <f t="shared" si="53"/>
        <v>14760.70996</v>
      </c>
      <c r="X24" s="1">
        <f t="shared" si="53"/>
        <v>4400</v>
      </c>
      <c r="Y24" s="1">
        <f t="shared" si="53"/>
        <v>10100</v>
      </c>
      <c r="Z24" s="1">
        <f t="shared" si="53"/>
        <v>21000</v>
      </c>
      <c r="AA24" s="1">
        <f t="shared" si="53"/>
        <v>100147.4063</v>
      </c>
      <c r="AB24" s="1" t="str">
        <f t="shared" si="53"/>
        <v/>
      </c>
      <c r="AC24" s="1" t="str">
        <f>if(Calculator!$C$8,SUM(P24:AB24),"")</f>
        <v/>
      </c>
      <c r="AE24" s="1">
        <f t="shared" si="8"/>
        <v>7982.399401</v>
      </c>
      <c r="AF24" s="1">
        <f t="shared" si="9"/>
        <v>175797.6838</v>
      </c>
      <c r="AG24" s="1">
        <f t="shared" si="10"/>
        <v>7990.80381</v>
      </c>
      <c r="AH24" s="1">
        <f t="shared" si="11"/>
        <v>7132.005282</v>
      </c>
      <c r="AI24" s="1">
        <f t="shared" si="15"/>
        <v>858.7985282</v>
      </c>
      <c r="AJ24" s="1" t="str">
        <f t="shared" si="12"/>
        <v/>
      </c>
    </row>
    <row r="25">
      <c r="A25" s="5">
        <v>22.0</v>
      </c>
      <c r="B25" s="8">
        <f t="shared" si="4"/>
        <v>0.9976372933</v>
      </c>
      <c r="C25" s="4">
        <f t="shared" ref="C25:N25" si="54">IF(C$2="","",C$1-_xlfn.FLOOR.MATH(C$1*(180-MIN(180,$A25))/180))</f>
        <v>15</v>
      </c>
      <c r="D25" s="1" t="str">
        <f t="shared" si="54"/>
        <v/>
      </c>
      <c r="E25" s="1" t="str">
        <f t="shared" si="54"/>
        <v/>
      </c>
      <c r="F25" s="1" t="str">
        <f t="shared" si="54"/>
        <v/>
      </c>
      <c r="G25" s="1">
        <f t="shared" si="54"/>
        <v>37</v>
      </c>
      <c r="H25" s="1" t="str">
        <f t="shared" si="54"/>
        <v/>
      </c>
      <c r="I25" s="1" t="str">
        <f t="shared" si="54"/>
        <v/>
      </c>
      <c r="J25" s="1">
        <f t="shared" si="54"/>
        <v>1</v>
      </c>
      <c r="K25" s="1">
        <f t="shared" si="54"/>
        <v>1</v>
      </c>
      <c r="L25" s="1">
        <f t="shared" si="54"/>
        <v>1</v>
      </c>
      <c r="M25" s="1">
        <f t="shared" si="54"/>
        <v>2</v>
      </c>
      <c r="N25" s="1">
        <f t="shared" si="54"/>
        <v>1</v>
      </c>
      <c r="O25" s="1" t="str">
        <f t="shared" si="6"/>
        <v/>
      </c>
      <c r="P25" s="1">
        <f t="shared" ref="P25:AB25" si="55">if(C$2="","",C25*P$1)</f>
        <v>585</v>
      </c>
      <c r="Q25" s="1" t="str">
        <f t="shared" si="55"/>
        <v/>
      </c>
      <c r="R25" s="1" t="str">
        <f t="shared" si="55"/>
        <v/>
      </c>
      <c r="S25" s="1" t="str">
        <f t="shared" si="55"/>
        <v/>
      </c>
      <c r="T25" s="1">
        <f t="shared" si="55"/>
        <v>6290</v>
      </c>
      <c r="U25" s="1" t="str">
        <f t="shared" si="55"/>
        <v/>
      </c>
      <c r="V25" s="1" t="str">
        <f t="shared" si="55"/>
        <v/>
      </c>
      <c r="W25" s="1">
        <f t="shared" si="55"/>
        <v>14760.70996</v>
      </c>
      <c r="X25" s="1">
        <f t="shared" si="55"/>
        <v>4400</v>
      </c>
      <c r="Y25" s="1">
        <f t="shared" si="55"/>
        <v>10100</v>
      </c>
      <c r="Z25" s="1">
        <f t="shared" si="55"/>
        <v>21000</v>
      </c>
      <c r="AA25" s="1">
        <f t="shared" si="55"/>
        <v>100147.4063</v>
      </c>
      <c r="AB25" s="1" t="str">
        <f t="shared" si="55"/>
        <v/>
      </c>
      <c r="AC25" s="1" t="str">
        <f>if(Calculator!$C$8,SUM(P25:AB25),"")</f>
        <v/>
      </c>
      <c r="AE25" s="1">
        <f t="shared" si="8"/>
        <v>7981.098347</v>
      </c>
      <c r="AF25" s="1">
        <f t="shared" si="9"/>
        <v>183778.7822</v>
      </c>
      <c r="AG25" s="1">
        <f t="shared" si="10"/>
        <v>7990.381834</v>
      </c>
      <c r="AH25" s="1">
        <f t="shared" si="11"/>
        <v>6838.396357</v>
      </c>
      <c r="AI25" s="1">
        <f t="shared" si="15"/>
        <v>1151.985477</v>
      </c>
      <c r="AJ25" s="1" t="str">
        <f t="shared" si="12"/>
        <v/>
      </c>
    </row>
    <row r="26">
      <c r="A26" s="5">
        <v>23.0</v>
      </c>
      <c r="B26" s="8">
        <f t="shared" si="4"/>
        <v>0.9974626854</v>
      </c>
      <c r="C26" s="4">
        <f t="shared" ref="C26:N26" si="56">IF(C$2="","",C$1-_xlfn.FLOOR.MATH(C$1*(180-MIN(180,$A26))/180))</f>
        <v>16</v>
      </c>
      <c r="D26" s="1" t="str">
        <f t="shared" si="56"/>
        <v/>
      </c>
      <c r="E26" s="1" t="str">
        <f t="shared" si="56"/>
        <v/>
      </c>
      <c r="F26" s="1" t="str">
        <f t="shared" si="56"/>
        <v/>
      </c>
      <c r="G26" s="1">
        <f t="shared" si="56"/>
        <v>39</v>
      </c>
      <c r="H26" s="1" t="str">
        <f t="shared" si="56"/>
        <v/>
      </c>
      <c r="I26" s="1" t="str">
        <f t="shared" si="56"/>
        <v/>
      </c>
      <c r="J26" s="1">
        <f t="shared" si="56"/>
        <v>1</v>
      </c>
      <c r="K26" s="1">
        <f t="shared" si="56"/>
        <v>1</v>
      </c>
      <c r="L26" s="1">
        <f t="shared" si="56"/>
        <v>2</v>
      </c>
      <c r="M26" s="1">
        <f t="shared" si="56"/>
        <v>2</v>
      </c>
      <c r="N26" s="1">
        <f t="shared" si="56"/>
        <v>2</v>
      </c>
      <c r="O26" s="1" t="str">
        <f t="shared" si="6"/>
        <v/>
      </c>
      <c r="P26" s="1">
        <f t="shared" ref="P26:AB26" si="57">if(C$2="","",C26*P$1)</f>
        <v>624</v>
      </c>
      <c r="Q26" s="1" t="str">
        <f t="shared" si="57"/>
        <v/>
      </c>
      <c r="R26" s="1" t="str">
        <f t="shared" si="57"/>
        <v/>
      </c>
      <c r="S26" s="1" t="str">
        <f t="shared" si="57"/>
        <v/>
      </c>
      <c r="T26" s="1">
        <f t="shared" si="57"/>
        <v>6630</v>
      </c>
      <c r="U26" s="1" t="str">
        <f t="shared" si="57"/>
        <v/>
      </c>
      <c r="V26" s="1" t="str">
        <f t="shared" si="57"/>
        <v/>
      </c>
      <c r="W26" s="1">
        <f t="shared" si="57"/>
        <v>14760.70996</v>
      </c>
      <c r="X26" s="1">
        <f t="shared" si="57"/>
        <v>4400</v>
      </c>
      <c r="Y26" s="1">
        <f t="shared" si="57"/>
        <v>20200</v>
      </c>
      <c r="Z26" s="1">
        <f t="shared" si="57"/>
        <v>21000</v>
      </c>
      <c r="AA26" s="1">
        <f t="shared" si="57"/>
        <v>200294.8125</v>
      </c>
      <c r="AB26" s="1" t="str">
        <f t="shared" si="57"/>
        <v/>
      </c>
      <c r="AC26" s="1" t="str">
        <f>if(Calculator!$C$8,SUM(P26:AB26),"")</f>
        <v/>
      </c>
      <c r="AE26" s="1">
        <f t="shared" si="8"/>
        <v>7979.701483</v>
      </c>
      <c r="AF26" s="1">
        <f t="shared" si="9"/>
        <v>191758.4837</v>
      </c>
      <c r="AG26" s="1">
        <f t="shared" si="10"/>
        <v>7989.936819</v>
      </c>
      <c r="AH26" s="1">
        <f t="shared" si="11"/>
        <v>11162.89677</v>
      </c>
      <c r="AI26" s="1">
        <f t="shared" si="15"/>
        <v>-3172.95995</v>
      </c>
      <c r="AJ26" s="1" t="str">
        <f t="shared" si="12"/>
        <v/>
      </c>
    </row>
    <row r="27">
      <c r="A27" s="5">
        <v>24.0</v>
      </c>
      <c r="B27" s="8">
        <f t="shared" si="4"/>
        <v>0.9972752263</v>
      </c>
      <c r="C27" s="4">
        <f t="shared" ref="C27:N27" si="58">IF(C$2="","",C$1-_xlfn.FLOOR.MATH(C$1*(180-MIN(180,$A27))/180))</f>
        <v>16</v>
      </c>
      <c r="D27" s="1" t="str">
        <f t="shared" si="58"/>
        <v/>
      </c>
      <c r="E27" s="1" t="str">
        <f t="shared" si="58"/>
        <v/>
      </c>
      <c r="F27" s="1" t="str">
        <f t="shared" si="58"/>
        <v/>
      </c>
      <c r="G27" s="1">
        <f t="shared" si="58"/>
        <v>40</v>
      </c>
      <c r="H27" s="1" t="str">
        <f t="shared" si="58"/>
        <v/>
      </c>
      <c r="I27" s="1" t="str">
        <f t="shared" si="58"/>
        <v/>
      </c>
      <c r="J27" s="1">
        <f t="shared" si="58"/>
        <v>1</v>
      </c>
      <c r="K27" s="1">
        <f t="shared" si="58"/>
        <v>1</v>
      </c>
      <c r="L27" s="1">
        <f t="shared" si="58"/>
        <v>2</v>
      </c>
      <c r="M27" s="1">
        <f t="shared" si="58"/>
        <v>2</v>
      </c>
      <c r="N27" s="1">
        <f t="shared" si="58"/>
        <v>2</v>
      </c>
      <c r="O27" s="1" t="str">
        <f t="shared" si="6"/>
        <v/>
      </c>
      <c r="P27" s="1">
        <f t="shared" ref="P27:AB27" si="59">if(C$2="","",C27*P$1)</f>
        <v>624</v>
      </c>
      <c r="Q27" s="1" t="str">
        <f t="shared" si="59"/>
        <v/>
      </c>
      <c r="R27" s="1" t="str">
        <f t="shared" si="59"/>
        <v/>
      </c>
      <c r="S27" s="1" t="str">
        <f t="shared" si="59"/>
        <v/>
      </c>
      <c r="T27" s="1">
        <f t="shared" si="59"/>
        <v>6800</v>
      </c>
      <c r="U27" s="1" t="str">
        <f t="shared" si="59"/>
        <v/>
      </c>
      <c r="V27" s="1" t="str">
        <f t="shared" si="59"/>
        <v/>
      </c>
      <c r="W27" s="1">
        <f t="shared" si="59"/>
        <v>14760.70996</v>
      </c>
      <c r="X27" s="1">
        <f t="shared" si="59"/>
        <v>4400</v>
      </c>
      <c r="Y27" s="1">
        <f t="shared" si="59"/>
        <v>20200</v>
      </c>
      <c r="Z27" s="1">
        <f t="shared" si="59"/>
        <v>21000</v>
      </c>
      <c r="AA27" s="1">
        <f t="shared" si="59"/>
        <v>200294.8125</v>
      </c>
      <c r="AB27" s="1" t="str">
        <f t="shared" si="59"/>
        <v/>
      </c>
      <c r="AC27" s="1" t="str">
        <f>if(Calculator!$C$8,SUM(P27:AB27),"")</f>
        <v/>
      </c>
      <c r="AE27" s="1">
        <f t="shared" si="8"/>
        <v>7978.20181</v>
      </c>
      <c r="AF27" s="1">
        <f t="shared" si="9"/>
        <v>199736.6855</v>
      </c>
      <c r="AG27" s="1">
        <f t="shared" si="10"/>
        <v>7989.467419</v>
      </c>
      <c r="AH27" s="1">
        <f t="shared" si="11"/>
        <v>10723.1809</v>
      </c>
      <c r="AI27" s="1">
        <f t="shared" si="15"/>
        <v>-2733.71348</v>
      </c>
      <c r="AJ27" s="1" t="str">
        <f t="shared" si="12"/>
        <v/>
      </c>
    </row>
    <row r="28">
      <c r="A28" s="5">
        <v>25.0</v>
      </c>
      <c r="B28" s="8">
        <f t="shared" si="4"/>
        <v>0.9970739782</v>
      </c>
      <c r="C28" s="4">
        <f t="shared" ref="C28:N28" si="60">IF(C$2="","",C$1-_xlfn.FLOOR.MATH(C$1*(180-MIN(180,$A28))/180))</f>
        <v>17</v>
      </c>
      <c r="D28" s="1" t="str">
        <f t="shared" si="60"/>
        <v/>
      </c>
      <c r="E28" s="1" t="str">
        <f t="shared" si="60"/>
        <v/>
      </c>
      <c r="F28" s="1" t="str">
        <f t="shared" si="60"/>
        <v/>
      </c>
      <c r="G28" s="1">
        <f t="shared" si="60"/>
        <v>42</v>
      </c>
      <c r="H28" s="1" t="str">
        <f t="shared" si="60"/>
        <v/>
      </c>
      <c r="I28" s="1" t="str">
        <f t="shared" si="60"/>
        <v/>
      </c>
      <c r="J28" s="1">
        <f t="shared" si="60"/>
        <v>1</v>
      </c>
      <c r="K28" s="1">
        <f t="shared" si="60"/>
        <v>1</v>
      </c>
      <c r="L28" s="1">
        <f t="shared" si="60"/>
        <v>2</v>
      </c>
      <c r="M28" s="1">
        <f t="shared" si="60"/>
        <v>2</v>
      </c>
      <c r="N28" s="1">
        <f t="shared" si="60"/>
        <v>2</v>
      </c>
      <c r="O28" s="1" t="str">
        <f t="shared" si="6"/>
        <v/>
      </c>
      <c r="P28" s="1">
        <f t="shared" ref="P28:AB28" si="61">if(C$2="","",C28*P$1)</f>
        <v>663</v>
      </c>
      <c r="Q28" s="1" t="str">
        <f t="shared" si="61"/>
        <v/>
      </c>
      <c r="R28" s="1" t="str">
        <f t="shared" si="61"/>
        <v/>
      </c>
      <c r="S28" s="1" t="str">
        <f t="shared" si="61"/>
        <v/>
      </c>
      <c r="T28" s="1">
        <f t="shared" si="61"/>
        <v>7140</v>
      </c>
      <c r="U28" s="1" t="str">
        <f t="shared" si="61"/>
        <v/>
      </c>
      <c r="V28" s="1" t="str">
        <f t="shared" si="61"/>
        <v/>
      </c>
      <c r="W28" s="1">
        <f t="shared" si="61"/>
        <v>14760.70996</v>
      </c>
      <c r="X28" s="1">
        <f t="shared" si="61"/>
        <v>4400</v>
      </c>
      <c r="Y28" s="1">
        <f t="shared" si="61"/>
        <v>20200</v>
      </c>
      <c r="Z28" s="1">
        <f t="shared" si="61"/>
        <v>21000</v>
      </c>
      <c r="AA28" s="1">
        <f t="shared" si="61"/>
        <v>200294.8125</v>
      </c>
      <c r="AB28" s="1" t="str">
        <f t="shared" si="61"/>
        <v/>
      </c>
      <c r="AC28" s="1" t="str">
        <f>if(Calculator!$C$8,SUM(P28:AB28),"")</f>
        <v/>
      </c>
      <c r="AE28" s="1">
        <f t="shared" si="8"/>
        <v>7976.591826</v>
      </c>
      <c r="AF28" s="1">
        <f t="shared" si="9"/>
        <v>207713.2773</v>
      </c>
      <c r="AG28" s="1">
        <f t="shared" si="10"/>
        <v>7988.972204</v>
      </c>
      <c r="AH28" s="1">
        <f t="shared" si="11"/>
        <v>10325.32779</v>
      </c>
      <c r="AI28" s="1">
        <f t="shared" si="15"/>
        <v>-2336.355583</v>
      </c>
      <c r="AJ28" s="1" t="str">
        <f t="shared" si="12"/>
        <v/>
      </c>
    </row>
    <row r="29">
      <c r="A29" s="5">
        <v>26.0</v>
      </c>
      <c r="B29" s="8">
        <f t="shared" si="4"/>
        <v>0.9968579362</v>
      </c>
      <c r="C29" s="4">
        <f t="shared" ref="C29:N29" si="62">IF(C$2="","",C$1-_xlfn.FLOOR.MATH(C$1*(180-MIN(180,$A29))/180))</f>
        <v>18</v>
      </c>
      <c r="D29" s="1" t="str">
        <f t="shared" si="62"/>
        <v/>
      </c>
      <c r="E29" s="1" t="str">
        <f t="shared" si="62"/>
        <v/>
      </c>
      <c r="F29" s="1" t="str">
        <f t="shared" si="62"/>
        <v/>
      </c>
      <c r="G29" s="1">
        <f t="shared" si="62"/>
        <v>44</v>
      </c>
      <c r="H29" s="1" t="str">
        <f t="shared" si="62"/>
        <v/>
      </c>
      <c r="I29" s="1" t="str">
        <f t="shared" si="62"/>
        <v/>
      </c>
      <c r="J29" s="1">
        <f t="shared" si="62"/>
        <v>1</v>
      </c>
      <c r="K29" s="1">
        <f t="shared" si="62"/>
        <v>1</v>
      </c>
      <c r="L29" s="1">
        <f t="shared" si="62"/>
        <v>2</v>
      </c>
      <c r="M29" s="1">
        <f t="shared" si="62"/>
        <v>2</v>
      </c>
      <c r="N29" s="1">
        <f t="shared" si="62"/>
        <v>2</v>
      </c>
      <c r="O29" s="1" t="str">
        <f t="shared" si="6"/>
        <v/>
      </c>
      <c r="P29" s="1">
        <f t="shared" ref="P29:AB29" si="63">if(C$2="","",C29*P$1)</f>
        <v>702</v>
      </c>
      <c r="Q29" s="1" t="str">
        <f t="shared" si="63"/>
        <v/>
      </c>
      <c r="R29" s="1" t="str">
        <f t="shared" si="63"/>
        <v/>
      </c>
      <c r="S29" s="1" t="str">
        <f t="shared" si="63"/>
        <v/>
      </c>
      <c r="T29" s="1">
        <f t="shared" si="63"/>
        <v>7480</v>
      </c>
      <c r="U29" s="1" t="str">
        <f t="shared" si="63"/>
        <v/>
      </c>
      <c r="V29" s="1" t="str">
        <f t="shared" si="63"/>
        <v/>
      </c>
      <c r="W29" s="1">
        <f t="shared" si="63"/>
        <v>14760.70996</v>
      </c>
      <c r="X29" s="1">
        <f t="shared" si="63"/>
        <v>4400</v>
      </c>
      <c r="Y29" s="1">
        <f t="shared" si="63"/>
        <v>20200</v>
      </c>
      <c r="Z29" s="1">
        <f t="shared" si="63"/>
        <v>21000</v>
      </c>
      <c r="AA29" s="1">
        <f t="shared" si="63"/>
        <v>200294.8125</v>
      </c>
      <c r="AB29" s="1" t="str">
        <f t="shared" si="63"/>
        <v/>
      </c>
      <c r="AC29" s="1" t="str">
        <f>if(Calculator!$C$8,SUM(P29:AB29),"")</f>
        <v/>
      </c>
      <c r="AE29" s="1">
        <f t="shared" si="8"/>
        <v>7974.86349</v>
      </c>
      <c r="AF29" s="1">
        <f t="shared" si="9"/>
        <v>215688.1408</v>
      </c>
      <c r="AG29" s="1">
        <f t="shared" si="10"/>
        <v>7988.449659</v>
      </c>
      <c r="AH29" s="1">
        <f t="shared" si="11"/>
        <v>9956.945276</v>
      </c>
      <c r="AI29" s="1">
        <f t="shared" si="15"/>
        <v>-1968.495618</v>
      </c>
      <c r="AJ29" s="1" t="str">
        <f t="shared" si="12"/>
        <v/>
      </c>
    </row>
    <row r="30">
      <c r="A30" s="5">
        <v>27.0</v>
      </c>
      <c r="B30" s="8">
        <f t="shared" si="4"/>
        <v>0.9966260235</v>
      </c>
      <c r="C30" s="4">
        <f t="shared" ref="C30:N30" si="64">IF(C$2="","",C$1-_xlfn.FLOOR.MATH(C$1*(180-MIN(180,$A30))/180))</f>
        <v>18</v>
      </c>
      <c r="D30" s="1" t="str">
        <f t="shared" si="64"/>
        <v/>
      </c>
      <c r="E30" s="1" t="str">
        <f t="shared" si="64"/>
        <v/>
      </c>
      <c r="F30" s="1" t="str">
        <f t="shared" si="64"/>
        <v/>
      </c>
      <c r="G30" s="1">
        <f t="shared" si="64"/>
        <v>45</v>
      </c>
      <c r="H30" s="1" t="str">
        <f t="shared" si="64"/>
        <v/>
      </c>
      <c r="I30" s="1" t="str">
        <f t="shared" si="64"/>
        <v/>
      </c>
      <c r="J30" s="1">
        <f t="shared" si="64"/>
        <v>1</v>
      </c>
      <c r="K30" s="1">
        <f t="shared" si="64"/>
        <v>1</v>
      </c>
      <c r="L30" s="1">
        <f t="shared" si="64"/>
        <v>2</v>
      </c>
      <c r="M30" s="1">
        <f t="shared" si="64"/>
        <v>2</v>
      </c>
      <c r="N30" s="1">
        <f t="shared" si="64"/>
        <v>2</v>
      </c>
      <c r="O30" s="1" t="str">
        <f t="shared" si="6"/>
        <v/>
      </c>
      <c r="P30" s="1">
        <f t="shared" ref="P30:AB30" si="65">if(C$2="","",C30*P$1)</f>
        <v>702</v>
      </c>
      <c r="Q30" s="1" t="str">
        <f t="shared" si="65"/>
        <v/>
      </c>
      <c r="R30" s="1" t="str">
        <f t="shared" si="65"/>
        <v/>
      </c>
      <c r="S30" s="1" t="str">
        <f t="shared" si="65"/>
        <v/>
      </c>
      <c r="T30" s="1">
        <f t="shared" si="65"/>
        <v>7650</v>
      </c>
      <c r="U30" s="1" t="str">
        <f t="shared" si="65"/>
        <v/>
      </c>
      <c r="V30" s="1" t="str">
        <f t="shared" si="65"/>
        <v/>
      </c>
      <c r="W30" s="1">
        <f t="shared" si="65"/>
        <v>14760.70996</v>
      </c>
      <c r="X30" s="1">
        <f t="shared" si="65"/>
        <v>4400</v>
      </c>
      <c r="Y30" s="1">
        <f t="shared" si="65"/>
        <v>20200</v>
      </c>
      <c r="Z30" s="1">
        <f t="shared" si="65"/>
        <v>21000</v>
      </c>
      <c r="AA30" s="1">
        <f t="shared" si="65"/>
        <v>200294.8125</v>
      </c>
      <c r="AB30" s="1" t="str">
        <f t="shared" si="65"/>
        <v/>
      </c>
      <c r="AC30" s="1" t="str">
        <f>if(Calculator!$C$8,SUM(P30:AB30),"")</f>
        <v/>
      </c>
      <c r="AE30" s="1">
        <f t="shared" si="8"/>
        <v>7973.008188</v>
      </c>
      <c r="AF30" s="1">
        <f t="shared" si="9"/>
        <v>223661.149</v>
      </c>
      <c r="AG30" s="1">
        <f t="shared" si="10"/>
        <v>7987.898178</v>
      </c>
      <c r="AH30" s="1">
        <f t="shared" si="11"/>
        <v>9607.411516</v>
      </c>
      <c r="AI30" s="1">
        <f t="shared" si="15"/>
        <v>-1619.513339</v>
      </c>
      <c r="AJ30" s="1" t="str">
        <f t="shared" si="12"/>
        <v/>
      </c>
    </row>
    <row r="31">
      <c r="A31" s="5">
        <v>28.0</v>
      </c>
      <c r="B31" s="8">
        <f t="shared" si="4"/>
        <v>0.9963770866</v>
      </c>
      <c r="C31" s="4">
        <f t="shared" ref="C31:N31" si="66">IF(C$2="","",C$1-_xlfn.FLOOR.MATH(C$1*(180-MIN(180,$A31))/180))</f>
        <v>19</v>
      </c>
      <c r="D31" s="1" t="str">
        <f t="shared" si="66"/>
        <v/>
      </c>
      <c r="E31" s="1" t="str">
        <f t="shared" si="66"/>
        <v/>
      </c>
      <c r="F31" s="1" t="str">
        <f t="shared" si="66"/>
        <v/>
      </c>
      <c r="G31" s="1">
        <f t="shared" si="66"/>
        <v>47</v>
      </c>
      <c r="H31" s="1" t="str">
        <f t="shared" si="66"/>
        <v/>
      </c>
      <c r="I31" s="1" t="str">
        <f t="shared" si="66"/>
        <v/>
      </c>
      <c r="J31" s="1">
        <f t="shared" si="66"/>
        <v>1</v>
      </c>
      <c r="K31" s="1">
        <f t="shared" si="66"/>
        <v>1</v>
      </c>
      <c r="L31" s="1">
        <f t="shared" si="66"/>
        <v>2</v>
      </c>
      <c r="M31" s="1">
        <f t="shared" si="66"/>
        <v>2</v>
      </c>
      <c r="N31" s="1">
        <f t="shared" si="66"/>
        <v>2</v>
      </c>
      <c r="O31" s="1" t="str">
        <f t="shared" si="6"/>
        <v/>
      </c>
      <c r="P31" s="1">
        <f t="shared" ref="P31:AB31" si="67">if(C$2="","",C31*P$1)</f>
        <v>741</v>
      </c>
      <c r="Q31" s="1" t="str">
        <f t="shared" si="67"/>
        <v/>
      </c>
      <c r="R31" s="1" t="str">
        <f t="shared" si="67"/>
        <v/>
      </c>
      <c r="S31" s="1" t="str">
        <f t="shared" si="67"/>
        <v/>
      </c>
      <c r="T31" s="1">
        <f t="shared" si="67"/>
        <v>7990</v>
      </c>
      <c r="U31" s="1" t="str">
        <f t="shared" si="67"/>
        <v/>
      </c>
      <c r="V31" s="1" t="str">
        <f t="shared" si="67"/>
        <v/>
      </c>
      <c r="W31" s="1">
        <f t="shared" si="67"/>
        <v>14760.70996</v>
      </c>
      <c r="X31" s="1">
        <f t="shared" si="67"/>
        <v>4400</v>
      </c>
      <c r="Y31" s="1">
        <f t="shared" si="67"/>
        <v>20200</v>
      </c>
      <c r="Z31" s="1">
        <f t="shared" si="67"/>
        <v>21000</v>
      </c>
      <c r="AA31" s="1">
        <f t="shared" si="67"/>
        <v>200294.8125</v>
      </c>
      <c r="AB31" s="1" t="str">
        <f t="shared" si="67"/>
        <v/>
      </c>
      <c r="AC31" s="1" t="str">
        <f>if(Calculator!$C$8,SUM(P31:AB31),"")</f>
        <v/>
      </c>
      <c r="AE31" s="1">
        <f t="shared" si="8"/>
        <v>7971.016693</v>
      </c>
      <c r="AF31" s="1">
        <f t="shared" si="9"/>
        <v>231632.1657</v>
      </c>
      <c r="AG31" s="1">
        <f t="shared" si="10"/>
        <v>7987.316057</v>
      </c>
      <c r="AH31" s="1">
        <f t="shared" si="11"/>
        <v>9289.19043</v>
      </c>
      <c r="AI31" s="1">
        <f t="shared" si="15"/>
        <v>-1301.874372</v>
      </c>
      <c r="AJ31" s="1" t="str">
        <f t="shared" si="12"/>
        <v/>
      </c>
    </row>
    <row r="32">
      <c r="A32" s="5">
        <v>29.0</v>
      </c>
      <c r="B32" s="8">
        <f t="shared" si="4"/>
        <v>0.9961098899</v>
      </c>
      <c r="C32" s="4">
        <f t="shared" ref="C32:N32" si="68">IF(C$2="","",C$1-_xlfn.FLOOR.MATH(C$1*(180-MIN(180,$A32))/180))</f>
        <v>20</v>
      </c>
      <c r="D32" s="1" t="str">
        <f t="shared" si="68"/>
        <v/>
      </c>
      <c r="E32" s="1" t="str">
        <f t="shared" si="68"/>
        <v/>
      </c>
      <c r="F32" s="1" t="str">
        <f t="shared" si="68"/>
        <v/>
      </c>
      <c r="G32" s="1">
        <f t="shared" si="68"/>
        <v>49</v>
      </c>
      <c r="H32" s="1" t="str">
        <f t="shared" si="68"/>
        <v/>
      </c>
      <c r="I32" s="1" t="str">
        <f t="shared" si="68"/>
        <v/>
      </c>
      <c r="J32" s="1">
        <f t="shared" si="68"/>
        <v>1</v>
      </c>
      <c r="K32" s="1">
        <f t="shared" si="68"/>
        <v>1</v>
      </c>
      <c r="L32" s="1">
        <f t="shared" si="68"/>
        <v>2</v>
      </c>
      <c r="M32" s="1">
        <f t="shared" si="68"/>
        <v>2</v>
      </c>
      <c r="N32" s="1">
        <f t="shared" si="68"/>
        <v>2</v>
      </c>
      <c r="O32" s="1" t="str">
        <f t="shared" si="6"/>
        <v/>
      </c>
      <c r="P32" s="1">
        <f t="shared" ref="P32:AB32" si="69">if(C$2="","",C32*P$1)</f>
        <v>780</v>
      </c>
      <c r="Q32" s="1" t="str">
        <f t="shared" si="69"/>
        <v/>
      </c>
      <c r="R32" s="1" t="str">
        <f t="shared" si="69"/>
        <v/>
      </c>
      <c r="S32" s="1" t="str">
        <f t="shared" si="69"/>
        <v/>
      </c>
      <c r="T32" s="1">
        <f t="shared" si="69"/>
        <v>8330</v>
      </c>
      <c r="U32" s="1" t="str">
        <f t="shared" si="69"/>
        <v/>
      </c>
      <c r="V32" s="1" t="str">
        <f t="shared" si="69"/>
        <v/>
      </c>
      <c r="W32" s="1">
        <f t="shared" si="69"/>
        <v>14760.70996</v>
      </c>
      <c r="X32" s="1">
        <f t="shared" si="69"/>
        <v>4400</v>
      </c>
      <c r="Y32" s="1">
        <f t="shared" si="69"/>
        <v>20200</v>
      </c>
      <c r="Z32" s="1">
        <f t="shared" si="69"/>
        <v>21000</v>
      </c>
      <c r="AA32" s="1">
        <f t="shared" si="69"/>
        <v>200294.8125</v>
      </c>
      <c r="AB32" s="1" t="str">
        <f t="shared" si="69"/>
        <v/>
      </c>
      <c r="AC32" s="1" t="str">
        <f>if(Calculator!$C$8,SUM(P32:AB32),"")</f>
        <v/>
      </c>
      <c r="AE32" s="1">
        <f t="shared" si="8"/>
        <v>7968.879119</v>
      </c>
      <c r="AF32" s="1">
        <f t="shared" si="9"/>
        <v>239601.0448</v>
      </c>
      <c r="AG32" s="1">
        <f t="shared" si="10"/>
        <v>7986.701493</v>
      </c>
      <c r="AH32" s="1">
        <f t="shared" si="11"/>
        <v>8992.184082</v>
      </c>
      <c r="AI32" s="1">
        <f t="shared" si="15"/>
        <v>-1005.482589</v>
      </c>
      <c r="AJ32" s="1" t="str">
        <f t="shared" si="12"/>
        <v/>
      </c>
    </row>
    <row r="33">
      <c r="A33" s="5">
        <v>30.0</v>
      </c>
      <c r="B33" s="8">
        <f t="shared" si="4"/>
        <v>0.9958231105</v>
      </c>
      <c r="C33" s="4">
        <f t="shared" ref="C33:N33" si="70">IF(C$2="","",C$1-_xlfn.FLOOR.MATH(C$1*(180-MIN(180,$A33))/180))</f>
        <v>20</v>
      </c>
      <c r="D33" s="1" t="str">
        <f t="shared" si="70"/>
        <v/>
      </c>
      <c r="E33" s="1" t="str">
        <f t="shared" si="70"/>
        <v/>
      </c>
      <c r="F33" s="1" t="str">
        <f t="shared" si="70"/>
        <v/>
      </c>
      <c r="G33" s="1">
        <f t="shared" si="70"/>
        <v>50</v>
      </c>
      <c r="H33" s="1" t="str">
        <f t="shared" si="70"/>
        <v/>
      </c>
      <c r="I33" s="1" t="str">
        <f t="shared" si="70"/>
        <v/>
      </c>
      <c r="J33" s="1">
        <f t="shared" si="70"/>
        <v>1</v>
      </c>
      <c r="K33" s="1">
        <f t="shared" si="70"/>
        <v>1</v>
      </c>
      <c r="L33" s="1">
        <f t="shared" si="70"/>
        <v>2</v>
      </c>
      <c r="M33" s="1">
        <f t="shared" si="70"/>
        <v>2</v>
      </c>
      <c r="N33" s="1">
        <f t="shared" si="70"/>
        <v>2</v>
      </c>
      <c r="O33" s="1" t="str">
        <f t="shared" si="6"/>
        <v/>
      </c>
      <c r="P33" s="1">
        <f t="shared" ref="P33:AB33" si="71">if(C$2="","",C33*P$1)</f>
        <v>780</v>
      </c>
      <c r="Q33" s="1" t="str">
        <f t="shared" si="71"/>
        <v/>
      </c>
      <c r="R33" s="1" t="str">
        <f t="shared" si="71"/>
        <v/>
      </c>
      <c r="S33" s="1" t="str">
        <f t="shared" si="71"/>
        <v/>
      </c>
      <c r="T33" s="1">
        <f t="shared" si="71"/>
        <v>8500</v>
      </c>
      <c r="U33" s="1" t="str">
        <f t="shared" si="71"/>
        <v/>
      </c>
      <c r="V33" s="1" t="str">
        <f t="shared" si="71"/>
        <v/>
      </c>
      <c r="W33" s="1">
        <f t="shared" si="71"/>
        <v>14760.70996</v>
      </c>
      <c r="X33" s="1">
        <f t="shared" si="71"/>
        <v>4400</v>
      </c>
      <c r="Y33" s="1">
        <f t="shared" si="71"/>
        <v>20200</v>
      </c>
      <c r="Z33" s="1">
        <f t="shared" si="71"/>
        <v>21000</v>
      </c>
      <c r="AA33" s="1">
        <f t="shared" si="71"/>
        <v>200294.8125</v>
      </c>
      <c r="AB33" s="1" t="str">
        <f t="shared" si="71"/>
        <v/>
      </c>
      <c r="AC33" s="1" t="str">
        <f>if(Calculator!$C$8,SUM(P33:AB33),"")</f>
        <v/>
      </c>
      <c r="AE33" s="1">
        <f t="shared" si="8"/>
        <v>7966.584884</v>
      </c>
      <c r="AF33" s="1">
        <f t="shared" si="9"/>
        <v>247567.6297</v>
      </c>
      <c r="AG33" s="1">
        <f t="shared" si="10"/>
        <v>7986.05257</v>
      </c>
      <c r="AH33" s="1">
        <f t="shared" si="11"/>
        <v>8707.597499</v>
      </c>
      <c r="AI33" s="1">
        <f t="shared" si="15"/>
        <v>-721.5449287</v>
      </c>
      <c r="AJ33" s="1" t="str">
        <f t="shared" si="12"/>
        <v/>
      </c>
    </row>
    <row r="34">
      <c r="A34" s="5">
        <v>31.0</v>
      </c>
      <c r="B34" s="8">
        <f t="shared" si="4"/>
        <v>0.995515332</v>
      </c>
      <c r="C34" s="4">
        <f t="shared" ref="C34:N34" si="72">IF(C$2="","",C$1-_xlfn.FLOOR.MATH(C$1*(180-MIN(180,$A34))/180))</f>
        <v>21</v>
      </c>
      <c r="D34" s="1" t="str">
        <f t="shared" si="72"/>
        <v/>
      </c>
      <c r="E34" s="1" t="str">
        <f t="shared" si="72"/>
        <v/>
      </c>
      <c r="F34" s="1" t="str">
        <f t="shared" si="72"/>
        <v/>
      </c>
      <c r="G34" s="1">
        <f t="shared" si="72"/>
        <v>52</v>
      </c>
      <c r="H34" s="1" t="str">
        <f t="shared" si="72"/>
        <v/>
      </c>
      <c r="I34" s="1" t="str">
        <f t="shared" si="72"/>
        <v/>
      </c>
      <c r="J34" s="1">
        <f t="shared" si="72"/>
        <v>1</v>
      </c>
      <c r="K34" s="1">
        <f t="shared" si="72"/>
        <v>2</v>
      </c>
      <c r="L34" s="1">
        <f t="shared" si="72"/>
        <v>2</v>
      </c>
      <c r="M34" s="1">
        <f t="shared" si="72"/>
        <v>3</v>
      </c>
      <c r="N34" s="1">
        <f t="shared" si="72"/>
        <v>2</v>
      </c>
      <c r="O34" s="1" t="str">
        <f t="shared" si="6"/>
        <v/>
      </c>
      <c r="P34" s="1">
        <f t="shared" ref="P34:AB34" si="73">if(C$2="","",C34*P$1)</f>
        <v>819</v>
      </c>
      <c r="Q34" s="1" t="str">
        <f t="shared" si="73"/>
        <v/>
      </c>
      <c r="R34" s="1" t="str">
        <f t="shared" si="73"/>
        <v/>
      </c>
      <c r="S34" s="1" t="str">
        <f t="shared" si="73"/>
        <v/>
      </c>
      <c r="T34" s="1">
        <f t="shared" si="73"/>
        <v>8840</v>
      </c>
      <c r="U34" s="1" t="str">
        <f t="shared" si="73"/>
        <v/>
      </c>
      <c r="V34" s="1" t="str">
        <f t="shared" si="73"/>
        <v/>
      </c>
      <c r="W34" s="1">
        <f t="shared" si="73"/>
        <v>14760.70996</v>
      </c>
      <c r="X34" s="1">
        <f t="shared" si="73"/>
        <v>8800</v>
      </c>
      <c r="Y34" s="1">
        <f t="shared" si="73"/>
        <v>20200</v>
      </c>
      <c r="Z34" s="1">
        <f t="shared" si="73"/>
        <v>31500</v>
      </c>
      <c r="AA34" s="1">
        <f t="shared" si="73"/>
        <v>200294.8125</v>
      </c>
      <c r="AB34" s="1" t="str">
        <f t="shared" si="73"/>
        <v/>
      </c>
      <c r="AC34" s="1" t="str">
        <f>if(Calculator!$C$8,SUM(P34:AB34),"")</f>
        <v/>
      </c>
      <c r="AE34" s="1">
        <f t="shared" si="8"/>
        <v>7964.122656</v>
      </c>
      <c r="AF34" s="1">
        <f t="shared" si="9"/>
        <v>255531.7523</v>
      </c>
      <c r="AG34" s="1">
        <f t="shared" si="10"/>
        <v>7985.36726</v>
      </c>
      <c r="AH34" s="1">
        <f t="shared" si="11"/>
        <v>8912.953827</v>
      </c>
      <c r="AI34" s="1">
        <f t="shared" si="15"/>
        <v>-927.5865667</v>
      </c>
      <c r="AJ34" s="1" t="str">
        <f t="shared" si="12"/>
        <v/>
      </c>
    </row>
    <row r="35">
      <c r="A35" s="5">
        <v>32.0</v>
      </c>
      <c r="B35" s="8">
        <f t="shared" si="4"/>
        <v>0.9951850385</v>
      </c>
      <c r="C35" s="4">
        <f t="shared" ref="C35:N35" si="74">IF(C$2="","",C$1-_xlfn.FLOOR.MATH(C$1*(180-MIN(180,$A35))/180))</f>
        <v>22</v>
      </c>
      <c r="D35" s="1" t="str">
        <f t="shared" si="74"/>
        <v/>
      </c>
      <c r="E35" s="1" t="str">
        <f t="shared" si="74"/>
        <v/>
      </c>
      <c r="F35" s="1" t="str">
        <f t="shared" si="74"/>
        <v/>
      </c>
      <c r="G35" s="1">
        <f t="shared" si="74"/>
        <v>54</v>
      </c>
      <c r="H35" s="1" t="str">
        <f t="shared" si="74"/>
        <v/>
      </c>
      <c r="I35" s="1" t="str">
        <f t="shared" si="74"/>
        <v/>
      </c>
      <c r="J35" s="1">
        <f t="shared" si="74"/>
        <v>1</v>
      </c>
      <c r="K35" s="1">
        <f t="shared" si="74"/>
        <v>2</v>
      </c>
      <c r="L35" s="1">
        <f t="shared" si="74"/>
        <v>2</v>
      </c>
      <c r="M35" s="1">
        <f t="shared" si="74"/>
        <v>3</v>
      </c>
      <c r="N35" s="1">
        <f t="shared" si="74"/>
        <v>2</v>
      </c>
      <c r="O35" s="1" t="str">
        <f t="shared" si="6"/>
        <v/>
      </c>
      <c r="P35" s="1">
        <f t="shared" ref="P35:AB35" si="75">if(C$2="","",C35*P$1)</f>
        <v>858</v>
      </c>
      <c r="Q35" s="1" t="str">
        <f t="shared" si="75"/>
        <v/>
      </c>
      <c r="R35" s="1" t="str">
        <f t="shared" si="75"/>
        <v/>
      </c>
      <c r="S35" s="1" t="str">
        <f t="shared" si="75"/>
        <v/>
      </c>
      <c r="T35" s="1">
        <f t="shared" si="75"/>
        <v>9180</v>
      </c>
      <c r="U35" s="1" t="str">
        <f t="shared" si="75"/>
        <v/>
      </c>
      <c r="V35" s="1" t="str">
        <f t="shared" si="75"/>
        <v/>
      </c>
      <c r="W35" s="1">
        <f t="shared" si="75"/>
        <v>14760.70996</v>
      </c>
      <c r="X35" s="1">
        <f t="shared" si="75"/>
        <v>8800</v>
      </c>
      <c r="Y35" s="1">
        <f t="shared" si="75"/>
        <v>20200</v>
      </c>
      <c r="Z35" s="1">
        <f t="shared" si="75"/>
        <v>31500</v>
      </c>
      <c r="AA35" s="1">
        <f t="shared" si="75"/>
        <v>200294.8125</v>
      </c>
      <c r="AB35" s="1" t="str">
        <f t="shared" si="75"/>
        <v/>
      </c>
      <c r="AC35" s="1" t="str">
        <f>if(Calculator!$C$8,SUM(P35:AB35),"")</f>
        <v/>
      </c>
      <c r="AE35" s="1">
        <f t="shared" si="8"/>
        <v>7961.480308</v>
      </c>
      <c r="AF35" s="1">
        <f t="shared" si="9"/>
        <v>263493.2326</v>
      </c>
      <c r="AG35" s="1">
        <f t="shared" si="10"/>
        <v>7984.643413</v>
      </c>
      <c r="AH35" s="1">
        <f t="shared" si="11"/>
        <v>8654.349165</v>
      </c>
      <c r="AI35" s="1">
        <f t="shared" si="15"/>
        <v>-669.7057523</v>
      </c>
      <c r="AJ35" s="1" t="str">
        <f t="shared" si="12"/>
        <v/>
      </c>
    </row>
    <row r="36">
      <c r="A36" s="5">
        <v>33.0</v>
      </c>
      <c r="B36" s="8">
        <f t="shared" si="4"/>
        <v>0.994830608</v>
      </c>
      <c r="C36" s="4">
        <f t="shared" ref="C36:N36" si="76">IF(C$2="","",C$1-_xlfn.FLOOR.MATH(C$1*(180-MIN(180,$A36))/180))</f>
        <v>22</v>
      </c>
      <c r="D36" s="1" t="str">
        <f t="shared" si="76"/>
        <v/>
      </c>
      <c r="E36" s="1" t="str">
        <f t="shared" si="76"/>
        <v/>
      </c>
      <c r="F36" s="1" t="str">
        <f t="shared" si="76"/>
        <v/>
      </c>
      <c r="G36" s="1">
        <f t="shared" si="76"/>
        <v>55</v>
      </c>
      <c r="H36" s="1" t="str">
        <f t="shared" si="76"/>
        <v/>
      </c>
      <c r="I36" s="1" t="str">
        <f t="shared" si="76"/>
        <v/>
      </c>
      <c r="J36" s="1">
        <f t="shared" si="76"/>
        <v>1</v>
      </c>
      <c r="K36" s="1">
        <f t="shared" si="76"/>
        <v>2</v>
      </c>
      <c r="L36" s="1">
        <f t="shared" si="76"/>
        <v>2</v>
      </c>
      <c r="M36" s="1">
        <f t="shared" si="76"/>
        <v>3</v>
      </c>
      <c r="N36" s="1">
        <f t="shared" si="76"/>
        <v>2</v>
      </c>
      <c r="O36" s="1" t="str">
        <f t="shared" si="6"/>
        <v/>
      </c>
      <c r="P36" s="1">
        <f t="shared" ref="P36:AB36" si="77">if(C$2="","",C36*P$1)</f>
        <v>858</v>
      </c>
      <c r="Q36" s="1" t="str">
        <f t="shared" si="77"/>
        <v/>
      </c>
      <c r="R36" s="1" t="str">
        <f t="shared" si="77"/>
        <v/>
      </c>
      <c r="S36" s="1" t="str">
        <f t="shared" si="77"/>
        <v/>
      </c>
      <c r="T36" s="1">
        <f t="shared" si="77"/>
        <v>9350</v>
      </c>
      <c r="U36" s="1" t="str">
        <f t="shared" si="77"/>
        <v/>
      </c>
      <c r="V36" s="1" t="str">
        <f t="shared" si="77"/>
        <v/>
      </c>
      <c r="W36" s="1">
        <f t="shared" si="77"/>
        <v>14760.70996</v>
      </c>
      <c r="X36" s="1">
        <f t="shared" si="77"/>
        <v>8800</v>
      </c>
      <c r="Y36" s="1">
        <f t="shared" si="77"/>
        <v>20200</v>
      </c>
      <c r="Z36" s="1">
        <f t="shared" si="77"/>
        <v>31500</v>
      </c>
      <c r="AA36" s="1">
        <f t="shared" si="77"/>
        <v>200294.8125</v>
      </c>
      <c r="AB36" s="1" t="str">
        <f t="shared" si="77"/>
        <v/>
      </c>
      <c r="AC36" s="1" t="str">
        <f>if(Calculator!$C$8,SUM(P36:AB36),"")</f>
        <v/>
      </c>
      <c r="AE36" s="1">
        <f t="shared" si="8"/>
        <v>7958.644864</v>
      </c>
      <c r="AF36" s="1">
        <f t="shared" si="9"/>
        <v>271451.8775</v>
      </c>
      <c r="AG36" s="1">
        <f t="shared" si="10"/>
        <v>7983.87875</v>
      </c>
      <c r="AH36" s="1">
        <f t="shared" si="11"/>
        <v>8404.809484</v>
      </c>
      <c r="AI36" s="1">
        <f t="shared" si="15"/>
        <v>-420.9307342</v>
      </c>
      <c r="AJ36" s="1" t="str">
        <f t="shared" si="12"/>
        <v/>
      </c>
    </row>
    <row r="37">
      <c r="A37" s="5">
        <v>34.0</v>
      </c>
      <c r="B37" s="8">
        <f t="shared" si="4"/>
        <v>0.9944503054</v>
      </c>
      <c r="C37" s="4">
        <f t="shared" ref="C37:N37" si="78">IF(C$2="","",C$1-_xlfn.FLOOR.MATH(C$1*(180-MIN(180,$A37))/180))</f>
        <v>23</v>
      </c>
      <c r="D37" s="1" t="str">
        <f t="shared" si="78"/>
        <v/>
      </c>
      <c r="E37" s="1" t="str">
        <f t="shared" si="78"/>
        <v/>
      </c>
      <c r="F37" s="1" t="str">
        <f t="shared" si="78"/>
        <v/>
      </c>
      <c r="G37" s="1">
        <f t="shared" si="78"/>
        <v>57</v>
      </c>
      <c r="H37" s="1" t="str">
        <f t="shared" si="78"/>
        <v/>
      </c>
      <c r="I37" s="1" t="str">
        <f t="shared" si="78"/>
        <v/>
      </c>
      <c r="J37" s="1">
        <f t="shared" si="78"/>
        <v>1</v>
      </c>
      <c r="K37" s="1">
        <f t="shared" si="78"/>
        <v>2</v>
      </c>
      <c r="L37" s="1">
        <f t="shared" si="78"/>
        <v>2</v>
      </c>
      <c r="M37" s="1">
        <f t="shared" si="78"/>
        <v>3</v>
      </c>
      <c r="N37" s="1">
        <f t="shared" si="78"/>
        <v>2</v>
      </c>
      <c r="O37" s="1" t="str">
        <f t="shared" si="6"/>
        <v/>
      </c>
      <c r="P37" s="1">
        <f t="shared" ref="P37:AB37" si="79">if(C$2="","",C37*P$1)</f>
        <v>897</v>
      </c>
      <c r="Q37" s="1" t="str">
        <f t="shared" si="79"/>
        <v/>
      </c>
      <c r="R37" s="1" t="str">
        <f t="shared" si="79"/>
        <v/>
      </c>
      <c r="S37" s="1" t="str">
        <f t="shared" si="79"/>
        <v/>
      </c>
      <c r="T37" s="1">
        <f t="shared" si="79"/>
        <v>9690</v>
      </c>
      <c r="U37" s="1" t="str">
        <f t="shared" si="79"/>
        <v/>
      </c>
      <c r="V37" s="1" t="str">
        <f t="shared" si="79"/>
        <v/>
      </c>
      <c r="W37" s="1">
        <f t="shared" si="79"/>
        <v>14760.70996</v>
      </c>
      <c r="X37" s="1">
        <f t="shared" si="79"/>
        <v>8800</v>
      </c>
      <c r="Y37" s="1">
        <f t="shared" si="79"/>
        <v>20200</v>
      </c>
      <c r="Z37" s="1">
        <f t="shared" si="79"/>
        <v>31500</v>
      </c>
      <c r="AA37" s="1">
        <f t="shared" si="79"/>
        <v>200294.8125</v>
      </c>
      <c r="AB37" s="1" t="str">
        <f t="shared" si="79"/>
        <v/>
      </c>
      <c r="AC37" s="1" t="str">
        <f>if(Calculator!$C$8,SUM(P37:AB37),"")</f>
        <v/>
      </c>
      <c r="AE37" s="1">
        <f t="shared" si="8"/>
        <v>7955.602444</v>
      </c>
      <c r="AF37" s="1">
        <f t="shared" si="9"/>
        <v>279407.4799</v>
      </c>
      <c r="AG37" s="1">
        <f t="shared" si="10"/>
        <v>7983.070855</v>
      </c>
      <c r="AH37" s="1">
        <f t="shared" si="11"/>
        <v>8175.500642</v>
      </c>
      <c r="AI37" s="1">
        <f t="shared" si="15"/>
        <v>-192.4297863</v>
      </c>
      <c r="AJ37" s="1" t="str">
        <f t="shared" si="12"/>
        <v/>
      </c>
    </row>
    <row r="38">
      <c r="A38" s="5">
        <v>35.0</v>
      </c>
      <c r="B38" s="8">
        <f t="shared" si="4"/>
        <v>0.9940422755</v>
      </c>
      <c r="C38" s="4">
        <f t="shared" ref="C38:N38" si="80">IF(C$2="","",C$1-_xlfn.FLOOR.MATH(C$1*(180-MIN(180,$A38))/180))</f>
        <v>24</v>
      </c>
      <c r="D38" s="1" t="str">
        <f t="shared" si="80"/>
        <v/>
      </c>
      <c r="E38" s="1" t="str">
        <f t="shared" si="80"/>
        <v/>
      </c>
      <c r="F38" s="1" t="str">
        <f t="shared" si="80"/>
        <v/>
      </c>
      <c r="G38" s="1">
        <f t="shared" si="80"/>
        <v>59</v>
      </c>
      <c r="H38" s="1" t="str">
        <f t="shared" si="80"/>
        <v/>
      </c>
      <c r="I38" s="1" t="str">
        <f t="shared" si="80"/>
        <v/>
      </c>
      <c r="J38" s="1">
        <f t="shared" si="80"/>
        <v>1</v>
      </c>
      <c r="K38" s="1">
        <f t="shared" si="80"/>
        <v>2</v>
      </c>
      <c r="L38" s="1">
        <f t="shared" si="80"/>
        <v>2</v>
      </c>
      <c r="M38" s="1">
        <f t="shared" si="80"/>
        <v>3</v>
      </c>
      <c r="N38" s="1">
        <f t="shared" si="80"/>
        <v>2</v>
      </c>
      <c r="O38" s="1" t="str">
        <f t="shared" si="6"/>
        <v/>
      </c>
      <c r="P38" s="1">
        <f t="shared" ref="P38:AB38" si="81">if(C$2="","",C38*P$1)</f>
        <v>936</v>
      </c>
      <c r="Q38" s="1" t="str">
        <f t="shared" si="81"/>
        <v/>
      </c>
      <c r="R38" s="1" t="str">
        <f t="shared" si="81"/>
        <v/>
      </c>
      <c r="S38" s="1" t="str">
        <f t="shared" si="81"/>
        <v/>
      </c>
      <c r="T38" s="1">
        <f t="shared" si="81"/>
        <v>10030</v>
      </c>
      <c r="U38" s="1" t="str">
        <f t="shared" si="81"/>
        <v/>
      </c>
      <c r="V38" s="1" t="str">
        <f t="shared" si="81"/>
        <v/>
      </c>
      <c r="W38" s="1">
        <f t="shared" si="81"/>
        <v>14760.70996</v>
      </c>
      <c r="X38" s="1">
        <f t="shared" si="81"/>
        <v>8800</v>
      </c>
      <c r="Y38" s="1">
        <f t="shared" si="81"/>
        <v>20200</v>
      </c>
      <c r="Z38" s="1">
        <f t="shared" si="81"/>
        <v>31500</v>
      </c>
      <c r="AA38" s="1">
        <f t="shared" si="81"/>
        <v>200294.8125</v>
      </c>
      <c r="AB38" s="1" t="str">
        <f t="shared" si="81"/>
        <v/>
      </c>
      <c r="AC38" s="1" t="str">
        <f>if(Calculator!$C$8,SUM(P38:AB38),"")</f>
        <v/>
      </c>
      <c r="AE38" s="1">
        <f t="shared" si="8"/>
        <v>7952.338204</v>
      </c>
      <c r="AF38" s="1">
        <f t="shared" si="9"/>
        <v>287359.8181</v>
      </c>
      <c r="AG38" s="1">
        <f t="shared" si="10"/>
        <v>7982.217171</v>
      </c>
      <c r="AH38" s="1">
        <f t="shared" si="11"/>
        <v>7958.931179</v>
      </c>
      <c r="AI38" s="1">
        <f t="shared" si="15"/>
        <v>23.28599122</v>
      </c>
      <c r="AJ38" s="1" t="str">
        <f t="shared" si="12"/>
        <v/>
      </c>
    </row>
    <row r="39">
      <c r="A39" s="5">
        <v>36.0</v>
      </c>
      <c r="B39" s="8">
        <f t="shared" si="4"/>
        <v>0.9936045347</v>
      </c>
      <c r="C39" s="4">
        <f t="shared" ref="C39:N39" si="82">IF(C$2="","",C$1-_xlfn.FLOOR.MATH(C$1*(180-MIN(180,$A39))/180))</f>
        <v>24</v>
      </c>
      <c r="D39" s="1" t="str">
        <f t="shared" si="82"/>
        <v/>
      </c>
      <c r="E39" s="1" t="str">
        <f t="shared" si="82"/>
        <v/>
      </c>
      <c r="F39" s="1" t="str">
        <f t="shared" si="82"/>
        <v/>
      </c>
      <c r="G39" s="1">
        <f t="shared" si="82"/>
        <v>60</v>
      </c>
      <c r="H39" s="1" t="str">
        <f t="shared" si="82"/>
        <v/>
      </c>
      <c r="I39" s="1" t="str">
        <f t="shared" si="82"/>
        <v/>
      </c>
      <c r="J39" s="1">
        <f t="shared" si="82"/>
        <v>1</v>
      </c>
      <c r="K39" s="1">
        <f t="shared" si="82"/>
        <v>2</v>
      </c>
      <c r="L39" s="1">
        <f t="shared" si="82"/>
        <v>2</v>
      </c>
      <c r="M39" s="1">
        <f t="shared" si="82"/>
        <v>3</v>
      </c>
      <c r="N39" s="1">
        <f t="shared" si="82"/>
        <v>2</v>
      </c>
      <c r="O39" s="1" t="str">
        <f t="shared" si="6"/>
        <v/>
      </c>
      <c r="P39" s="1">
        <f t="shared" ref="P39:AB39" si="83">if(C$2="","",C39*P$1)</f>
        <v>936</v>
      </c>
      <c r="Q39" s="1" t="str">
        <f t="shared" si="83"/>
        <v/>
      </c>
      <c r="R39" s="1" t="str">
        <f t="shared" si="83"/>
        <v/>
      </c>
      <c r="S39" s="1" t="str">
        <f t="shared" si="83"/>
        <v/>
      </c>
      <c r="T39" s="1">
        <f t="shared" si="83"/>
        <v>10200</v>
      </c>
      <c r="U39" s="1" t="str">
        <f t="shared" si="83"/>
        <v/>
      </c>
      <c r="V39" s="1" t="str">
        <f t="shared" si="83"/>
        <v/>
      </c>
      <c r="W39" s="1">
        <f t="shared" si="83"/>
        <v>14760.70996</v>
      </c>
      <c r="X39" s="1">
        <f t="shared" si="83"/>
        <v>8800</v>
      </c>
      <c r="Y39" s="1">
        <f t="shared" si="83"/>
        <v>20200</v>
      </c>
      <c r="Z39" s="1">
        <f t="shared" si="83"/>
        <v>31500</v>
      </c>
      <c r="AA39" s="1">
        <f t="shared" si="83"/>
        <v>200294.8125</v>
      </c>
      <c r="AB39" s="1" t="str">
        <f t="shared" si="83"/>
        <v/>
      </c>
      <c r="AC39" s="1" t="str">
        <f>if(Calculator!$C$8,SUM(P39:AB39),"")</f>
        <v/>
      </c>
      <c r="AE39" s="1">
        <f t="shared" si="8"/>
        <v>7948.836278</v>
      </c>
      <c r="AF39" s="1">
        <f t="shared" si="9"/>
        <v>295308.6544</v>
      </c>
      <c r="AG39" s="1">
        <f t="shared" si="10"/>
        <v>7981.314984</v>
      </c>
      <c r="AH39" s="1">
        <f t="shared" si="11"/>
        <v>7748.419526</v>
      </c>
      <c r="AI39" s="1">
        <f t="shared" si="15"/>
        <v>232.8954584</v>
      </c>
      <c r="AJ39" s="1" t="str">
        <f t="shared" si="12"/>
        <v/>
      </c>
    </row>
    <row r="40">
      <c r="A40" s="5">
        <v>37.0</v>
      </c>
      <c r="B40" s="8">
        <f t="shared" si="4"/>
        <v>0.9931349636</v>
      </c>
      <c r="C40" s="4">
        <f t="shared" ref="C40:N40" si="84">IF(C$2="","",C$1-_xlfn.FLOOR.MATH(C$1*(180-MIN(180,$A40))/180))</f>
        <v>25</v>
      </c>
      <c r="D40" s="1" t="str">
        <f t="shared" si="84"/>
        <v/>
      </c>
      <c r="E40" s="1" t="str">
        <f t="shared" si="84"/>
        <v/>
      </c>
      <c r="F40" s="1" t="str">
        <f t="shared" si="84"/>
        <v/>
      </c>
      <c r="G40" s="1">
        <f t="shared" si="84"/>
        <v>62</v>
      </c>
      <c r="H40" s="1" t="str">
        <f t="shared" si="84"/>
        <v/>
      </c>
      <c r="I40" s="1" t="str">
        <f t="shared" si="84"/>
        <v/>
      </c>
      <c r="J40" s="1">
        <f t="shared" si="84"/>
        <v>1</v>
      </c>
      <c r="K40" s="1">
        <f t="shared" si="84"/>
        <v>2</v>
      </c>
      <c r="L40" s="1">
        <f t="shared" si="84"/>
        <v>2</v>
      </c>
      <c r="M40" s="1">
        <f t="shared" si="84"/>
        <v>3</v>
      </c>
      <c r="N40" s="1">
        <f t="shared" si="84"/>
        <v>2</v>
      </c>
      <c r="O40" s="1" t="str">
        <f t="shared" si="6"/>
        <v/>
      </c>
      <c r="P40" s="1">
        <f t="shared" ref="P40:AB40" si="85">if(C$2="","",C40*P$1)</f>
        <v>975</v>
      </c>
      <c r="Q40" s="1" t="str">
        <f t="shared" si="85"/>
        <v/>
      </c>
      <c r="R40" s="1" t="str">
        <f t="shared" si="85"/>
        <v/>
      </c>
      <c r="S40" s="1" t="str">
        <f t="shared" si="85"/>
        <v/>
      </c>
      <c r="T40" s="1">
        <f t="shared" si="85"/>
        <v>10540</v>
      </c>
      <c r="U40" s="1" t="str">
        <f t="shared" si="85"/>
        <v/>
      </c>
      <c r="V40" s="1" t="str">
        <f t="shared" si="85"/>
        <v/>
      </c>
      <c r="W40" s="1">
        <f t="shared" si="85"/>
        <v>14760.70996</v>
      </c>
      <c r="X40" s="1">
        <f t="shared" si="85"/>
        <v>8800</v>
      </c>
      <c r="Y40" s="1">
        <f t="shared" si="85"/>
        <v>20200</v>
      </c>
      <c r="Z40" s="1">
        <f t="shared" si="85"/>
        <v>31500</v>
      </c>
      <c r="AA40" s="1">
        <f t="shared" si="85"/>
        <v>200294.8125</v>
      </c>
      <c r="AB40" s="1" t="str">
        <f t="shared" si="85"/>
        <v/>
      </c>
      <c r="AC40" s="1" t="str">
        <f>if(Calculator!$C$8,SUM(P40:AB40),"")</f>
        <v/>
      </c>
      <c r="AE40" s="1">
        <f t="shared" si="8"/>
        <v>7945.079709</v>
      </c>
      <c r="AF40" s="1">
        <f t="shared" si="9"/>
        <v>303253.7341</v>
      </c>
      <c r="AG40" s="1">
        <f t="shared" si="10"/>
        <v>7980.361425</v>
      </c>
      <c r="AH40" s="1">
        <f t="shared" si="11"/>
        <v>7554.487433</v>
      </c>
      <c r="AI40" s="1">
        <f t="shared" si="15"/>
        <v>425.8739913</v>
      </c>
      <c r="AJ40" s="1" t="str">
        <f t="shared" si="12"/>
        <v/>
      </c>
    </row>
    <row r="41">
      <c r="A41" s="5">
        <v>38.0</v>
      </c>
      <c r="B41" s="8">
        <f t="shared" si="4"/>
        <v>0.9926312983</v>
      </c>
      <c r="C41" s="4">
        <f t="shared" ref="C41:N41" si="86">IF(C$2="","",C$1-_xlfn.FLOOR.MATH(C$1*(180-MIN(180,$A41))/180))</f>
        <v>26</v>
      </c>
      <c r="D41" s="1" t="str">
        <f t="shared" si="86"/>
        <v/>
      </c>
      <c r="E41" s="1" t="str">
        <f t="shared" si="86"/>
        <v/>
      </c>
      <c r="F41" s="1" t="str">
        <f t="shared" si="86"/>
        <v/>
      </c>
      <c r="G41" s="1">
        <f t="shared" si="86"/>
        <v>64</v>
      </c>
      <c r="H41" s="1" t="str">
        <f t="shared" si="86"/>
        <v/>
      </c>
      <c r="I41" s="1" t="str">
        <f t="shared" si="86"/>
        <v/>
      </c>
      <c r="J41" s="1">
        <f t="shared" si="86"/>
        <v>1</v>
      </c>
      <c r="K41" s="1">
        <f t="shared" si="86"/>
        <v>2</v>
      </c>
      <c r="L41" s="1">
        <f t="shared" si="86"/>
        <v>2</v>
      </c>
      <c r="M41" s="1">
        <f t="shared" si="86"/>
        <v>3</v>
      </c>
      <c r="N41" s="1">
        <f t="shared" si="86"/>
        <v>2</v>
      </c>
      <c r="O41" s="1" t="str">
        <f t="shared" si="6"/>
        <v/>
      </c>
      <c r="P41" s="1">
        <f t="shared" ref="P41:AB41" si="87">if(C$2="","",C41*P$1)</f>
        <v>1014</v>
      </c>
      <c r="Q41" s="1" t="str">
        <f t="shared" si="87"/>
        <v/>
      </c>
      <c r="R41" s="1" t="str">
        <f t="shared" si="87"/>
        <v/>
      </c>
      <c r="S41" s="1" t="str">
        <f t="shared" si="87"/>
        <v/>
      </c>
      <c r="T41" s="1">
        <f t="shared" si="87"/>
        <v>10880</v>
      </c>
      <c r="U41" s="1" t="str">
        <f t="shared" si="87"/>
        <v/>
      </c>
      <c r="V41" s="1" t="str">
        <f t="shared" si="87"/>
        <v/>
      </c>
      <c r="W41" s="1">
        <f t="shared" si="87"/>
        <v>14760.70996</v>
      </c>
      <c r="X41" s="1">
        <f t="shared" si="87"/>
        <v>8800</v>
      </c>
      <c r="Y41" s="1">
        <f t="shared" si="87"/>
        <v>20200</v>
      </c>
      <c r="Z41" s="1">
        <f t="shared" si="87"/>
        <v>31500</v>
      </c>
      <c r="AA41" s="1">
        <f t="shared" si="87"/>
        <v>200294.8125</v>
      </c>
      <c r="AB41" s="1" t="str">
        <f t="shared" si="87"/>
        <v/>
      </c>
      <c r="AC41" s="1" t="str">
        <f>if(Calculator!$C$8,SUM(P41:AB41),"")</f>
        <v/>
      </c>
      <c r="AE41" s="1">
        <f t="shared" si="8"/>
        <v>7941.050387</v>
      </c>
      <c r="AF41" s="1">
        <f t="shared" si="9"/>
        <v>311194.7845</v>
      </c>
      <c r="AG41" s="1">
        <f t="shared" si="10"/>
        <v>7979.353449</v>
      </c>
      <c r="AH41" s="1">
        <f t="shared" si="11"/>
        <v>7370.500576</v>
      </c>
      <c r="AI41" s="1">
        <f t="shared" si="15"/>
        <v>608.8528733</v>
      </c>
      <c r="AJ41" s="1" t="str">
        <f t="shared" si="12"/>
        <v/>
      </c>
    </row>
    <row r="42">
      <c r="A42" s="5">
        <v>39.0</v>
      </c>
      <c r="B42" s="8">
        <f t="shared" si="4"/>
        <v>0.9920911215</v>
      </c>
      <c r="C42" s="4">
        <f t="shared" ref="C42:N42" si="88">IF(C$2="","",C$1-_xlfn.FLOOR.MATH(C$1*(180-MIN(180,$A42))/180))</f>
        <v>26</v>
      </c>
      <c r="D42" s="1" t="str">
        <f t="shared" si="88"/>
        <v/>
      </c>
      <c r="E42" s="1" t="str">
        <f t="shared" si="88"/>
        <v/>
      </c>
      <c r="F42" s="1" t="str">
        <f t="shared" si="88"/>
        <v/>
      </c>
      <c r="G42" s="1">
        <f t="shared" si="88"/>
        <v>65</v>
      </c>
      <c r="H42" s="1" t="str">
        <f t="shared" si="88"/>
        <v/>
      </c>
      <c r="I42" s="1" t="str">
        <f t="shared" si="88"/>
        <v/>
      </c>
      <c r="J42" s="1">
        <f t="shared" si="88"/>
        <v>1</v>
      </c>
      <c r="K42" s="1">
        <f t="shared" si="88"/>
        <v>2</v>
      </c>
      <c r="L42" s="1">
        <f t="shared" si="88"/>
        <v>2</v>
      </c>
      <c r="M42" s="1">
        <f t="shared" si="88"/>
        <v>3</v>
      </c>
      <c r="N42" s="1">
        <f t="shared" si="88"/>
        <v>2</v>
      </c>
      <c r="O42" s="1" t="str">
        <f t="shared" si="6"/>
        <v/>
      </c>
      <c r="P42" s="1">
        <f t="shared" ref="P42:AB42" si="89">if(C$2="","",C42*P$1)</f>
        <v>1014</v>
      </c>
      <c r="Q42" s="1" t="str">
        <f t="shared" si="89"/>
        <v/>
      </c>
      <c r="R42" s="1" t="str">
        <f t="shared" si="89"/>
        <v/>
      </c>
      <c r="S42" s="1" t="str">
        <f t="shared" si="89"/>
        <v/>
      </c>
      <c r="T42" s="1">
        <f t="shared" si="89"/>
        <v>11050</v>
      </c>
      <c r="U42" s="1" t="str">
        <f t="shared" si="89"/>
        <v/>
      </c>
      <c r="V42" s="1" t="str">
        <f t="shared" si="89"/>
        <v/>
      </c>
      <c r="W42" s="1">
        <f t="shared" si="89"/>
        <v>14760.70996</v>
      </c>
      <c r="X42" s="1">
        <f t="shared" si="89"/>
        <v>8800</v>
      </c>
      <c r="Y42" s="1">
        <f t="shared" si="89"/>
        <v>20200</v>
      </c>
      <c r="Z42" s="1">
        <f t="shared" si="89"/>
        <v>31500</v>
      </c>
      <c r="AA42" s="1">
        <f t="shared" si="89"/>
        <v>200294.8125</v>
      </c>
      <c r="AB42" s="1" t="str">
        <f t="shared" si="89"/>
        <v/>
      </c>
      <c r="AC42" s="1" t="str">
        <f>if(Calculator!$C$8,SUM(P42:AB42),"")</f>
        <v/>
      </c>
      <c r="AE42" s="1">
        <f t="shared" si="8"/>
        <v>7936.728972</v>
      </c>
      <c r="AF42" s="1">
        <f t="shared" si="9"/>
        <v>319131.5135</v>
      </c>
      <c r="AG42" s="1">
        <f t="shared" si="10"/>
        <v>7978.287837</v>
      </c>
      <c r="AH42" s="1">
        <f t="shared" si="11"/>
        <v>7190.488062</v>
      </c>
      <c r="AI42" s="1">
        <f t="shared" si="15"/>
        <v>787.7997757</v>
      </c>
      <c r="AJ42" s="1" t="str">
        <f t="shared" si="12"/>
        <v/>
      </c>
    </row>
    <row r="43">
      <c r="A43" s="5">
        <v>40.0</v>
      </c>
      <c r="B43" s="8">
        <f t="shared" si="4"/>
        <v>0.9915118532</v>
      </c>
      <c r="C43" s="4">
        <f t="shared" ref="C43:N43" si="90">IF(C$2="","",C$1-_xlfn.FLOOR.MATH(C$1*(180-MIN(180,$A43))/180))</f>
        <v>27</v>
      </c>
      <c r="D43" s="1" t="str">
        <f t="shared" si="90"/>
        <v/>
      </c>
      <c r="E43" s="1" t="str">
        <f t="shared" si="90"/>
        <v/>
      </c>
      <c r="F43" s="1" t="str">
        <f t="shared" si="90"/>
        <v/>
      </c>
      <c r="G43" s="1">
        <f t="shared" si="90"/>
        <v>67</v>
      </c>
      <c r="H43" s="1" t="str">
        <f t="shared" si="90"/>
        <v/>
      </c>
      <c r="I43" s="1" t="str">
        <f t="shared" si="90"/>
        <v/>
      </c>
      <c r="J43" s="1">
        <f t="shared" si="90"/>
        <v>1</v>
      </c>
      <c r="K43" s="1">
        <f t="shared" si="90"/>
        <v>2</v>
      </c>
      <c r="L43" s="1">
        <f t="shared" si="90"/>
        <v>2</v>
      </c>
      <c r="M43" s="1">
        <f t="shared" si="90"/>
        <v>3</v>
      </c>
      <c r="N43" s="1">
        <f t="shared" si="90"/>
        <v>2</v>
      </c>
      <c r="O43" s="1" t="str">
        <f t="shared" si="6"/>
        <v/>
      </c>
      <c r="P43" s="1">
        <f t="shared" ref="P43:AB43" si="91">if(C$2="","",C43*P$1)</f>
        <v>1053</v>
      </c>
      <c r="Q43" s="1" t="str">
        <f t="shared" si="91"/>
        <v/>
      </c>
      <c r="R43" s="1" t="str">
        <f t="shared" si="91"/>
        <v/>
      </c>
      <c r="S43" s="1" t="str">
        <f t="shared" si="91"/>
        <v/>
      </c>
      <c r="T43" s="1">
        <f t="shared" si="91"/>
        <v>11390</v>
      </c>
      <c r="U43" s="1" t="str">
        <f t="shared" si="91"/>
        <v/>
      </c>
      <c r="V43" s="1" t="str">
        <f t="shared" si="91"/>
        <v/>
      </c>
      <c r="W43" s="1">
        <f t="shared" si="91"/>
        <v>14760.70996</v>
      </c>
      <c r="X43" s="1">
        <f t="shared" si="91"/>
        <v>8800</v>
      </c>
      <c r="Y43" s="1">
        <f t="shared" si="91"/>
        <v>20200</v>
      </c>
      <c r="Z43" s="1">
        <f t="shared" si="91"/>
        <v>31500</v>
      </c>
      <c r="AA43" s="1">
        <f t="shared" si="91"/>
        <v>200294.8125</v>
      </c>
      <c r="AB43" s="1" t="str">
        <f t="shared" si="91"/>
        <v/>
      </c>
      <c r="AC43" s="1" t="str">
        <f>if(Calculator!$C$8,SUM(P43:AB43),"")</f>
        <v/>
      </c>
      <c r="AE43" s="1">
        <f t="shared" si="8"/>
        <v>7932.094825</v>
      </c>
      <c r="AF43" s="1">
        <f t="shared" si="9"/>
        <v>327063.6083</v>
      </c>
      <c r="AG43" s="1">
        <f t="shared" si="10"/>
        <v>7977.161178</v>
      </c>
      <c r="AH43" s="1">
        <f t="shared" si="11"/>
        <v>7024.354206</v>
      </c>
      <c r="AI43" s="1">
        <f t="shared" si="15"/>
        <v>952.8069721</v>
      </c>
      <c r="AJ43" s="1" t="str">
        <f t="shared" si="12"/>
        <v/>
      </c>
    </row>
    <row r="44">
      <c r="A44" s="5">
        <v>41.0</v>
      </c>
      <c r="B44" s="8">
        <f t="shared" si="4"/>
        <v>0.9908907413</v>
      </c>
      <c r="C44" s="4">
        <f t="shared" ref="C44:N44" si="92">IF(C$2="","",C$1-_xlfn.FLOOR.MATH(C$1*(180-MIN(180,$A44))/180))</f>
        <v>28</v>
      </c>
      <c r="D44" s="1" t="str">
        <f t="shared" si="92"/>
        <v/>
      </c>
      <c r="E44" s="1" t="str">
        <f t="shared" si="92"/>
        <v/>
      </c>
      <c r="F44" s="1" t="str">
        <f t="shared" si="92"/>
        <v/>
      </c>
      <c r="G44" s="1">
        <f t="shared" si="92"/>
        <v>69</v>
      </c>
      <c r="H44" s="1" t="str">
        <f t="shared" si="92"/>
        <v/>
      </c>
      <c r="I44" s="1" t="str">
        <f t="shared" si="92"/>
        <v/>
      </c>
      <c r="J44" s="1">
        <f t="shared" si="92"/>
        <v>1</v>
      </c>
      <c r="K44" s="1">
        <f t="shared" si="92"/>
        <v>2</v>
      </c>
      <c r="L44" s="1">
        <f t="shared" si="92"/>
        <v>2</v>
      </c>
      <c r="M44" s="1">
        <f t="shared" si="92"/>
        <v>3</v>
      </c>
      <c r="N44" s="1">
        <f t="shared" si="92"/>
        <v>2</v>
      </c>
      <c r="O44" s="1" t="str">
        <f t="shared" si="6"/>
        <v/>
      </c>
      <c r="P44" s="1">
        <f t="shared" ref="P44:AB44" si="93">if(C$2="","",C44*P$1)</f>
        <v>1092</v>
      </c>
      <c r="Q44" s="1" t="str">
        <f t="shared" si="93"/>
        <v/>
      </c>
      <c r="R44" s="1" t="str">
        <f t="shared" si="93"/>
        <v/>
      </c>
      <c r="S44" s="1" t="str">
        <f t="shared" si="93"/>
        <v/>
      </c>
      <c r="T44" s="1">
        <f t="shared" si="93"/>
        <v>11730</v>
      </c>
      <c r="U44" s="1" t="str">
        <f t="shared" si="93"/>
        <v/>
      </c>
      <c r="V44" s="1" t="str">
        <f t="shared" si="93"/>
        <v/>
      </c>
      <c r="W44" s="1">
        <f t="shared" si="93"/>
        <v>14760.70996</v>
      </c>
      <c r="X44" s="1">
        <f t="shared" si="93"/>
        <v>8800</v>
      </c>
      <c r="Y44" s="1">
        <f t="shared" si="93"/>
        <v>20200</v>
      </c>
      <c r="Z44" s="1">
        <f t="shared" si="93"/>
        <v>31500</v>
      </c>
      <c r="AA44" s="1">
        <f t="shared" si="93"/>
        <v>200294.8125</v>
      </c>
      <c r="AB44" s="1" t="str">
        <f t="shared" si="93"/>
        <v/>
      </c>
      <c r="AC44" s="1" t="str">
        <f>if(Calculator!$C$8,SUM(P44:AB44),"")</f>
        <v/>
      </c>
      <c r="AE44" s="1">
        <f t="shared" si="8"/>
        <v>7927.125931</v>
      </c>
      <c r="AF44" s="1">
        <f t="shared" si="9"/>
        <v>334990.7342</v>
      </c>
      <c r="AG44" s="1">
        <f t="shared" si="10"/>
        <v>7975.969863</v>
      </c>
      <c r="AH44" s="1">
        <f t="shared" si="11"/>
        <v>6866.131487</v>
      </c>
      <c r="AI44" s="1">
        <f t="shared" si="15"/>
        <v>1109.838376</v>
      </c>
      <c r="AJ44" s="1" t="str">
        <f t="shared" si="12"/>
        <v/>
      </c>
    </row>
    <row r="45">
      <c r="A45" s="5">
        <v>42.0</v>
      </c>
      <c r="B45" s="8">
        <f t="shared" si="4"/>
        <v>0.9902248519</v>
      </c>
      <c r="C45" s="4">
        <f t="shared" ref="C45:N45" si="94">IF(C$2="","",C$1-_xlfn.FLOOR.MATH(C$1*(180-MIN(180,$A45))/180))</f>
        <v>28</v>
      </c>
      <c r="D45" s="1" t="str">
        <f t="shared" si="94"/>
        <v/>
      </c>
      <c r="E45" s="1" t="str">
        <f t="shared" si="94"/>
        <v/>
      </c>
      <c r="F45" s="1" t="str">
        <f t="shared" si="94"/>
        <v/>
      </c>
      <c r="G45" s="1">
        <f t="shared" si="94"/>
        <v>70</v>
      </c>
      <c r="H45" s="1" t="str">
        <f t="shared" si="94"/>
        <v/>
      </c>
      <c r="I45" s="1" t="str">
        <f t="shared" si="94"/>
        <v/>
      </c>
      <c r="J45" s="1">
        <f t="shared" si="94"/>
        <v>1</v>
      </c>
      <c r="K45" s="1">
        <f t="shared" si="94"/>
        <v>2</v>
      </c>
      <c r="L45" s="1">
        <f t="shared" si="94"/>
        <v>2</v>
      </c>
      <c r="M45" s="1">
        <f t="shared" si="94"/>
        <v>3</v>
      </c>
      <c r="N45" s="1">
        <f t="shared" si="94"/>
        <v>2</v>
      </c>
      <c r="O45" s="1" t="str">
        <f t="shared" si="6"/>
        <v/>
      </c>
      <c r="P45" s="1">
        <f t="shared" ref="P45:AB45" si="95">if(C$2="","",C45*P$1)</f>
        <v>1092</v>
      </c>
      <c r="Q45" s="1" t="str">
        <f t="shared" si="95"/>
        <v/>
      </c>
      <c r="R45" s="1" t="str">
        <f t="shared" si="95"/>
        <v/>
      </c>
      <c r="S45" s="1" t="str">
        <f t="shared" si="95"/>
        <v/>
      </c>
      <c r="T45" s="1">
        <f t="shared" si="95"/>
        <v>11900</v>
      </c>
      <c r="U45" s="1" t="str">
        <f t="shared" si="95"/>
        <v/>
      </c>
      <c r="V45" s="1" t="str">
        <f t="shared" si="95"/>
        <v/>
      </c>
      <c r="W45" s="1">
        <f t="shared" si="95"/>
        <v>14760.70996</v>
      </c>
      <c r="X45" s="1">
        <f t="shared" si="95"/>
        <v>8800</v>
      </c>
      <c r="Y45" s="1">
        <f t="shared" si="95"/>
        <v>20200</v>
      </c>
      <c r="Z45" s="1">
        <f t="shared" si="95"/>
        <v>31500</v>
      </c>
      <c r="AA45" s="1">
        <f t="shared" si="95"/>
        <v>200294.8125</v>
      </c>
      <c r="AB45" s="1" t="str">
        <f t="shared" si="95"/>
        <v/>
      </c>
      <c r="AC45" s="1" t="str">
        <f>if(Calculator!$C$8,SUM(P45:AB45),"")</f>
        <v/>
      </c>
      <c r="AE45" s="1">
        <f t="shared" si="8"/>
        <v>7921.798815</v>
      </c>
      <c r="AF45" s="1">
        <f t="shared" si="9"/>
        <v>342912.5331</v>
      </c>
      <c r="AG45" s="1">
        <f t="shared" si="10"/>
        <v>7974.710071</v>
      </c>
      <c r="AH45" s="1">
        <f t="shared" si="11"/>
        <v>6710.407499</v>
      </c>
      <c r="AI45" s="1">
        <f t="shared" si="15"/>
        <v>1264.302572</v>
      </c>
      <c r="AJ45" s="1" t="str">
        <f t="shared" si="12"/>
        <v/>
      </c>
    </row>
    <row r="46">
      <c r="A46" s="5">
        <v>43.0</v>
      </c>
      <c r="B46" s="8">
        <f t="shared" si="4"/>
        <v>0.9895110582</v>
      </c>
      <c r="C46" s="4">
        <f t="shared" ref="C46:N46" si="96">IF(C$2="","",C$1-_xlfn.FLOOR.MATH(C$1*(180-MIN(180,$A46))/180))</f>
        <v>29</v>
      </c>
      <c r="D46" s="1" t="str">
        <f t="shared" si="96"/>
        <v/>
      </c>
      <c r="E46" s="1" t="str">
        <f t="shared" si="96"/>
        <v/>
      </c>
      <c r="F46" s="1" t="str">
        <f t="shared" si="96"/>
        <v/>
      </c>
      <c r="G46" s="1">
        <f t="shared" si="96"/>
        <v>72</v>
      </c>
      <c r="H46" s="1" t="str">
        <f t="shared" si="96"/>
        <v/>
      </c>
      <c r="I46" s="1" t="str">
        <f t="shared" si="96"/>
        <v/>
      </c>
      <c r="J46" s="1">
        <f t="shared" si="96"/>
        <v>1</v>
      </c>
      <c r="K46" s="1">
        <f t="shared" si="96"/>
        <v>2</v>
      </c>
      <c r="L46" s="1">
        <f t="shared" si="96"/>
        <v>2</v>
      </c>
      <c r="M46" s="1">
        <f t="shared" si="96"/>
        <v>3</v>
      </c>
      <c r="N46" s="1">
        <f t="shared" si="96"/>
        <v>2</v>
      </c>
      <c r="O46" s="1" t="str">
        <f t="shared" si="6"/>
        <v/>
      </c>
      <c r="P46" s="1">
        <f t="shared" ref="P46:AB46" si="97">if(C$2="","",C46*P$1)</f>
        <v>1131</v>
      </c>
      <c r="Q46" s="1" t="str">
        <f t="shared" si="97"/>
        <v/>
      </c>
      <c r="R46" s="1" t="str">
        <f t="shared" si="97"/>
        <v/>
      </c>
      <c r="S46" s="1" t="str">
        <f t="shared" si="97"/>
        <v/>
      </c>
      <c r="T46" s="1">
        <f t="shared" si="97"/>
        <v>12240</v>
      </c>
      <c r="U46" s="1" t="str">
        <f t="shared" si="97"/>
        <v/>
      </c>
      <c r="V46" s="1" t="str">
        <f t="shared" si="97"/>
        <v/>
      </c>
      <c r="W46" s="1">
        <f t="shared" si="97"/>
        <v>14760.70996</v>
      </c>
      <c r="X46" s="1">
        <f t="shared" si="97"/>
        <v>8800</v>
      </c>
      <c r="Y46" s="1">
        <f t="shared" si="97"/>
        <v>20200</v>
      </c>
      <c r="Z46" s="1">
        <f t="shared" si="97"/>
        <v>31500</v>
      </c>
      <c r="AA46" s="1">
        <f t="shared" si="97"/>
        <v>200294.8125</v>
      </c>
      <c r="AB46" s="1" t="str">
        <f t="shared" si="97"/>
        <v/>
      </c>
      <c r="AC46" s="1" t="str">
        <f>if(Calculator!$C$8,SUM(P46:AB46),"")</f>
        <v/>
      </c>
      <c r="AE46" s="1">
        <f t="shared" si="8"/>
        <v>7916.088466</v>
      </c>
      <c r="AF46" s="1">
        <f t="shared" si="9"/>
        <v>350828.6215</v>
      </c>
      <c r="AG46" s="1">
        <f t="shared" si="10"/>
        <v>7973.377762</v>
      </c>
      <c r="AH46" s="1">
        <f t="shared" si="11"/>
        <v>6566.511874</v>
      </c>
      <c r="AI46" s="1">
        <f t="shared" si="15"/>
        <v>1406.865888</v>
      </c>
      <c r="AJ46" s="1" t="str">
        <f t="shared" si="12"/>
        <v/>
      </c>
    </row>
    <row r="47">
      <c r="A47" s="5">
        <v>44.0</v>
      </c>
      <c r="B47" s="8">
        <f t="shared" si="4"/>
        <v>0.9887460309</v>
      </c>
      <c r="C47" s="4">
        <f t="shared" ref="C47:N47" si="98">IF(C$2="","",C$1-_xlfn.FLOOR.MATH(C$1*(180-MIN(180,$A47))/180))</f>
        <v>30</v>
      </c>
      <c r="D47" s="1" t="str">
        <f t="shared" si="98"/>
        <v/>
      </c>
      <c r="E47" s="1" t="str">
        <f t="shared" si="98"/>
        <v/>
      </c>
      <c r="F47" s="1" t="str">
        <f t="shared" si="98"/>
        <v/>
      </c>
      <c r="G47" s="1">
        <f t="shared" si="98"/>
        <v>74</v>
      </c>
      <c r="H47" s="1" t="str">
        <f t="shared" si="98"/>
        <v/>
      </c>
      <c r="I47" s="1" t="str">
        <f t="shared" si="98"/>
        <v/>
      </c>
      <c r="J47" s="1">
        <f t="shared" si="98"/>
        <v>1</v>
      </c>
      <c r="K47" s="1">
        <f t="shared" si="98"/>
        <v>2</v>
      </c>
      <c r="L47" s="1">
        <f t="shared" si="98"/>
        <v>2</v>
      </c>
      <c r="M47" s="1">
        <f t="shared" si="98"/>
        <v>3</v>
      </c>
      <c r="N47" s="1">
        <f t="shared" si="98"/>
        <v>2</v>
      </c>
      <c r="O47" s="1" t="str">
        <f t="shared" si="6"/>
        <v/>
      </c>
      <c r="P47" s="1">
        <f t="shared" ref="P47:AB47" si="99">if(C$2="","",C47*P$1)</f>
        <v>1170</v>
      </c>
      <c r="Q47" s="1" t="str">
        <f t="shared" si="99"/>
        <v/>
      </c>
      <c r="R47" s="1" t="str">
        <f t="shared" si="99"/>
        <v/>
      </c>
      <c r="S47" s="1" t="str">
        <f t="shared" si="99"/>
        <v/>
      </c>
      <c r="T47" s="1">
        <f t="shared" si="99"/>
        <v>12580</v>
      </c>
      <c r="U47" s="1" t="str">
        <f t="shared" si="99"/>
        <v/>
      </c>
      <c r="V47" s="1" t="str">
        <f t="shared" si="99"/>
        <v/>
      </c>
      <c r="W47" s="1">
        <f t="shared" si="99"/>
        <v>14760.70996</v>
      </c>
      <c r="X47" s="1">
        <f t="shared" si="99"/>
        <v>8800</v>
      </c>
      <c r="Y47" s="1">
        <f t="shared" si="99"/>
        <v>20200</v>
      </c>
      <c r="Z47" s="1">
        <f t="shared" si="99"/>
        <v>31500</v>
      </c>
      <c r="AA47" s="1">
        <f t="shared" si="99"/>
        <v>200294.8125</v>
      </c>
      <c r="AB47" s="1" t="str">
        <f t="shared" si="99"/>
        <v/>
      </c>
      <c r="AC47" s="1" t="str">
        <f>if(Calculator!$C$8,SUM(P47:AB47),"")</f>
        <v/>
      </c>
      <c r="AE47" s="1">
        <f t="shared" si="8"/>
        <v>7909.968247</v>
      </c>
      <c r="AF47" s="1">
        <f t="shared" si="9"/>
        <v>358738.5898</v>
      </c>
      <c r="AG47" s="1">
        <f t="shared" si="10"/>
        <v>7971.968662</v>
      </c>
      <c r="AH47" s="1">
        <f t="shared" si="11"/>
        <v>6429.01161</v>
      </c>
      <c r="AI47" s="1">
        <f t="shared" si="15"/>
        <v>1542.957051</v>
      </c>
      <c r="AJ47" s="1" t="str">
        <f t="shared" si="12"/>
        <v/>
      </c>
    </row>
    <row r="48">
      <c r="A48" s="5">
        <v>45.0</v>
      </c>
      <c r="B48" s="8">
        <f t="shared" si="4"/>
        <v>0.9879262267</v>
      </c>
      <c r="C48" s="4">
        <f t="shared" ref="C48:N48" si="100">IF(C$2="","",C$1-_xlfn.FLOOR.MATH(C$1*(180-MIN(180,$A48))/180))</f>
        <v>30</v>
      </c>
      <c r="D48" s="1" t="str">
        <f t="shared" si="100"/>
        <v/>
      </c>
      <c r="E48" s="1" t="str">
        <f t="shared" si="100"/>
        <v/>
      </c>
      <c r="F48" s="1" t="str">
        <f t="shared" si="100"/>
        <v/>
      </c>
      <c r="G48" s="1">
        <f t="shared" si="100"/>
        <v>75</v>
      </c>
      <c r="H48" s="1" t="str">
        <f t="shared" si="100"/>
        <v/>
      </c>
      <c r="I48" s="1" t="str">
        <f t="shared" si="100"/>
        <v/>
      </c>
      <c r="J48" s="1">
        <f t="shared" si="100"/>
        <v>1</v>
      </c>
      <c r="K48" s="1">
        <f t="shared" si="100"/>
        <v>2</v>
      </c>
      <c r="L48" s="1">
        <f t="shared" si="100"/>
        <v>2</v>
      </c>
      <c r="M48" s="1">
        <f t="shared" si="100"/>
        <v>3</v>
      </c>
      <c r="N48" s="1">
        <f t="shared" si="100"/>
        <v>2</v>
      </c>
      <c r="O48" s="1" t="str">
        <f t="shared" si="6"/>
        <v/>
      </c>
      <c r="P48" s="1">
        <f t="shared" ref="P48:AB48" si="101">if(C$2="","",C48*P$1)</f>
        <v>1170</v>
      </c>
      <c r="Q48" s="1" t="str">
        <f t="shared" si="101"/>
        <v/>
      </c>
      <c r="R48" s="1" t="str">
        <f t="shared" si="101"/>
        <v/>
      </c>
      <c r="S48" s="1" t="str">
        <f t="shared" si="101"/>
        <v/>
      </c>
      <c r="T48" s="1">
        <f t="shared" si="101"/>
        <v>12750</v>
      </c>
      <c r="U48" s="1" t="str">
        <f t="shared" si="101"/>
        <v/>
      </c>
      <c r="V48" s="1" t="str">
        <f t="shared" si="101"/>
        <v/>
      </c>
      <c r="W48" s="1">
        <f t="shared" si="101"/>
        <v>14760.70996</v>
      </c>
      <c r="X48" s="1">
        <f t="shared" si="101"/>
        <v>8800</v>
      </c>
      <c r="Y48" s="1">
        <f t="shared" si="101"/>
        <v>20200</v>
      </c>
      <c r="Z48" s="1">
        <f t="shared" si="101"/>
        <v>31500</v>
      </c>
      <c r="AA48" s="1">
        <f t="shared" si="101"/>
        <v>200294.8125</v>
      </c>
      <c r="AB48" s="1" t="str">
        <f t="shared" si="101"/>
        <v/>
      </c>
      <c r="AC48" s="1" t="str">
        <f>if(Calculator!$C$8,SUM(P48:AB48),"")</f>
        <v/>
      </c>
      <c r="AE48" s="1">
        <f t="shared" si="8"/>
        <v>7903.409813</v>
      </c>
      <c r="AF48" s="1">
        <f t="shared" si="9"/>
        <v>366641.9996</v>
      </c>
      <c r="AG48" s="1">
        <f t="shared" si="10"/>
        <v>7970.478252</v>
      </c>
      <c r="AH48" s="1">
        <f t="shared" si="11"/>
        <v>6292.94614</v>
      </c>
      <c r="AI48" s="1">
        <f t="shared" si="15"/>
        <v>1677.532111</v>
      </c>
      <c r="AJ48" s="1">
        <f t="shared" si="12"/>
        <v>1677.532111</v>
      </c>
    </row>
    <row r="49">
      <c r="A49" s="5">
        <v>46.0</v>
      </c>
      <c r="B49" s="8">
        <f t="shared" si="4"/>
        <v>0.9870478773</v>
      </c>
      <c r="C49" s="4">
        <f t="shared" ref="C49:N49" si="102">IF(C$2="","",C$1-_xlfn.FLOOR.MATH(C$1*(180-MIN(180,$A49))/180))</f>
        <v>31</v>
      </c>
      <c r="D49" s="1" t="str">
        <f t="shared" si="102"/>
        <v/>
      </c>
      <c r="E49" s="1" t="str">
        <f t="shared" si="102"/>
        <v/>
      </c>
      <c r="F49" s="1" t="str">
        <f t="shared" si="102"/>
        <v/>
      </c>
      <c r="G49" s="1">
        <f t="shared" si="102"/>
        <v>77</v>
      </c>
      <c r="H49" s="1" t="str">
        <f t="shared" si="102"/>
        <v/>
      </c>
      <c r="I49" s="1" t="str">
        <f t="shared" si="102"/>
        <v/>
      </c>
      <c r="J49" s="1">
        <f t="shared" si="102"/>
        <v>1</v>
      </c>
      <c r="K49" s="1">
        <f t="shared" si="102"/>
        <v>2</v>
      </c>
      <c r="L49" s="1">
        <f t="shared" si="102"/>
        <v>3</v>
      </c>
      <c r="M49" s="1">
        <f t="shared" si="102"/>
        <v>4</v>
      </c>
      <c r="N49" s="1">
        <f t="shared" si="102"/>
        <v>3</v>
      </c>
      <c r="O49" s="1" t="str">
        <f t="shared" si="6"/>
        <v/>
      </c>
      <c r="P49" s="1">
        <f t="shared" ref="P49:AB49" si="103">if(C$2="","",C49*P$1)</f>
        <v>1209</v>
      </c>
      <c r="Q49" s="1" t="str">
        <f t="shared" si="103"/>
        <v/>
      </c>
      <c r="R49" s="1" t="str">
        <f t="shared" si="103"/>
        <v/>
      </c>
      <c r="S49" s="1" t="str">
        <f t="shared" si="103"/>
        <v/>
      </c>
      <c r="T49" s="1">
        <f t="shared" si="103"/>
        <v>13090</v>
      </c>
      <c r="U49" s="1" t="str">
        <f t="shared" si="103"/>
        <v/>
      </c>
      <c r="V49" s="1" t="str">
        <f t="shared" si="103"/>
        <v/>
      </c>
      <c r="W49" s="1">
        <f t="shared" si="103"/>
        <v>14760.70996</v>
      </c>
      <c r="X49" s="1">
        <f t="shared" si="103"/>
        <v>8800</v>
      </c>
      <c r="Y49" s="1">
        <f t="shared" si="103"/>
        <v>30300</v>
      </c>
      <c r="Z49" s="1">
        <f t="shared" si="103"/>
        <v>42000</v>
      </c>
      <c r="AA49" s="1">
        <f t="shared" si="103"/>
        <v>300442.2188</v>
      </c>
      <c r="AB49" s="1" t="str">
        <f t="shared" si="103"/>
        <v/>
      </c>
      <c r="AC49" s="1" t="str">
        <f>if(Calculator!$C$8,SUM(P49:AB49),"")</f>
        <v/>
      </c>
      <c r="AE49" s="1">
        <f t="shared" si="8"/>
        <v>7896.383019</v>
      </c>
      <c r="AF49" s="1">
        <f t="shared" si="9"/>
        <v>374538.3826</v>
      </c>
      <c r="AG49" s="1">
        <f t="shared" si="10"/>
        <v>7968.901758</v>
      </c>
      <c r="AH49" s="1">
        <f t="shared" si="11"/>
        <v>8736.211249</v>
      </c>
      <c r="AI49" s="1">
        <f t="shared" si="15"/>
        <v>-767.3094916</v>
      </c>
      <c r="AJ49" s="1" t="str">
        <f t="shared" si="12"/>
        <v/>
      </c>
    </row>
    <row r="50">
      <c r="A50" s="5">
        <v>47.0</v>
      </c>
      <c r="B50" s="8">
        <f t="shared" si="4"/>
        <v>0.9861069787</v>
      </c>
      <c r="C50" s="4">
        <f t="shared" ref="C50:N50" si="104">IF(C$2="","",C$1-_xlfn.FLOOR.MATH(C$1*(180-MIN(180,$A50))/180))</f>
        <v>32</v>
      </c>
      <c r="D50" s="1" t="str">
        <f t="shared" si="104"/>
        <v/>
      </c>
      <c r="E50" s="1" t="str">
        <f t="shared" si="104"/>
        <v/>
      </c>
      <c r="F50" s="1" t="str">
        <f t="shared" si="104"/>
        <v/>
      </c>
      <c r="G50" s="1">
        <f t="shared" si="104"/>
        <v>79</v>
      </c>
      <c r="H50" s="1" t="str">
        <f t="shared" si="104"/>
        <v/>
      </c>
      <c r="I50" s="1" t="str">
        <f t="shared" si="104"/>
        <v/>
      </c>
      <c r="J50" s="1">
        <f t="shared" si="104"/>
        <v>1</v>
      </c>
      <c r="K50" s="1">
        <f t="shared" si="104"/>
        <v>2</v>
      </c>
      <c r="L50" s="1">
        <f t="shared" si="104"/>
        <v>3</v>
      </c>
      <c r="M50" s="1">
        <f t="shared" si="104"/>
        <v>4</v>
      </c>
      <c r="N50" s="1">
        <f t="shared" si="104"/>
        <v>3</v>
      </c>
      <c r="O50" s="1" t="str">
        <f t="shared" si="6"/>
        <v/>
      </c>
      <c r="P50" s="1">
        <f t="shared" ref="P50:AB50" si="105">if(C$2="","",C50*P$1)</f>
        <v>1248</v>
      </c>
      <c r="Q50" s="1" t="str">
        <f t="shared" si="105"/>
        <v/>
      </c>
      <c r="R50" s="1" t="str">
        <f t="shared" si="105"/>
        <v/>
      </c>
      <c r="S50" s="1" t="str">
        <f t="shared" si="105"/>
        <v/>
      </c>
      <c r="T50" s="1">
        <f t="shared" si="105"/>
        <v>13430</v>
      </c>
      <c r="U50" s="1" t="str">
        <f t="shared" si="105"/>
        <v/>
      </c>
      <c r="V50" s="1" t="str">
        <f t="shared" si="105"/>
        <v/>
      </c>
      <c r="W50" s="1">
        <f t="shared" si="105"/>
        <v>14760.70996</v>
      </c>
      <c r="X50" s="1">
        <f t="shared" si="105"/>
        <v>8800</v>
      </c>
      <c r="Y50" s="1">
        <f t="shared" si="105"/>
        <v>30300</v>
      </c>
      <c r="Z50" s="1">
        <f t="shared" si="105"/>
        <v>42000</v>
      </c>
      <c r="AA50" s="1">
        <f t="shared" si="105"/>
        <v>300442.2188</v>
      </c>
      <c r="AB50" s="1" t="str">
        <f t="shared" si="105"/>
        <v/>
      </c>
      <c r="AC50" s="1" t="str">
        <f>if(Calculator!$C$8,SUM(P50:AB50),"")</f>
        <v/>
      </c>
      <c r="AE50" s="1">
        <f t="shared" si="8"/>
        <v>7888.855829</v>
      </c>
      <c r="AF50" s="1">
        <f t="shared" si="9"/>
        <v>382427.2384</v>
      </c>
      <c r="AG50" s="1">
        <f t="shared" si="10"/>
        <v>7967.234134</v>
      </c>
      <c r="AH50" s="1">
        <f t="shared" si="11"/>
        <v>8562.102681</v>
      </c>
      <c r="AI50" s="1">
        <f t="shared" si="15"/>
        <v>-594.8685474</v>
      </c>
      <c r="AJ50" s="1" t="str">
        <f t="shared" si="12"/>
        <v/>
      </c>
    </row>
    <row r="51">
      <c r="A51" s="5">
        <v>48.0</v>
      </c>
      <c r="B51" s="8">
        <f t="shared" si="4"/>
        <v>0.9850992791</v>
      </c>
      <c r="C51" s="4">
        <f t="shared" ref="C51:N51" si="106">IF(C$2="","",C$1-_xlfn.FLOOR.MATH(C$1*(180-MIN(180,$A51))/180))</f>
        <v>32</v>
      </c>
      <c r="D51" s="1" t="str">
        <f t="shared" si="106"/>
        <v/>
      </c>
      <c r="E51" s="1" t="str">
        <f t="shared" si="106"/>
        <v/>
      </c>
      <c r="F51" s="1" t="str">
        <f t="shared" si="106"/>
        <v/>
      </c>
      <c r="G51" s="1">
        <f t="shared" si="106"/>
        <v>80</v>
      </c>
      <c r="H51" s="1" t="str">
        <f t="shared" si="106"/>
        <v/>
      </c>
      <c r="I51" s="1" t="str">
        <f t="shared" si="106"/>
        <v/>
      </c>
      <c r="J51" s="1">
        <f t="shared" si="106"/>
        <v>1</v>
      </c>
      <c r="K51" s="1">
        <f t="shared" si="106"/>
        <v>2</v>
      </c>
      <c r="L51" s="1">
        <f t="shared" si="106"/>
        <v>3</v>
      </c>
      <c r="M51" s="1">
        <f t="shared" si="106"/>
        <v>4</v>
      </c>
      <c r="N51" s="1">
        <f t="shared" si="106"/>
        <v>3</v>
      </c>
      <c r="O51" s="1" t="str">
        <f t="shared" si="6"/>
        <v/>
      </c>
      <c r="P51" s="1">
        <f t="shared" ref="P51:AB51" si="107">if(C$2="","",C51*P$1)</f>
        <v>1248</v>
      </c>
      <c r="Q51" s="1" t="str">
        <f t="shared" si="107"/>
        <v/>
      </c>
      <c r="R51" s="1" t="str">
        <f t="shared" si="107"/>
        <v/>
      </c>
      <c r="S51" s="1" t="str">
        <f t="shared" si="107"/>
        <v/>
      </c>
      <c r="T51" s="1">
        <f t="shared" si="107"/>
        <v>13600</v>
      </c>
      <c r="U51" s="1" t="str">
        <f t="shared" si="107"/>
        <v/>
      </c>
      <c r="V51" s="1" t="str">
        <f t="shared" si="107"/>
        <v/>
      </c>
      <c r="W51" s="1">
        <f t="shared" si="107"/>
        <v>14760.70996</v>
      </c>
      <c r="X51" s="1">
        <f t="shared" si="107"/>
        <v>8800</v>
      </c>
      <c r="Y51" s="1">
        <f t="shared" si="107"/>
        <v>30300</v>
      </c>
      <c r="Z51" s="1">
        <f t="shared" si="107"/>
        <v>42000</v>
      </c>
      <c r="AA51" s="1">
        <f t="shared" si="107"/>
        <v>300442.2188</v>
      </c>
      <c r="AB51" s="1" t="str">
        <f t="shared" si="107"/>
        <v/>
      </c>
      <c r="AC51" s="1" t="str">
        <f>if(Calculator!$C$8,SUM(P51:AB51),"")</f>
        <v/>
      </c>
      <c r="AE51" s="1">
        <f t="shared" si="8"/>
        <v>7880.794233</v>
      </c>
      <c r="AF51" s="1">
        <f t="shared" si="9"/>
        <v>390308.0327</v>
      </c>
      <c r="AG51" s="1">
        <f t="shared" si="10"/>
        <v>7965.470054</v>
      </c>
      <c r="AH51" s="1">
        <f t="shared" si="11"/>
        <v>8390.83528</v>
      </c>
      <c r="AI51" s="1">
        <f t="shared" si="15"/>
        <v>-425.3652254</v>
      </c>
      <c r="AJ51" s="1" t="str">
        <f t="shared" si="12"/>
        <v/>
      </c>
    </row>
    <row r="52">
      <c r="A52" s="5">
        <v>49.0</v>
      </c>
      <c r="B52" s="8">
        <f t="shared" si="4"/>
        <v>0.9840202684</v>
      </c>
      <c r="C52" s="4">
        <f t="shared" ref="C52:N52" si="108">IF(C$2="","",C$1-_xlfn.FLOOR.MATH(C$1*(180-MIN(180,$A52))/180))</f>
        <v>33</v>
      </c>
      <c r="D52" s="1" t="str">
        <f t="shared" si="108"/>
        <v/>
      </c>
      <c r="E52" s="1" t="str">
        <f t="shared" si="108"/>
        <v/>
      </c>
      <c r="F52" s="1" t="str">
        <f t="shared" si="108"/>
        <v/>
      </c>
      <c r="G52" s="1">
        <f t="shared" si="108"/>
        <v>82</v>
      </c>
      <c r="H52" s="1" t="str">
        <f t="shared" si="108"/>
        <v/>
      </c>
      <c r="I52" s="1" t="str">
        <f t="shared" si="108"/>
        <v/>
      </c>
      <c r="J52" s="1">
        <f t="shared" si="108"/>
        <v>1</v>
      </c>
      <c r="K52" s="1">
        <f t="shared" si="108"/>
        <v>2</v>
      </c>
      <c r="L52" s="1">
        <f t="shared" si="108"/>
        <v>3</v>
      </c>
      <c r="M52" s="1">
        <f t="shared" si="108"/>
        <v>4</v>
      </c>
      <c r="N52" s="1">
        <f t="shared" si="108"/>
        <v>3</v>
      </c>
      <c r="O52" s="1" t="str">
        <f t="shared" si="6"/>
        <v/>
      </c>
      <c r="P52" s="1">
        <f t="shared" ref="P52:AB52" si="109">if(C$2="","",C52*P$1)</f>
        <v>1287</v>
      </c>
      <c r="Q52" s="1" t="str">
        <f t="shared" si="109"/>
        <v/>
      </c>
      <c r="R52" s="1" t="str">
        <f t="shared" si="109"/>
        <v/>
      </c>
      <c r="S52" s="1" t="str">
        <f t="shared" si="109"/>
        <v/>
      </c>
      <c r="T52" s="1">
        <f t="shared" si="109"/>
        <v>13940</v>
      </c>
      <c r="U52" s="1" t="str">
        <f t="shared" si="109"/>
        <v/>
      </c>
      <c r="V52" s="1" t="str">
        <f t="shared" si="109"/>
        <v/>
      </c>
      <c r="W52" s="1">
        <f t="shared" si="109"/>
        <v>14760.70996</v>
      </c>
      <c r="X52" s="1">
        <f t="shared" si="109"/>
        <v>8800</v>
      </c>
      <c r="Y52" s="1">
        <f t="shared" si="109"/>
        <v>30300</v>
      </c>
      <c r="Z52" s="1">
        <f t="shared" si="109"/>
        <v>42000</v>
      </c>
      <c r="AA52" s="1">
        <f t="shared" si="109"/>
        <v>300442.2188</v>
      </c>
      <c r="AB52" s="1" t="str">
        <f t="shared" si="109"/>
        <v/>
      </c>
      <c r="AC52" s="1" t="str">
        <f>if(Calculator!$C$8,SUM(P52:AB52),"")</f>
        <v/>
      </c>
      <c r="AE52" s="1">
        <f t="shared" si="8"/>
        <v>7872.162147</v>
      </c>
      <c r="AF52" s="1">
        <f t="shared" si="9"/>
        <v>398180.1948</v>
      </c>
      <c r="AG52" s="1">
        <f t="shared" si="10"/>
        <v>7963.603896</v>
      </c>
      <c r="AH52" s="1">
        <f t="shared" si="11"/>
        <v>8230.598574</v>
      </c>
      <c r="AI52" s="1">
        <f t="shared" si="15"/>
        <v>-266.9946779</v>
      </c>
      <c r="AJ52" s="1" t="str">
        <f t="shared" si="12"/>
        <v/>
      </c>
    </row>
    <row r="53">
      <c r="A53" s="5">
        <v>50.0</v>
      </c>
      <c r="B53" s="8">
        <f t="shared" si="4"/>
        <v>0.9828651667</v>
      </c>
      <c r="C53" s="4">
        <f t="shared" ref="C53:N53" si="110">IF(C$2="","",C$1-_xlfn.FLOOR.MATH(C$1*(180-MIN(180,$A53))/180))</f>
        <v>34</v>
      </c>
      <c r="D53" s="1" t="str">
        <f t="shared" si="110"/>
        <v/>
      </c>
      <c r="E53" s="1" t="str">
        <f t="shared" si="110"/>
        <v/>
      </c>
      <c r="F53" s="1" t="str">
        <f t="shared" si="110"/>
        <v/>
      </c>
      <c r="G53" s="1">
        <f t="shared" si="110"/>
        <v>84</v>
      </c>
      <c r="H53" s="1" t="str">
        <f t="shared" si="110"/>
        <v/>
      </c>
      <c r="I53" s="1" t="str">
        <f t="shared" si="110"/>
        <v/>
      </c>
      <c r="J53" s="1">
        <f t="shared" si="110"/>
        <v>1</v>
      </c>
      <c r="K53" s="1">
        <f t="shared" si="110"/>
        <v>2</v>
      </c>
      <c r="L53" s="1">
        <f t="shared" si="110"/>
        <v>3</v>
      </c>
      <c r="M53" s="1">
        <f t="shared" si="110"/>
        <v>4</v>
      </c>
      <c r="N53" s="1">
        <f t="shared" si="110"/>
        <v>3</v>
      </c>
      <c r="O53" s="1" t="str">
        <f t="shared" si="6"/>
        <v/>
      </c>
      <c r="P53" s="1">
        <f t="shared" ref="P53:AB53" si="111">if(C$2="","",C53*P$1)</f>
        <v>1326</v>
      </c>
      <c r="Q53" s="1" t="str">
        <f t="shared" si="111"/>
        <v/>
      </c>
      <c r="R53" s="1" t="str">
        <f t="shared" si="111"/>
        <v/>
      </c>
      <c r="S53" s="1" t="str">
        <f t="shared" si="111"/>
        <v/>
      </c>
      <c r="T53" s="1">
        <f t="shared" si="111"/>
        <v>14280</v>
      </c>
      <c r="U53" s="1" t="str">
        <f t="shared" si="111"/>
        <v/>
      </c>
      <c r="V53" s="1" t="str">
        <f t="shared" si="111"/>
        <v/>
      </c>
      <c r="W53" s="1">
        <f t="shared" si="111"/>
        <v>14760.70996</v>
      </c>
      <c r="X53" s="1">
        <f t="shared" si="111"/>
        <v>8800</v>
      </c>
      <c r="Y53" s="1">
        <f t="shared" si="111"/>
        <v>30300</v>
      </c>
      <c r="Z53" s="1">
        <f t="shared" si="111"/>
        <v>42000</v>
      </c>
      <c r="AA53" s="1">
        <f t="shared" si="111"/>
        <v>300442.2188</v>
      </c>
      <c r="AB53" s="1" t="str">
        <f t="shared" si="111"/>
        <v/>
      </c>
      <c r="AC53" s="1" t="str">
        <f>if(Calculator!$C$8,SUM(P53:AB53),"")</f>
        <v/>
      </c>
      <c r="AE53" s="1">
        <f t="shared" si="8"/>
        <v>7862.921334</v>
      </c>
      <c r="AF53" s="1">
        <f t="shared" si="9"/>
        <v>406043.1161</v>
      </c>
      <c r="AG53" s="1">
        <f t="shared" si="10"/>
        <v>7961.629728</v>
      </c>
      <c r="AH53" s="1">
        <f t="shared" si="11"/>
        <v>8076.645661</v>
      </c>
      <c r="AI53" s="1">
        <f t="shared" si="15"/>
        <v>-115.0159326</v>
      </c>
      <c r="AJ53" s="1" t="str">
        <f t="shared" si="12"/>
        <v/>
      </c>
    </row>
    <row r="54">
      <c r="A54" s="5">
        <v>51.0</v>
      </c>
      <c r="B54" s="8">
        <f t="shared" si="4"/>
        <v>0.9816289134</v>
      </c>
      <c r="C54" s="4">
        <f t="shared" ref="C54:N54" si="112">IF(C$2="","",C$1-_xlfn.FLOOR.MATH(C$1*(180-MIN(180,$A54))/180))</f>
        <v>34</v>
      </c>
      <c r="D54" s="1" t="str">
        <f t="shared" si="112"/>
        <v/>
      </c>
      <c r="E54" s="1" t="str">
        <f t="shared" si="112"/>
        <v/>
      </c>
      <c r="F54" s="1" t="str">
        <f t="shared" si="112"/>
        <v/>
      </c>
      <c r="G54" s="1">
        <f t="shared" si="112"/>
        <v>85</v>
      </c>
      <c r="H54" s="1" t="str">
        <f t="shared" si="112"/>
        <v/>
      </c>
      <c r="I54" s="1" t="str">
        <f t="shared" si="112"/>
        <v/>
      </c>
      <c r="J54" s="1">
        <f t="shared" si="112"/>
        <v>1</v>
      </c>
      <c r="K54" s="1">
        <f t="shared" si="112"/>
        <v>2</v>
      </c>
      <c r="L54" s="1">
        <f t="shared" si="112"/>
        <v>3</v>
      </c>
      <c r="M54" s="1">
        <f t="shared" si="112"/>
        <v>4</v>
      </c>
      <c r="N54" s="1">
        <f t="shared" si="112"/>
        <v>3</v>
      </c>
      <c r="O54" s="1" t="str">
        <f t="shared" si="6"/>
        <v/>
      </c>
      <c r="P54" s="1">
        <f t="shared" ref="P54:AB54" si="113">if(C$2="","",C54*P$1)</f>
        <v>1326</v>
      </c>
      <c r="Q54" s="1" t="str">
        <f t="shared" si="113"/>
        <v/>
      </c>
      <c r="R54" s="1" t="str">
        <f t="shared" si="113"/>
        <v/>
      </c>
      <c r="S54" s="1" t="str">
        <f t="shared" si="113"/>
        <v/>
      </c>
      <c r="T54" s="1">
        <f t="shared" si="113"/>
        <v>14450</v>
      </c>
      <c r="U54" s="1" t="str">
        <f t="shared" si="113"/>
        <v/>
      </c>
      <c r="V54" s="1" t="str">
        <f t="shared" si="113"/>
        <v/>
      </c>
      <c r="W54" s="1">
        <f t="shared" si="113"/>
        <v>14760.70996</v>
      </c>
      <c r="X54" s="1">
        <f t="shared" si="113"/>
        <v>8800</v>
      </c>
      <c r="Y54" s="1">
        <f t="shared" si="113"/>
        <v>30300</v>
      </c>
      <c r="Z54" s="1">
        <f t="shared" si="113"/>
        <v>42000</v>
      </c>
      <c r="AA54" s="1">
        <f t="shared" si="113"/>
        <v>300442.2188</v>
      </c>
      <c r="AB54" s="1" t="str">
        <f t="shared" si="113"/>
        <v/>
      </c>
      <c r="AC54" s="1" t="str">
        <f>if(Calculator!$C$8,SUM(P54:AB54),"")</f>
        <v/>
      </c>
      <c r="AE54" s="1">
        <f t="shared" si="8"/>
        <v>7853.031307</v>
      </c>
      <c r="AF54" s="1">
        <f t="shared" si="9"/>
        <v>413896.1475</v>
      </c>
      <c r="AG54" s="1">
        <f t="shared" si="10"/>
        <v>7959.541297</v>
      </c>
      <c r="AH54" s="1">
        <f t="shared" si="11"/>
        <v>7924.594783</v>
      </c>
      <c r="AI54" s="1">
        <f t="shared" si="15"/>
        <v>34.94651433</v>
      </c>
      <c r="AJ54" s="1" t="str">
        <f t="shared" si="12"/>
        <v/>
      </c>
    </row>
    <row r="55">
      <c r="A55" s="5">
        <v>52.0</v>
      </c>
      <c r="B55" s="8">
        <f t="shared" si="4"/>
        <v>0.9803061567</v>
      </c>
      <c r="C55" s="4">
        <f t="shared" ref="C55:N55" si="114">IF(C$2="","",C$1-_xlfn.FLOOR.MATH(C$1*(180-MIN(180,$A55))/180))</f>
        <v>35</v>
      </c>
      <c r="D55" s="1" t="str">
        <f t="shared" si="114"/>
        <v/>
      </c>
      <c r="E55" s="1" t="str">
        <f t="shared" si="114"/>
        <v/>
      </c>
      <c r="F55" s="1" t="str">
        <f t="shared" si="114"/>
        <v/>
      </c>
      <c r="G55" s="1">
        <f t="shared" si="114"/>
        <v>87</v>
      </c>
      <c r="H55" s="1" t="str">
        <f t="shared" si="114"/>
        <v/>
      </c>
      <c r="I55" s="1" t="str">
        <f t="shared" si="114"/>
        <v/>
      </c>
      <c r="J55" s="1">
        <f t="shared" si="114"/>
        <v>1</v>
      </c>
      <c r="K55" s="1">
        <f t="shared" si="114"/>
        <v>2</v>
      </c>
      <c r="L55" s="1">
        <f t="shared" si="114"/>
        <v>3</v>
      </c>
      <c r="M55" s="1">
        <f t="shared" si="114"/>
        <v>4</v>
      </c>
      <c r="N55" s="1">
        <f t="shared" si="114"/>
        <v>3</v>
      </c>
      <c r="O55" s="1" t="str">
        <f t="shared" si="6"/>
        <v/>
      </c>
      <c r="P55" s="1">
        <f t="shared" ref="P55:AB55" si="115">if(C$2="","",C55*P$1)</f>
        <v>1365</v>
      </c>
      <c r="Q55" s="1" t="str">
        <f t="shared" si="115"/>
        <v/>
      </c>
      <c r="R55" s="1" t="str">
        <f t="shared" si="115"/>
        <v/>
      </c>
      <c r="S55" s="1" t="str">
        <f t="shared" si="115"/>
        <v/>
      </c>
      <c r="T55" s="1">
        <f t="shared" si="115"/>
        <v>14790</v>
      </c>
      <c r="U55" s="1" t="str">
        <f t="shared" si="115"/>
        <v/>
      </c>
      <c r="V55" s="1" t="str">
        <f t="shared" si="115"/>
        <v/>
      </c>
      <c r="W55" s="1">
        <f t="shared" si="115"/>
        <v>14760.70996</v>
      </c>
      <c r="X55" s="1">
        <f t="shared" si="115"/>
        <v>8800</v>
      </c>
      <c r="Y55" s="1">
        <f t="shared" si="115"/>
        <v>30300</v>
      </c>
      <c r="Z55" s="1">
        <f t="shared" si="115"/>
        <v>42000</v>
      </c>
      <c r="AA55" s="1">
        <f t="shared" si="115"/>
        <v>300442.2188</v>
      </c>
      <c r="AB55" s="1" t="str">
        <f t="shared" si="115"/>
        <v/>
      </c>
      <c r="AC55" s="1" t="str">
        <f>if(Calculator!$C$8,SUM(P55:AB55),"")</f>
        <v/>
      </c>
      <c r="AE55" s="1">
        <f t="shared" si="8"/>
        <v>7842.449254</v>
      </c>
      <c r="AF55" s="1">
        <f t="shared" si="9"/>
        <v>421738.5967</v>
      </c>
      <c r="AG55" s="1">
        <f t="shared" si="10"/>
        <v>7957.332013</v>
      </c>
      <c r="AH55" s="1">
        <f t="shared" si="11"/>
        <v>7782.22507</v>
      </c>
      <c r="AI55" s="1">
        <f t="shared" si="15"/>
        <v>175.1069434</v>
      </c>
      <c r="AJ55" s="1" t="str">
        <f t="shared" si="12"/>
        <v/>
      </c>
    </row>
    <row r="56">
      <c r="A56" s="5">
        <v>53.0</v>
      </c>
      <c r="B56" s="8">
        <f t="shared" si="4"/>
        <v>0.9788912441</v>
      </c>
      <c r="C56" s="4">
        <f t="shared" ref="C56:N56" si="116">IF(C$2="","",C$1-_xlfn.FLOOR.MATH(C$1*(180-MIN(180,$A56))/180))</f>
        <v>36</v>
      </c>
      <c r="D56" s="1" t="str">
        <f t="shared" si="116"/>
        <v/>
      </c>
      <c r="E56" s="1" t="str">
        <f t="shared" si="116"/>
        <v/>
      </c>
      <c r="F56" s="1" t="str">
        <f t="shared" si="116"/>
        <v/>
      </c>
      <c r="G56" s="1">
        <f t="shared" si="116"/>
        <v>89</v>
      </c>
      <c r="H56" s="1" t="str">
        <f t="shared" si="116"/>
        <v/>
      </c>
      <c r="I56" s="1" t="str">
        <f t="shared" si="116"/>
        <v/>
      </c>
      <c r="J56" s="1">
        <f t="shared" si="116"/>
        <v>1</v>
      </c>
      <c r="K56" s="1">
        <f t="shared" si="116"/>
        <v>2</v>
      </c>
      <c r="L56" s="1">
        <f t="shared" si="116"/>
        <v>3</v>
      </c>
      <c r="M56" s="1">
        <f t="shared" si="116"/>
        <v>4</v>
      </c>
      <c r="N56" s="1">
        <f t="shared" si="116"/>
        <v>3</v>
      </c>
      <c r="O56" s="1" t="str">
        <f t="shared" si="6"/>
        <v/>
      </c>
      <c r="P56" s="1">
        <f t="shared" ref="P56:AB56" si="117">if(C$2="","",C56*P$1)</f>
        <v>1404</v>
      </c>
      <c r="Q56" s="1" t="str">
        <f t="shared" si="117"/>
        <v/>
      </c>
      <c r="R56" s="1" t="str">
        <f t="shared" si="117"/>
        <v/>
      </c>
      <c r="S56" s="1" t="str">
        <f t="shared" si="117"/>
        <v/>
      </c>
      <c r="T56" s="1">
        <f t="shared" si="117"/>
        <v>15130</v>
      </c>
      <c r="U56" s="1" t="str">
        <f t="shared" si="117"/>
        <v/>
      </c>
      <c r="V56" s="1" t="str">
        <f t="shared" si="117"/>
        <v/>
      </c>
      <c r="W56" s="1">
        <f t="shared" si="117"/>
        <v>14760.70996</v>
      </c>
      <c r="X56" s="1">
        <f t="shared" si="117"/>
        <v>8800</v>
      </c>
      <c r="Y56" s="1">
        <f t="shared" si="117"/>
        <v>30300</v>
      </c>
      <c r="Z56" s="1">
        <f t="shared" si="117"/>
        <v>42000</v>
      </c>
      <c r="AA56" s="1">
        <f t="shared" si="117"/>
        <v>300442.2188</v>
      </c>
      <c r="AB56" s="1" t="str">
        <f t="shared" si="117"/>
        <v/>
      </c>
      <c r="AC56" s="1" t="str">
        <f>if(Calculator!$C$8,SUM(P56:AB56),"")</f>
        <v/>
      </c>
      <c r="AE56" s="1">
        <f t="shared" si="8"/>
        <v>7831.129952</v>
      </c>
      <c r="AF56" s="1">
        <f t="shared" si="9"/>
        <v>429569.7267</v>
      </c>
      <c r="AG56" s="1">
        <f t="shared" si="10"/>
        <v>7954.994938</v>
      </c>
      <c r="AH56" s="1">
        <f t="shared" si="11"/>
        <v>7645.128309</v>
      </c>
      <c r="AI56" s="1">
        <f t="shared" si="15"/>
        <v>309.8666287</v>
      </c>
      <c r="AJ56" s="1" t="str">
        <f t="shared" si="12"/>
        <v/>
      </c>
    </row>
    <row r="57">
      <c r="A57" s="5">
        <v>54.0</v>
      </c>
      <c r="B57" s="8">
        <f t="shared" si="4"/>
        <v>0.9773782126</v>
      </c>
      <c r="C57" s="4">
        <f t="shared" ref="C57:N57" si="118">IF(C$2="","",C$1-_xlfn.FLOOR.MATH(C$1*(180-MIN(180,$A57))/180))</f>
        <v>36</v>
      </c>
      <c r="D57" s="1" t="str">
        <f t="shared" si="118"/>
        <v/>
      </c>
      <c r="E57" s="1" t="str">
        <f t="shared" si="118"/>
        <v/>
      </c>
      <c r="F57" s="1" t="str">
        <f t="shared" si="118"/>
        <v/>
      </c>
      <c r="G57" s="1">
        <f t="shared" si="118"/>
        <v>90</v>
      </c>
      <c r="H57" s="1" t="str">
        <f t="shared" si="118"/>
        <v/>
      </c>
      <c r="I57" s="1" t="str">
        <f t="shared" si="118"/>
        <v/>
      </c>
      <c r="J57" s="1">
        <f t="shared" si="118"/>
        <v>1</v>
      </c>
      <c r="K57" s="1">
        <f t="shared" si="118"/>
        <v>2</v>
      </c>
      <c r="L57" s="1">
        <f t="shared" si="118"/>
        <v>3</v>
      </c>
      <c r="M57" s="1">
        <f t="shared" si="118"/>
        <v>4</v>
      </c>
      <c r="N57" s="1">
        <f t="shared" si="118"/>
        <v>3</v>
      </c>
      <c r="O57" s="1" t="str">
        <f t="shared" si="6"/>
        <v/>
      </c>
      <c r="P57" s="1">
        <f t="shared" ref="P57:AB57" si="119">if(C$2="","",C57*P$1)</f>
        <v>1404</v>
      </c>
      <c r="Q57" s="1" t="str">
        <f t="shared" si="119"/>
        <v/>
      </c>
      <c r="R57" s="1" t="str">
        <f t="shared" si="119"/>
        <v/>
      </c>
      <c r="S57" s="1" t="str">
        <f t="shared" si="119"/>
        <v/>
      </c>
      <c r="T57" s="1">
        <f t="shared" si="119"/>
        <v>15300</v>
      </c>
      <c r="U57" s="1" t="str">
        <f t="shared" si="119"/>
        <v/>
      </c>
      <c r="V57" s="1" t="str">
        <f t="shared" si="119"/>
        <v/>
      </c>
      <c r="W57" s="1">
        <f t="shared" si="119"/>
        <v>14760.70996</v>
      </c>
      <c r="X57" s="1">
        <f t="shared" si="119"/>
        <v>8800</v>
      </c>
      <c r="Y57" s="1">
        <f t="shared" si="119"/>
        <v>30300</v>
      </c>
      <c r="Z57" s="1">
        <f t="shared" si="119"/>
        <v>42000</v>
      </c>
      <c r="AA57" s="1">
        <f t="shared" si="119"/>
        <v>300442.2188</v>
      </c>
      <c r="AB57" s="1" t="str">
        <f t="shared" si="119"/>
        <v/>
      </c>
      <c r="AC57" s="1" t="str">
        <f>if(Calculator!$C$8,SUM(P57:AB57),"")</f>
        <v/>
      </c>
      <c r="AE57" s="1">
        <f t="shared" si="8"/>
        <v>7819.025701</v>
      </c>
      <c r="AF57" s="1">
        <f t="shared" si="9"/>
        <v>437388.7524</v>
      </c>
      <c r="AG57" s="1">
        <f t="shared" si="10"/>
        <v>7952.52277</v>
      </c>
      <c r="AH57" s="1">
        <f t="shared" si="11"/>
        <v>7509.216886</v>
      </c>
      <c r="AI57" s="1">
        <f t="shared" si="15"/>
        <v>443.3058846</v>
      </c>
      <c r="AJ57" s="1" t="str">
        <f t="shared" si="12"/>
        <v/>
      </c>
    </row>
    <row r="58">
      <c r="A58" s="5">
        <v>55.0</v>
      </c>
      <c r="B58" s="8">
        <f t="shared" si="4"/>
        <v>0.9757607813</v>
      </c>
      <c r="C58" s="4">
        <f t="shared" ref="C58:N58" si="120">IF(C$2="","",C$1-_xlfn.FLOOR.MATH(C$1*(180-MIN(180,$A58))/180))</f>
        <v>37</v>
      </c>
      <c r="D58" s="1" t="str">
        <f t="shared" si="120"/>
        <v/>
      </c>
      <c r="E58" s="1" t="str">
        <f t="shared" si="120"/>
        <v/>
      </c>
      <c r="F58" s="1" t="str">
        <f t="shared" si="120"/>
        <v/>
      </c>
      <c r="G58" s="1">
        <f t="shared" si="120"/>
        <v>92</v>
      </c>
      <c r="H58" s="1" t="str">
        <f t="shared" si="120"/>
        <v/>
      </c>
      <c r="I58" s="1" t="str">
        <f t="shared" si="120"/>
        <v/>
      </c>
      <c r="J58" s="1">
        <f t="shared" si="120"/>
        <v>1</v>
      </c>
      <c r="K58" s="1">
        <f t="shared" si="120"/>
        <v>2</v>
      </c>
      <c r="L58" s="1">
        <f t="shared" si="120"/>
        <v>3</v>
      </c>
      <c r="M58" s="1">
        <f t="shared" si="120"/>
        <v>4</v>
      </c>
      <c r="N58" s="1">
        <f t="shared" si="120"/>
        <v>3</v>
      </c>
      <c r="O58" s="1" t="str">
        <f t="shared" si="6"/>
        <v/>
      </c>
      <c r="P58" s="1">
        <f t="shared" ref="P58:AB58" si="121">if(C$2="","",C58*P$1)</f>
        <v>1443</v>
      </c>
      <c r="Q58" s="1" t="str">
        <f t="shared" si="121"/>
        <v/>
      </c>
      <c r="R58" s="1" t="str">
        <f t="shared" si="121"/>
        <v/>
      </c>
      <c r="S58" s="1" t="str">
        <f t="shared" si="121"/>
        <v/>
      </c>
      <c r="T58" s="1">
        <f t="shared" si="121"/>
        <v>15640</v>
      </c>
      <c r="U58" s="1" t="str">
        <f t="shared" si="121"/>
        <v/>
      </c>
      <c r="V58" s="1" t="str">
        <f t="shared" si="121"/>
        <v/>
      </c>
      <c r="W58" s="1">
        <f t="shared" si="121"/>
        <v>14760.70996</v>
      </c>
      <c r="X58" s="1">
        <f t="shared" si="121"/>
        <v>8800</v>
      </c>
      <c r="Y58" s="1">
        <f t="shared" si="121"/>
        <v>30300</v>
      </c>
      <c r="Z58" s="1">
        <f t="shared" si="121"/>
        <v>42000</v>
      </c>
      <c r="AA58" s="1">
        <f t="shared" si="121"/>
        <v>300442.2188</v>
      </c>
      <c r="AB58" s="1" t="str">
        <f t="shared" si="121"/>
        <v/>
      </c>
      <c r="AC58" s="1" t="str">
        <f>if(Calculator!$C$8,SUM(P58:AB58),"")</f>
        <v/>
      </c>
      <c r="AE58" s="1">
        <f t="shared" si="8"/>
        <v>7806.086251</v>
      </c>
      <c r="AF58" s="1">
        <f t="shared" si="9"/>
        <v>445194.8386</v>
      </c>
      <c r="AG58" s="1">
        <f t="shared" si="10"/>
        <v>7949.907832</v>
      </c>
      <c r="AH58" s="1">
        <f t="shared" si="11"/>
        <v>7381.891584</v>
      </c>
      <c r="AI58" s="1">
        <f t="shared" si="15"/>
        <v>568.0162483</v>
      </c>
      <c r="AJ58" s="1" t="str">
        <f t="shared" si="12"/>
        <v/>
      </c>
    </row>
    <row r="59">
      <c r="A59" s="5">
        <v>56.0</v>
      </c>
      <c r="B59" s="8">
        <f t="shared" si="4"/>
        <v>0.9740323444</v>
      </c>
      <c r="C59" s="4">
        <f t="shared" ref="C59:N59" si="122">IF(C$2="","",C$1-_xlfn.FLOOR.MATH(C$1*(180-MIN(180,$A59))/180))</f>
        <v>38</v>
      </c>
      <c r="D59" s="1" t="str">
        <f t="shared" si="122"/>
        <v/>
      </c>
      <c r="E59" s="1" t="str">
        <f t="shared" si="122"/>
        <v/>
      </c>
      <c r="F59" s="1" t="str">
        <f t="shared" si="122"/>
        <v/>
      </c>
      <c r="G59" s="1">
        <f t="shared" si="122"/>
        <v>94</v>
      </c>
      <c r="H59" s="1" t="str">
        <f t="shared" si="122"/>
        <v/>
      </c>
      <c r="I59" s="1" t="str">
        <f t="shared" si="122"/>
        <v/>
      </c>
      <c r="J59" s="1">
        <f t="shared" si="122"/>
        <v>1</v>
      </c>
      <c r="K59" s="1">
        <f t="shared" si="122"/>
        <v>2</v>
      </c>
      <c r="L59" s="1">
        <f t="shared" si="122"/>
        <v>3</v>
      </c>
      <c r="M59" s="1">
        <f t="shared" si="122"/>
        <v>4</v>
      </c>
      <c r="N59" s="1">
        <f t="shared" si="122"/>
        <v>3</v>
      </c>
      <c r="O59" s="1" t="str">
        <f t="shared" si="6"/>
        <v/>
      </c>
      <c r="P59" s="1">
        <f t="shared" ref="P59:AB59" si="123">if(C$2="","",C59*P$1)</f>
        <v>1482</v>
      </c>
      <c r="Q59" s="1" t="str">
        <f t="shared" si="123"/>
        <v/>
      </c>
      <c r="R59" s="1" t="str">
        <f t="shared" si="123"/>
        <v/>
      </c>
      <c r="S59" s="1" t="str">
        <f t="shared" si="123"/>
        <v/>
      </c>
      <c r="T59" s="1">
        <f t="shared" si="123"/>
        <v>15980</v>
      </c>
      <c r="U59" s="1" t="str">
        <f t="shared" si="123"/>
        <v/>
      </c>
      <c r="V59" s="1" t="str">
        <f t="shared" si="123"/>
        <v/>
      </c>
      <c r="W59" s="1">
        <f t="shared" si="123"/>
        <v>14760.70996</v>
      </c>
      <c r="X59" s="1">
        <f t="shared" si="123"/>
        <v>8800</v>
      </c>
      <c r="Y59" s="1">
        <f t="shared" si="123"/>
        <v>30300</v>
      </c>
      <c r="Z59" s="1">
        <f t="shared" si="123"/>
        <v>42000</v>
      </c>
      <c r="AA59" s="1">
        <f t="shared" si="123"/>
        <v>300442.2188</v>
      </c>
      <c r="AB59" s="1" t="str">
        <f t="shared" si="123"/>
        <v/>
      </c>
      <c r="AC59" s="1" t="str">
        <f>if(Calculator!$C$8,SUM(P59:AB59),"")</f>
        <v/>
      </c>
      <c r="AE59" s="1">
        <f t="shared" si="8"/>
        <v>7792.258755</v>
      </c>
      <c r="AF59" s="1">
        <f t="shared" si="9"/>
        <v>452987.0974</v>
      </c>
      <c r="AG59" s="1">
        <f t="shared" si="10"/>
        <v>7947.142059</v>
      </c>
      <c r="AH59" s="1">
        <f t="shared" si="11"/>
        <v>7259.033837</v>
      </c>
      <c r="AI59" s="1">
        <f t="shared" si="15"/>
        <v>688.1082221</v>
      </c>
      <c r="AJ59" s="1" t="str">
        <f t="shared" si="12"/>
        <v/>
      </c>
    </row>
    <row r="60">
      <c r="A60" s="5">
        <v>57.0</v>
      </c>
      <c r="B60" s="8">
        <f t="shared" si="4"/>
        <v>0.9721859656</v>
      </c>
      <c r="C60" s="4">
        <f t="shared" ref="C60:N60" si="124">IF(C$2="","",C$1-_xlfn.FLOOR.MATH(C$1*(180-MIN(180,$A60))/180))</f>
        <v>38</v>
      </c>
      <c r="D60" s="1" t="str">
        <f t="shared" si="124"/>
        <v/>
      </c>
      <c r="E60" s="1" t="str">
        <f t="shared" si="124"/>
        <v/>
      </c>
      <c r="F60" s="1" t="str">
        <f t="shared" si="124"/>
        <v/>
      </c>
      <c r="G60" s="1">
        <f t="shared" si="124"/>
        <v>95</v>
      </c>
      <c r="H60" s="1" t="str">
        <f t="shared" si="124"/>
        <v/>
      </c>
      <c r="I60" s="1" t="str">
        <f t="shared" si="124"/>
        <v/>
      </c>
      <c r="J60" s="1">
        <f t="shared" si="124"/>
        <v>1</v>
      </c>
      <c r="K60" s="1">
        <f t="shared" si="124"/>
        <v>2</v>
      </c>
      <c r="L60" s="1">
        <f t="shared" si="124"/>
        <v>3</v>
      </c>
      <c r="M60" s="1">
        <f t="shared" si="124"/>
        <v>4</v>
      </c>
      <c r="N60" s="1">
        <f t="shared" si="124"/>
        <v>3</v>
      </c>
      <c r="O60" s="1" t="str">
        <f t="shared" si="6"/>
        <v/>
      </c>
      <c r="P60" s="1">
        <f t="shared" ref="P60:AB60" si="125">if(C$2="","",C60*P$1)</f>
        <v>1482</v>
      </c>
      <c r="Q60" s="1" t="str">
        <f t="shared" si="125"/>
        <v/>
      </c>
      <c r="R60" s="1" t="str">
        <f t="shared" si="125"/>
        <v/>
      </c>
      <c r="S60" s="1" t="str">
        <f t="shared" si="125"/>
        <v/>
      </c>
      <c r="T60" s="1">
        <f t="shared" si="125"/>
        <v>16150</v>
      </c>
      <c r="U60" s="1" t="str">
        <f t="shared" si="125"/>
        <v/>
      </c>
      <c r="V60" s="1" t="str">
        <f t="shared" si="125"/>
        <v/>
      </c>
      <c r="W60" s="1">
        <f t="shared" si="125"/>
        <v>14760.70996</v>
      </c>
      <c r="X60" s="1">
        <f t="shared" si="125"/>
        <v>8800</v>
      </c>
      <c r="Y60" s="1">
        <f t="shared" si="125"/>
        <v>30300</v>
      </c>
      <c r="Z60" s="1">
        <f t="shared" si="125"/>
        <v>42000</v>
      </c>
      <c r="AA60" s="1">
        <f t="shared" si="125"/>
        <v>300442.2188</v>
      </c>
      <c r="AB60" s="1" t="str">
        <f t="shared" si="125"/>
        <v/>
      </c>
      <c r="AC60" s="1" t="str">
        <f>if(Calculator!$C$8,SUM(P60:AB60),"")</f>
        <v/>
      </c>
      <c r="AE60" s="1">
        <f t="shared" si="8"/>
        <v>7777.487725</v>
      </c>
      <c r="AF60" s="1">
        <f t="shared" si="9"/>
        <v>460764.5851</v>
      </c>
      <c r="AG60" s="1">
        <f t="shared" si="10"/>
        <v>7944.216984</v>
      </c>
      <c r="AH60" s="1">
        <f t="shared" si="11"/>
        <v>7136.809116</v>
      </c>
      <c r="AI60" s="1">
        <f t="shared" si="15"/>
        <v>807.4078687</v>
      </c>
      <c r="AJ60" s="1" t="str">
        <f t="shared" si="12"/>
        <v/>
      </c>
    </row>
    <row r="61">
      <c r="A61" s="5">
        <v>58.0</v>
      </c>
      <c r="B61" s="8">
        <f t="shared" si="4"/>
        <v>0.9702143754</v>
      </c>
      <c r="C61" s="4">
        <f t="shared" ref="C61:N61" si="126">IF(C$2="","",C$1-_xlfn.FLOOR.MATH(C$1*(180-MIN(180,$A61))/180))</f>
        <v>39</v>
      </c>
      <c r="D61" s="1" t="str">
        <f t="shared" si="126"/>
        <v/>
      </c>
      <c r="E61" s="1" t="str">
        <f t="shared" si="126"/>
        <v/>
      </c>
      <c r="F61" s="1" t="str">
        <f t="shared" si="126"/>
        <v/>
      </c>
      <c r="G61" s="1">
        <f t="shared" si="126"/>
        <v>97</v>
      </c>
      <c r="H61" s="1" t="str">
        <f t="shared" si="126"/>
        <v/>
      </c>
      <c r="I61" s="1" t="str">
        <f t="shared" si="126"/>
        <v/>
      </c>
      <c r="J61" s="1">
        <f t="shared" si="126"/>
        <v>1</v>
      </c>
      <c r="K61" s="1">
        <f t="shared" si="126"/>
        <v>2</v>
      </c>
      <c r="L61" s="1">
        <f t="shared" si="126"/>
        <v>3</v>
      </c>
      <c r="M61" s="1">
        <f t="shared" si="126"/>
        <v>4</v>
      </c>
      <c r="N61" s="1">
        <f t="shared" si="126"/>
        <v>3</v>
      </c>
      <c r="O61" s="1" t="str">
        <f t="shared" si="6"/>
        <v/>
      </c>
      <c r="P61" s="1">
        <f t="shared" ref="P61:AB61" si="127">if(C$2="","",C61*P$1)</f>
        <v>1521</v>
      </c>
      <c r="Q61" s="1" t="str">
        <f t="shared" si="127"/>
        <v/>
      </c>
      <c r="R61" s="1" t="str">
        <f t="shared" si="127"/>
        <v/>
      </c>
      <c r="S61" s="1" t="str">
        <f t="shared" si="127"/>
        <v/>
      </c>
      <c r="T61" s="1">
        <f t="shared" si="127"/>
        <v>16490</v>
      </c>
      <c r="U61" s="1" t="str">
        <f t="shared" si="127"/>
        <v/>
      </c>
      <c r="V61" s="1" t="str">
        <f t="shared" si="127"/>
        <v/>
      </c>
      <c r="W61" s="1">
        <f t="shared" si="127"/>
        <v>14760.70996</v>
      </c>
      <c r="X61" s="1">
        <f t="shared" si="127"/>
        <v>8800</v>
      </c>
      <c r="Y61" s="1">
        <f t="shared" si="127"/>
        <v>30300</v>
      </c>
      <c r="Z61" s="1">
        <f t="shared" si="127"/>
        <v>42000</v>
      </c>
      <c r="AA61" s="1">
        <f t="shared" si="127"/>
        <v>300442.2188</v>
      </c>
      <c r="AB61" s="1" t="str">
        <f t="shared" si="127"/>
        <v/>
      </c>
      <c r="AC61" s="1" t="str">
        <f>if(Calculator!$C$8,SUM(P61:AB61),"")</f>
        <v/>
      </c>
      <c r="AE61" s="1">
        <f t="shared" si="8"/>
        <v>7761.715003</v>
      </c>
      <c r="AF61" s="1">
        <f t="shared" si="9"/>
        <v>468526.3001</v>
      </c>
      <c r="AG61" s="1">
        <f t="shared" si="10"/>
        <v>7941.12373</v>
      </c>
      <c r="AH61" s="1">
        <f t="shared" si="11"/>
        <v>7022.269978</v>
      </c>
      <c r="AI61" s="1">
        <f t="shared" si="15"/>
        <v>918.8537523</v>
      </c>
      <c r="AJ61" s="1" t="str">
        <f t="shared" si="12"/>
        <v/>
      </c>
    </row>
    <row r="62">
      <c r="A62" s="5">
        <v>59.0</v>
      </c>
      <c r="B62" s="8">
        <f t="shared" si="4"/>
        <v>0.9681099696</v>
      </c>
      <c r="C62" s="4">
        <f t="shared" ref="C62:N62" si="128">IF(C$2="","",C$1-_xlfn.FLOOR.MATH(C$1*(180-MIN(180,$A62))/180))</f>
        <v>40</v>
      </c>
      <c r="D62" s="1" t="str">
        <f t="shared" si="128"/>
        <v/>
      </c>
      <c r="E62" s="1" t="str">
        <f t="shared" si="128"/>
        <v/>
      </c>
      <c r="F62" s="1" t="str">
        <f t="shared" si="128"/>
        <v/>
      </c>
      <c r="G62" s="1">
        <f t="shared" si="128"/>
        <v>99</v>
      </c>
      <c r="H62" s="1" t="str">
        <f t="shared" si="128"/>
        <v/>
      </c>
      <c r="I62" s="1" t="str">
        <f t="shared" si="128"/>
        <v/>
      </c>
      <c r="J62" s="1">
        <f t="shared" si="128"/>
        <v>1</v>
      </c>
      <c r="K62" s="1">
        <f t="shared" si="128"/>
        <v>2</v>
      </c>
      <c r="L62" s="1">
        <f t="shared" si="128"/>
        <v>3</v>
      </c>
      <c r="M62" s="1">
        <f t="shared" si="128"/>
        <v>4</v>
      </c>
      <c r="N62" s="1">
        <f t="shared" si="128"/>
        <v>3</v>
      </c>
      <c r="O62" s="1" t="str">
        <f t="shared" si="6"/>
        <v/>
      </c>
      <c r="P62" s="1">
        <f t="shared" ref="P62:AB62" si="129">if(C$2="","",C62*P$1)</f>
        <v>1560</v>
      </c>
      <c r="Q62" s="1" t="str">
        <f t="shared" si="129"/>
        <v/>
      </c>
      <c r="R62" s="1" t="str">
        <f t="shared" si="129"/>
        <v/>
      </c>
      <c r="S62" s="1" t="str">
        <f t="shared" si="129"/>
        <v/>
      </c>
      <c r="T62" s="1">
        <f t="shared" si="129"/>
        <v>16830</v>
      </c>
      <c r="U62" s="1" t="str">
        <f t="shared" si="129"/>
        <v/>
      </c>
      <c r="V62" s="1" t="str">
        <f t="shared" si="129"/>
        <v/>
      </c>
      <c r="W62" s="1">
        <f t="shared" si="129"/>
        <v>14760.70996</v>
      </c>
      <c r="X62" s="1">
        <f t="shared" si="129"/>
        <v>8800</v>
      </c>
      <c r="Y62" s="1">
        <f t="shared" si="129"/>
        <v>30300</v>
      </c>
      <c r="Z62" s="1">
        <f t="shared" si="129"/>
        <v>42000</v>
      </c>
      <c r="AA62" s="1">
        <f t="shared" si="129"/>
        <v>300442.2188</v>
      </c>
      <c r="AB62" s="1" t="str">
        <f t="shared" si="129"/>
        <v/>
      </c>
      <c r="AC62" s="1" t="str">
        <f>if(Calculator!$C$8,SUM(P62:AB62),"")</f>
        <v/>
      </c>
      <c r="AE62" s="1">
        <f t="shared" si="8"/>
        <v>7744.879757</v>
      </c>
      <c r="AF62" s="1">
        <f t="shared" si="9"/>
        <v>476271.1799</v>
      </c>
      <c r="AG62" s="1">
        <f t="shared" si="10"/>
        <v>7937.852998</v>
      </c>
      <c r="AH62" s="1">
        <f t="shared" si="11"/>
        <v>6911.548812</v>
      </c>
      <c r="AI62" s="1">
        <f t="shared" si="15"/>
        <v>1026.304186</v>
      </c>
      <c r="AJ62" s="1" t="str">
        <f t="shared" si="12"/>
        <v/>
      </c>
    </row>
    <row r="63">
      <c r="A63" s="5">
        <v>60.0</v>
      </c>
      <c r="B63" s="8">
        <f t="shared" si="4"/>
        <v>0.9658648113</v>
      </c>
      <c r="C63" s="4">
        <f t="shared" ref="C63:N63" si="130">IF(C$2="","",C$1-_xlfn.FLOOR.MATH(C$1*(180-MIN(180,$A63))/180))</f>
        <v>40</v>
      </c>
      <c r="D63" s="1" t="str">
        <f t="shared" si="130"/>
        <v/>
      </c>
      <c r="E63" s="1" t="str">
        <f t="shared" si="130"/>
        <v/>
      </c>
      <c r="F63" s="1" t="str">
        <f t="shared" si="130"/>
        <v/>
      </c>
      <c r="G63" s="1">
        <f t="shared" si="130"/>
        <v>100</v>
      </c>
      <c r="H63" s="1" t="str">
        <f t="shared" si="130"/>
        <v/>
      </c>
      <c r="I63" s="1" t="str">
        <f t="shared" si="130"/>
        <v/>
      </c>
      <c r="J63" s="1">
        <f t="shared" si="130"/>
        <v>1</v>
      </c>
      <c r="K63" s="1">
        <f t="shared" si="130"/>
        <v>2</v>
      </c>
      <c r="L63" s="1">
        <f t="shared" si="130"/>
        <v>3</v>
      </c>
      <c r="M63" s="1">
        <f t="shared" si="130"/>
        <v>4</v>
      </c>
      <c r="N63" s="1">
        <f t="shared" si="130"/>
        <v>3</v>
      </c>
      <c r="O63" s="1" t="str">
        <f t="shared" si="6"/>
        <v/>
      </c>
      <c r="P63" s="1">
        <f t="shared" ref="P63:AB63" si="131">if(C$2="","",C63*P$1)</f>
        <v>1560</v>
      </c>
      <c r="Q63" s="1" t="str">
        <f t="shared" si="131"/>
        <v/>
      </c>
      <c r="R63" s="1" t="str">
        <f t="shared" si="131"/>
        <v/>
      </c>
      <c r="S63" s="1" t="str">
        <f t="shared" si="131"/>
        <v/>
      </c>
      <c r="T63" s="1">
        <f t="shared" si="131"/>
        <v>17000</v>
      </c>
      <c r="U63" s="1" t="str">
        <f t="shared" si="131"/>
        <v/>
      </c>
      <c r="V63" s="1" t="str">
        <f t="shared" si="131"/>
        <v/>
      </c>
      <c r="W63" s="1">
        <f t="shared" si="131"/>
        <v>14760.70996</v>
      </c>
      <c r="X63" s="1">
        <f t="shared" si="131"/>
        <v>8800</v>
      </c>
      <c r="Y63" s="1">
        <f t="shared" si="131"/>
        <v>30300</v>
      </c>
      <c r="Z63" s="1">
        <f t="shared" si="131"/>
        <v>42000</v>
      </c>
      <c r="AA63" s="1">
        <f t="shared" si="131"/>
        <v>300442.2188</v>
      </c>
      <c r="AB63" s="1" t="str">
        <f t="shared" si="131"/>
        <v/>
      </c>
      <c r="AC63" s="1" t="str">
        <f>if(Calculator!$C$8,SUM(P63:AB63),"")</f>
        <v/>
      </c>
      <c r="AE63" s="1">
        <f t="shared" si="8"/>
        <v>7726.91849</v>
      </c>
      <c r="AF63" s="1">
        <f t="shared" si="9"/>
        <v>483998.0983</v>
      </c>
      <c r="AG63" s="1">
        <f t="shared" si="10"/>
        <v>7934.395055</v>
      </c>
      <c r="AH63" s="1">
        <f t="shared" si="11"/>
        <v>6801.031618</v>
      </c>
      <c r="AI63" s="1">
        <f t="shared" si="15"/>
        <v>1133.363437</v>
      </c>
      <c r="AJ63" s="1" t="str">
        <f t="shared" si="12"/>
        <v/>
      </c>
    </row>
    <row r="64">
      <c r="A64" s="5">
        <v>61.0</v>
      </c>
      <c r="B64" s="8">
        <f t="shared" si="4"/>
        <v>0.9634706354</v>
      </c>
      <c r="C64" s="4">
        <f t="shared" ref="C64:N64" si="132">IF(C$2="","",C$1-_xlfn.FLOOR.MATH(C$1*(180-MIN(180,$A64))/180))</f>
        <v>41</v>
      </c>
      <c r="D64" s="1" t="str">
        <f t="shared" si="132"/>
        <v/>
      </c>
      <c r="E64" s="1" t="str">
        <f t="shared" si="132"/>
        <v/>
      </c>
      <c r="F64" s="1" t="str">
        <f t="shared" si="132"/>
        <v/>
      </c>
      <c r="G64" s="1">
        <f t="shared" si="132"/>
        <v>102</v>
      </c>
      <c r="H64" s="1" t="str">
        <f t="shared" si="132"/>
        <v/>
      </c>
      <c r="I64" s="1" t="str">
        <f t="shared" si="132"/>
        <v/>
      </c>
      <c r="J64" s="1">
        <f t="shared" si="132"/>
        <v>1</v>
      </c>
      <c r="K64" s="1">
        <f t="shared" si="132"/>
        <v>3</v>
      </c>
      <c r="L64" s="1">
        <f t="shared" si="132"/>
        <v>3</v>
      </c>
      <c r="M64" s="1">
        <f t="shared" si="132"/>
        <v>5</v>
      </c>
      <c r="N64" s="1">
        <f t="shared" si="132"/>
        <v>3</v>
      </c>
      <c r="O64" s="1" t="str">
        <f t="shared" si="6"/>
        <v/>
      </c>
      <c r="P64" s="1">
        <f t="shared" ref="P64:AB64" si="133">if(C$2="","",C64*P$1)</f>
        <v>1599</v>
      </c>
      <c r="Q64" s="1" t="str">
        <f t="shared" si="133"/>
        <v/>
      </c>
      <c r="R64" s="1" t="str">
        <f t="shared" si="133"/>
        <v/>
      </c>
      <c r="S64" s="1" t="str">
        <f t="shared" si="133"/>
        <v/>
      </c>
      <c r="T64" s="1">
        <f t="shared" si="133"/>
        <v>17340</v>
      </c>
      <c r="U64" s="1" t="str">
        <f t="shared" si="133"/>
        <v/>
      </c>
      <c r="V64" s="1" t="str">
        <f t="shared" si="133"/>
        <v/>
      </c>
      <c r="W64" s="1">
        <f t="shared" si="133"/>
        <v>14760.70996</v>
      </c>
      <c r="X64" s="1">
        <f t="shared" si="133"/>
        <v>13200</v>
      </c>
      <c r="Y64" s="1">
        <f t="shared" si="133"/>
        <v>30300</v>
      </c>
      <c r="Z64" s="1">
        <f t="shared" si="133"/>
        <v>52500</v>
      </c>
      <c r="AA64" s="1">
        <f t="shared" si="133"/>
        <v>300442.2188</v>
      </c>
      <c r="AB64" s="1" t="str">
        <f t="shared" si="133"/>
        <v/>
      </c>
      <c r="AC64" s="1" t="str">
        <f>if(Calculator!$C$8,SUM(P64:AB64),"")</f>
        <v/>
      </c>
      <c r="AE64" s="1">
        <f t="shared" si="8"/>
        <v>7707.765083</v>
      </c>
      <c r="AF64" s="1">
        <f t="shared" si="9"/>
        <v>491705.8634</v>
      </c>
      <c r="AG64" s="1">
        <f t="shared" si="10"/>
        <v>7930.739733</v>
      </c>
      <c r="AH64" s="1">
        <f t="shared" si="11"/>
        <v>6937.773044</v>
      </c>
      <c r="AI64" s="1">
        <f t="shared" si="15"/>
        <v>992.966689</v>
      </c>
      <c r="AJ64" s="1" t="str">
        <f t="shared" si="12"/>
        <v/>
      </c>
    </row>
    <row r="65">
      <c r="A65" s="5">
        <v>62.0</v>
      </c>
      <c r="B65" s="8">
        <f t="shared" si="4"/>
        <v>0.9609188575</v>
      </c>
      <c r="C65" s="4">
        <f t="shared" ref="C65:N65" si="134">IF(C$2="","",C$1-_xlfn.FLOOR.MATH(C$1*(180-MIN(180,$A65))/180))</f>
        <v>42</v>
      </c>
      <c r="D65" s="1" t="str">
        <f t="shared" si="134"/>
        <v/>
      </c>
      <c r="E65" s="1" t="str">
        <f t="shared" si="134"/>
        <v/>
      </c>
      <c r="F65" s="1" t="str">
        <f t="shared" si="134"/>
        <v/>
      </c>
      <c r="G65" s="1">
        <f t="shared" si="134"/>
        <v>104</v>
      </c>
      <c r="H65" s="1" t="str">
        <f t="shared" si="134"/>
        <v/>
      </c>
      <c r="I65" s="1" t="str">
        <f t="shared" si="134"/>
        <v/>
      </c>
      <c r="J65" s="1">
        <f t="shared" si="134"/>
        <v>1</v>
      </c>
      <c r="K65" s="1">
        <f t="shared" si="134"/>
        <v>3</v>
      </c>
      <c r="L65" s="1">
        <f t="shared" si="134"/>
        <v>3</v>
      </c>
      <c r="M65" s="1">
        <f t="shared" si="134"/>
        <v>5</v>
      </c>
      <c r="N65" s="1">
        <f t="shared" si="134"/>
        <v>3</v>
      </c>
      <c r="O65" s="1" t="str">
        <f t="shared" si="6"/>
        <v/>
      </c>
      <c r="P65" s="1">
        <f t="shared" ref="P65:AB65" si="135">if(C$2="","",C65*P$1)</f>
        <v>1638</v>
      </c>
      <c r="Q65" s="1" t="str">
        <f t="shared" si="135"/>
        <v/>
      </c>
      <c r="R65" s="1" t="str">
        <f t="shared" si="135"/>
        <v/>
      </c>
      <c r="S65" s="1" t="str">
        <f t="shared" si="135"/>
        <v/>
      </c>
      <c r="T65" s="1">
        <f t="shared" si="135"/>
        <v>17680</v>
      </c>
      <c r="U65" s="1" t="str">
        <f t="shared" si="135"/>
        <v/>
      </c>
      <c r="V65" s="1" t="str">
        <f t="shared" si="135"/>
        <v/>
      </c>
      <c r="W65" s="1">
        <f t="shared" si="135"/>
        <v>14760.70996</v>
      </c>
      <c r="X65" s="1">
        <f t="shared" si="135"/>
        <v>13200</v>
      </c>
      <c r="Y65" s="1">
        <f t="shared" si="135"/>
        <v>30300</v>
      </c>
      <c r="Z65" s="1">
        <f t="shared" si="135"/>
        <v>52500</v>
      </c>
      <c r="AA65" s="1">
        <f t="shared" si="135"/>
        <v>300442.2188</v>
      </c>
      <c r="AB65" s="1" t="str">
        <f t="shared" si="135"/>
        <v/>
      </c>
      <c r="AC65" s="1" t="str">
        <f>if(Calculator!$C$8,SUM(P65:AB65),"")</f>
        <v/>
      </c>
      <c r="AE65" s="1">
        <f t="shared" si="8"/>
        <v>7687.35086</v>
      </c>
      <c r="AF65" s="1">
        <f t="shared" si="9"/>
        <v>499393.2143</v>
      </c>
      <c r="AG65" s="1">
        <f t="shared" si="10"/>
        <v>7926.876417</v>
      </c>
      <c r="AH65" s="1">
        <f t="shared" si="11"/>
        <v>6833.665535</v>
      </c>
      <c r="AI65" s="1">
        <f t="shared" si="15"/>
        <v>1093.210882</v>
      </c>
      <c r="AJ65" s="1" t="str">
        <f t="shared" si="12"/>
        <v/>
      </c>
    </row>
    <row r="66">
      <c r="A66" s="5">
        <v>63.0</v>
      </c>
      <c r="B66" s="8">
        <f t="shared" si="4"/>
        <v>0.958200586</v>
      </c>
      <c r="C66" s="4">
        <f t="shared" ref="C66:N66" si="136">IF(C$2="","",C$1-_xlfn.FLOOR.MATH(C$1*(180-MIN(180,$A66))/180))</f>
        <v>42</v>
      </c>
      <c r="D66" s="1" t="str">
        <f t="shared" si="136"/>
        <v/>
      </c>
      <c r="E66" s="1" t="str">
        <f t="shared" si="136"/>
        <v/>
      </c>
      <c r="F66" s="1" t="str">
        <f t="shared" si="136"/>
        <v/>
      </c>
      <c r="G66" s="1">
        <f t="shared" si="136"/>
        <v>105</v>
      </c>
      <c r="H66" s="1" t="str">
        <f t="shared" si="136"/>
        <v/>
      </c>
      <c r="I66" s="1" t="str">
        <f t="shared" si="136"/>
        <v/>
      </c>
      <c r="J66" s="1">
        <f t="shared" si="136"/>
        <v>1</v>
      </c>
      <c r="K66" s="1">
        <f t="shared" si="136"/>
        <v>3</v>
      </c>
      <c r="L66" s="1">
        <f t="shared" si="136"/>
        <v>3</v>
      </c>
      <c r="M66" s="1">
        <f t="shared" si="136"/>
        <v>5</v>
      </c>
      <c r="N66" s="1">
        <f t="shared" si="136"/>
        <v>3</v>
      </c>
      <c r="O66" s="1" t="str">
        <f t="shared" si="6"/>
        <v/>
      </c>
      <c r="P66" s="1">
        <f t="shared" ref="P66:AB66" si="137">if(C$2="","",C66*P$1)</f>
        <v>1638</v>
      </c>
      <c r="Q66" s="1" t="str">
        <f t="shared" si="137"/>
        <v/>
      </c>
      <c r="R66" s="1" t="str">
        <f t="shared" si="137"/>
        <v/>
      </c>
      <c r="S66" s="1" t="str">
        <f t="shared" si="137"/>
        <v/>
      </c>
      <c r="T66" s="1">
        <f t="shared" si="137"/>
        <v>17850</v>
      </c>
      <c r="U66" s="1" t="str">
        <f t="shared" si="137"/>
        <v/>
      </c>
      <c r="V66" s="1" t="str">
        <f t="shared" si="137"/>
        <v/>
      </c>
      <c r="W66" s="1">
        <f t="shared" si="137"/>
        <v>14760.70996</v>
      </c>
      <c r="X66" s="1">
        <f t="shared" si="137"/>
        <v>13200</v>
      </c>
      <c r="Y66" s="1">
        <f t="shared" si="137"/>
        <v>30300</v>
      </c>
      <c r="Z66" s="1">
        <f t="shared" si="137"/>
        <v>52500</v>
      </c>
      <c r="AA66" s="1">
        <f t="shared" si="137"/>
        <v>300442.2188</v>
      </c>
      <c r="AB66" s="1" t="str">
        <f t="shared" si="137"/>
        <v/>
      </c>
      <c r="AC66" s="1" t="str">
        <f>if(Calculator!$C$8,SUM(P66:AB66),"")</f>
        <v/>
      </c>
      <c r="AE66" s="1">
        <f t="shared" si="8"/>
        <v>7665.604688</v>
      </c>
      <c r="AF66" s="1">
        <f t="shared" si="9"/>
        <v>507058.819</v>
      </c>
      <c r="AG66" s="1">
        <f t="shared" si="10"/>
        <v>7922.794046</v>
      </c>
      <c r="AH66" s="1">
        <f t="shared" si="11"/>
        <v>6729.545761</v>
      </c>
      <c r="AI66" s="1">
        <f t="shared" si="15"/>
        <v>1193.248285</v>
      </c>
      <c r="AJ66" s="1" t="str">
        <f t="shared" si="12"/>
        <v/>
      </c>
    </row>
    <row r="67">
      <c r="A67" s="5">
        <v>64.0</v>
      </c>
      <c r="B67" s="8">
        <f t="shared" si="4"/>
        <v>0.9553066396</v>
      </c>
      <c r="C67" s="4">
        <f t="shared" ref="C67:N67" si="138">IF(C$2="","",C$1-_xlfn.FLOOR.MATH(C$1*(180-MIN(180,$A67))/180))</f>
        <v>43</v>
      </c>
      <c r="D67" s="1" t="str">
        <f t="shared" si="138"/>
        <v/>
      </c>
      <c r="E67" s="1" t="str">
        <f t="shared" si="138"/>
        <v/>
      </c>
      <c r="F67" s="1" t="str">
        <f t="shared" si="138"/>
        <v/>
      </c>
      <c r="G67" s="1">
        <f t="shared" si="138"/>
        <v>107</v>
      </c>
      <c r="H67" s="1" t="str">
        <f t="shared" si="138"/>
        <v/>
      </c>
      <c r="I67" s="1" t="str">
        <f t="shared" si="138"/>
        <v/>
      </c>
      <c r="J67" s="1">
        <f t="shared" si="138"/>
        <v>1</v>
      </c>
      <c r="K67" s="1">
        <f t="shared" si="138"/>
        <v>3</v>
      </c>
      <c r="L67" s="1">
        <f t="shared" si="138"/>
        <v>3</v>
      </c>
      <c r="M67" s="1">
        <f t="shared" si="138"/>
        <v>5</v>
      </c>
      <c r="N67" s="1">
        <f t="shared" si="138"/>
        <v>3</v>
      </c>
      <c r="O67" s="1" t="str">
        <f t="shared" si="6"/>
        <v/>
      </c>
      <c r="P67" s="1">
        <f t="shared" ref="P67:AB67" si="139">if(C$2="","",C67*P$1)</f>
        <v>1677</v>
      </c>
      <c r="Q67" s="1" t="str">
        <f t="shared" si="139"/>
        <v/>
      </c>
      <c r="R67" s="1" t="str">
        <f t="shared" si="139"/>
        <v/>
      </c>
      <c r="S67" s="1" t="str">
        <f t="shared" si="139"/>
        <v/>
      </c>
      <c r="T67" s="1">
        <f t="shared" si="139"/>
        <v>18190</v>
      </c>
      <c r="U67" s="1" t="str">
        <f t="shared" si="139"/>
        <v/>
      </c>
      <c r="V67" s="1" t="str">
        <f t="shared" si="139"/>
        <v/>
      </c>
      <c r="W67" s="1">
        <f t="shared" si="139"/>
        <v>14760.70996</v>
      </c>
      <c r="X67" s="1">
        <f t="shared" si="139"/>
        <v>13200</v>
      </c>
      <c r="Y67" s="1">
        <f t="shared" si="139"/>
        <v>30300</v>
      </c>
      <c r="Z67" s="1">
        <f t="shared" si="139"/>
        <v>52500</v>
      </c>
      <c r="AA67" s="1">
        <f t="shared" si="139"/>
        <v>300442.2188</v>
      </c>
      <c r="AB67" s="1" t="str">
        <f t="shared" si="139"/>
        <v/>
      </c>
      <c r="AC67" s="1" t="str">
        <f>if(Calculator!$C$8,SUM(P67:AB67),"")</f>
        <v/>
      </c>
      <c r="AE67" s="1">
        <f t="shared" si="8"/>
        <v>7642.453117</v>
      </c>
      <c r="AF67" s="1">
        <f t="shared" si="9"/>
        <v>514701.2721</v>
      </c>
      <c r="AG67" s="1">
        <f t="shared" si="10"/>
        <v>7918.481109</v>
      </c>
      <c r="AH67" s="1">
        <f t="shared" si="11"/>
        <v>6631.845057</v>
      </c>
      <c r="AI67" s="1">
        <f t="shared" si="15"/>
        <v>1286.636052</v>
      </c>
      <c r="AJ67" s="1" t="str">
        <f t="shared" si="12"/>
        <v/>
      </c>
    </row>
    <row r="68">
      <c r="A68" s="5">
        <v>65.0</v>
      </c>
      <c r="B68" s="8">
        <f t="shared" si="4"/>
        <v>0.95222757</v>
      </c>
      <c r="C68" s="4">
        <f t="shared" ref="C68:N68" si="140">IF(C$2="","",C$1-_xlfn.FLOOR.MATH(C$1*(180-MIN(180,$A68))/180))</f>
        <v>44</v>
      </c>
      <c r="D68" s="1" t="str">
        <f t="shared" si="140"/>
        <v/>
      </c>
      <c r="E68" s="1" t="str">
        <f t="shared" si="140"/>
        <v/>
      </c>
      <c r="F68" s="1" t="str">
        <f t="shared" si="140"/>
        <v/>
      </c>
      <c r="G68" s="1">
        <f t="shared" si="140"/>
        <v>109</v>
      </c>
      <c r="H68" s="1" t="str">
        <f t="shared" si="140"/>
        <v/>
      </c>
      <c r="I68" s="1" t="str">
        <f t="shared" si="140"/>
        <v/>
      </c>
      <c r="J68" s="1">
        <f t="shared" si="140"/>
        <v>1</v>
      </c>
      <c r="K68" s="1">
        <f t="shared" si="140"/>
        <v>3</v>
      </c>
      <c r="L68" s="1">
        <f t="shared" si="140"/>
        <v>3</v>
      </c>
      <c r="M68" s="1">
        <f t="shared" si="140"/>
        <v>5</v>
      </c>
      <c r="N68" s="1">
        <f t="shared" si="140"/>
        <v>3</v>
      </c>
      <c r="O68" s="1" t="str">
        <f t="shared" si="6"/>
        <v/>
      </c>
      <c r="P68" s="1">
        <f t="shared" ref="P68:AB68" si="141">if(C$2="","",C68*P$1)</f>
        <v>1716</v>
      </c>
      <c r="Q68" s="1" t="str">
        <f t="shared" si="141"/>
        <v/>
      </c>
      <c r="R68" s="1" t="str">
        <f t="shared" si="141"/>
        <v/>
      </c>
      <c r="S68" s="1" t="str">
        <f t="shared" si="141"/>
        <v/>
      </c>
      <c r="T68" s="1">
        <f t="shared" si="141"/>
        <v>18530</v>
      </c>
      <c r="U68" s="1" t="str">
        <f t="shared" si="141"/>
        <v/>
      </c>
      <c r="V68" s="1" t="str">
        <f t="shared" si="141"/>
        <v/>
      </c>
      <c r="W68" s="1">
        <f t="shared" si="141"/>
        <v>14760.70996</v>
      </c>
      <c r="X68" s="1">
        <f t="shared" si="141"/>
        <v>13200</v>
      </c>
      <c r="Y68" s="1">
        <f t="shared" si="141"/>
        <v>30300</v>
      </c>
      <c r="Z68" s="1">
        <f t="shared" si="141"/>
        <v>52500</v>
      </c>
      <c r="AA68" s="1">
        <f t="shared" si="141"/>
        <v>300442.2188</v>
      </c>
      <c r="AB68" s="1" t="str">
        <f t="shared" si="141"/>
        <v/>
      </c>
      <c r="AC68" s="1" t="str">
        <f>if(Calculator!$C$8,SUM(P68:AB68),"")</f>
        <v/>
      </c>
      <c r="AE68" s="1">
        <f t="shared" si="8"/>
        <v>7617.82056</v>
      </c>
      <c r="AF68" s="1">
        <f t="shared" si="9"/>
        <v>522319.0927</v>
      </c>
      <c r="AG68" s="1">
        <f t="shared" si="10"/>
        <v>7913.925646</v>
      </c>
      <c r="AH68" s="1">
        <f t="shared" si="11"/>
        <v>6537.10498</v>
      </c>
      <c r="AI68" s="1">
        <f t="shared" si="15"/>
        <v>1376.820666</v>
      </c>
      <c r="AJ68" s="1" t="str">
        <f t="shared" si="12"/>
        <v/>
      </c>
    </row>
    <row r="69">
      <c r="A69" s="5">
        <v>66.0</v>
      </c>
      <c r="B69" s="8">
        <f t="shared" si="4"/>
        <v>0.9489536902</v>
      </c>
      <c r="C69" s="4">
        <f t="shared" ref="C69:N69" si="142">IF(C$2="","",C$1-_xlfn.FLOOR.MATH(C$1*(180-MIN(180,$A69))/180))</f>
        <v>44</v>
      </c>
      <c r="D69" s="1" t="str">
        <f t="shared" si="142"/>
        <v/>
      </c>
      <c r="E69" s="1" t="str">
        <f t="shared" si="142"/>
        <v/>
      </c>
      <c r="F69" s="1" t="str">
        <f t="shared" si="142"/>
        <v/>
      </c>
      <c r="G69" s="1">
        <f t="shared" si="142"/>
        <v>110</v>
      </c>
      <c r="H69" s="1" t="str">
        <f t="shared" si="142"/>
        <v/>
      </c>
      <c r="I69" s="1" t="str">
        <f t="shared" si="142"/>
        <v/>
      </c>
      <c r="J69" s="1">
        <f t="shared" si="142"/>
        <v>1</v>
      </c>
      <c r="K69" s="1">
        <f t="shared" si="142"/>
        <v>3</v>
      </c>
      <c r="L69" s="1">
        <f t="shared" si="142"/>
        <v>3</v>
      </c>
      <c r="M69" s="1">
        <f t="shared" si="142"/>
        <v>5</v>
      </c>
      <c r="N69" s="1">
        <f t="shared" si="142"/>
        <v>3</v>
      </c>
      <c r="O69" s="1" t="str">
        <f t="shared" si="6"/>
        <v/>
      </c>
      <c r="P69" s="1">
        <f t="shared" ref="P69:AB69" si="143">if(C$2="","",C69*P$1)</f>
        <v>1716</v>
      </c>
      <c r="Q69" s="1" t="str">
        <f t="shared" si="143"/>
        <v/>
      </c>
      <c r="R69" s="1" t="str">
        <f t="shared" si="143"/>
        <v/>
      </c>
      <c r="S69" s="1" t="str">
        <f t="shared" si="143"/>
        <v/>
      </c>
      <c r="T69" s="1">
        <f t="shared" si="143"/>
        <v>18700</v>
      </c>
      <c r="U69" s="1" t="str">
        <f t="shared" si="143"/>
        <v/>
      </c>
      <c r="V69" s="1" t="str">
        <f t="shared" si="143"/>
        <v/>
      </c>
      <c r="W69" s="1">
        <f t="shared" si="143"/>
        <v>14760.70996</v>
      </c>
      <c r="X69" s="1">
        <f t="shared" si="143"/>
        <v>13200</v>
      </c>
      <c r="Y69" s="1">
        <f t="shared" si="143"/>
        <v>30300</v>
      </c>
      <c r="Z69" s="1">
        <f t="shared" si="143"/>
        <v>52500</v>
      </c>
      <c r="AA69" s="1">
        <f t="shared" si="143"/>
        <v>300442.2188</v>
      </c>
      <c r="AB69" s="1" t="str">
        <f t="shared" si="143"/>
        <v/>
      </c>
      <c r="AC69" s="1" t="str">
        <f>if(Calculator!$C$8,SUM(P69:AB69),"")</f>
        <v/>
      </c>
      <c r="AE69" s="1">
        <f t="shared" si="8"/>
        <v>7591.629522</v>
      </c>
      <c r="AF69" s="1">
        <f t="shared" si="9"/>
        <v>529910.7222</v>
      </c>
      <c r="AG69" s="1">
        <f t="shared" si="10"/>
        <v>7909.115256</v>
      </c>
      <c r="AH69" s="1">
        <f t="shared" si="11"/>
        <v>6442.073563</v>
      </c>
      <c r="AI69" s="1">
        <f t="shared" si="15"/>
        <v>1467.041693</v>
      </c>
      <c r="AJ69" s="1" t="str">
        <f t="shared" si="12"/>
        <v/>
      </c>
    </row>
    <row r="70">
      <c r="A70" s="5">
        <v>67.0</v>
      </c>
      <c r="B70" s="8">
        <f t="shared" si="4"/>
        <v>0.9454751094</v>
      </c>
      <c r="C70" s="4">
        <f t="shared" ref="C70:N70" si="144">IF(C$2="","",C$1-_xlfn.FLOOR.MATH(C$1*(180-MIN(180,$A70))/180))</f>
        <v>45</v>
      </c>
      <c r="D70" s="1" t="str">
        <f t="shared" si="144"/>
        <v/>
      </c>
      <c r="E70" s="1" t="str">
        <f t="shared" si="144"/>
        <v/>
      </c>
      <c r="F70" s="1" t="str">
        <f t="shared" si="144"/>
        <v/>
      </c>
      <c r="G70" s="1">
        <f t="shared" si="144"/>
        <v>112</v>
      </c>
      <c r="H70" s="1" t="str">
        <f t="shared" si="144"/>
        <v/>
      </c>
      <c r="I70" s="1" t="str">
        <f t="shared" si="144"/>
        <v/>
      </c>
      <c r="J70" s="1">
        <f t="shared" si="144"/>
        <v>1</v>
      </c>
      <c r="K70" s="1">
        <f t="shared" si="144"/>
        <v>3</v>
      </c>
      <c r="L70" s="1">
        <f t="shared" si="144"/>
        <v>3</v>
      </c>
      <c r="M70" s="1">
        <f t="shared" si="144"/>
        <v>5</v>
      </c>
      <c r="N70" s="1">
        <f t="shared" si="144"/>
        <v>3</v>
      </c>
      <c r="O70" s="1" t="str">
        <f t="shared" si="6"/>
        <v/>
      </c>
      <c r="P70" s="1">
        <f t="shared" ref="P70:AB70" si="145">if(C$2="","",C70*P$1)</f>
        <v>1755</v>
      </c>
      <c r="Q70" s="1" t="str">
        <f t="shared" si="145"/>
        <v/>
      </c>
      <c r="R70" s="1" t="str">
        <f t="shared" si="145"/>
        <v/>
      </c>
      <c r="S70" s="1" t="str">
        <f t="shared" si="145"/>
        <v/>
      </c>
      <c r="T70" s="1">
        <f t="shared" si="145"/>
        <v>19040</v>
      </c>
      <c r="U70" s="1" t="str">
        <f t="shared" si="145"/>
        <v/>
      </c>
      <c r="V70" s="1" t="str">
        <f t="shared" si="145"/>
        <v/>
      </c>
      <c r="W70" s="1">
        <f t="shared" si="145"/>
        <v>14760.70996</v>
      </c>
      <c r="X70" s="1">
        <f t="shared" si="145"/>
        <v>13200</v>
      </c>
      <c r="Y70" s="1">
        <f t="shared" si="145"/>
        <v>30300</v>
      </c>
      <c r="Z70" s="1">
        <f t="shared" si="145"/>
        <v>52500</v>
      </c>
      <c r="AA70" s="1">
        <f t="shared" si="145"/>
        <v>300442.2188</v>
      </c>
      <c r="AB70" s="1" t="str">
        <f t="shared" si="145"/>
        <v/>
      </c>
      <c r="AC70" s="1" t="str">
        <f>if(Calculator!$C$8,SUM(P70:AB70),"")</f>
        <v/>
      </c>
      <c r="AE70" s="1">
        <f t="shared" si="8"/>
        <v>7563.800875</v>
      </c>
      <c r="AF70" s="1">
        <f t="shared" si="9"/>
        <v>537474.523</v>
      </c>
      <c r="AG70" s="1">
        <f t="shared" si="10"/>
        <v>7904.037104</v>
      </c>
      <c r="AH70" s="1">
        <f t="shared" si="11"/>
        <v>6352.910716</v>
      </c>
      <c r="AI70" s="1">
        <f t="shared" si="15"/>
        <v>1551.126387</v>
      </c>
      <c r="AJ70" s="1" t="str">
        <f t="shared" si="12"/>
        <v/>
      </c>
    </row>
    <row r="71">
      <c r="A71" s="5">
        <v>68.0</v>
      </c>
      <c r="B71" s="8">
        <f t="shared" si="4"/>
        <v>0.9417817754</v>
      </c>
      <c r="C71" s="4">
        <f t="shared" ref="C71:N71" si="146">IF(C$2="","",C$1-_xlfn.FLOOR.MATH(C$1*(180-MIN(180,$A71))/180))</f>
        <v>46</v>
      </c>
      <c r="D71" s="1" t="str">
        <f t="shared" si="146"/>
        <v/>
      </c>
      <c r="E71" s="1" t="str">
        <f t="shared" si="146"/>
        <v/>
      </c>
      <c r="F71" s="1" t="str">
        <f t="shared" si="146"/>
        <v/>
      </c>
      <c r="G71" s="1">
        <f t="shared" si="146"/>
        <v>114</v>
      </c>
      <c r="H71" s="1" t="str">
        <f t="shared" si="146"/>
        <v/>
      </c>
      <c r="I71" s="1" t="str">
        <f t="shared" si="146"/>
        <v/>
      </c>
      <c r="J71" s="1">
        <f t="shared" si="146"/>
        <v>1</v>
      </c>
      <c r="K71" s="1">
        <f t="shared" si="146"/>
        <v>3</v>
      </c>
      <c r="L71" s="1">
        <f t="shared" si="146"/>
        <v>4</v>
      </c>
      <c r="M71" s="1">
        <f t="shared" si="146"/>
        <v>5</v>
      </c>
      <c r="N71" s="1">
        <f t="shared" si="146"/>
        <v>4</v>
      </c>
      <c r="O71" s="1" t="str">
        <f t="shared" si="6"/>
        <v/>
      </c>
      <c r="P71" s="1">
        <f t="shared" ref="P71:AB71" si="147">if(C$2="","",C71*P$1)</f>
        <v>1794</v>
      </c>
      <c r="Q71" s="1" t="str">
        <f t="shared" si="147"/>
        <v/>
      </c>
      <c r="R71" s="1" t="str">
        <f t="shared" si="147"/>
        <v/>
      </c>
      <c r="S71" s="1" t="str">
        <f t="shared" si="147"/>
        <v/>
      </c>
      <c r="T71" s="1">
        <f t="shared" si="147"/>
        <v>19380</v>
      </c>
      <c r="U71" s="1" t="str">
        <f t="shared" si="147"/>
        <v/>
      </c>
      <c r="V71" s="1" t="str">
        <f t="shared" si="147"/>
        <v/>
      </c>
      <c r="W71" s="1">
        <f t="shared" si="147"/>
        <v>14760.70996</v>
      </c>
      <c r="X71" s="1">
        <f t="shared" si="147"/>
        <v>13200</v>
      </c>
      <c r="Y71" s="1">
        <f t="shared" si="147"/>
        <v>40400</v>
      </c>
      <c r="Z71" s="1">
        <f t="shared" si="147"/>
        <v>52500</v>
      </c>
      <c r="AA71" s="1">
        <f t="shared" si="147"/>
        <v>400589.625</v>
      </c>
      <c r="AB71" s="1" t="str">
        <f t="shared" si="147"/>
        <v/>
      </c>
      <c r="AC71" s="1" t="str">
        <f>if(Calculator!$C$8,SUM(P71:AB71),"")</f>
        <v/>
      </c>
      <c r="AE71" s="1">
        <f t="shared" si="8"/>
        <v>7534.254203</v>
      </c>
      <c r="AF71" s="1">
        <f t="shared" si="9"/>
        <v>545008.7773</v>
      </c>
      <c r="AG71" s="1">
        <f t="shared" si="10"/>
        <v>7898.677931</v>
      </c>
      <c r="AH71" s="1">
        <f t="shared" si="11"/>
        <v>7864.120797</v>
      </c>
      <c r="AI71" s="1">
        <f t="shared" si="15"/>
        <v>34.55713467</v>
      </c>
      <c r="AJ71" s="1" t="str">
        <f t="shared" si="12"/>
        <v/>
      </c>
    </row>
    <row r="72">
      <c r="A72" s="5">
        <v>69.0</v>
      </c>
      <c r="B72" s="8">
        <f t="shared" si="4"/>
        <v>0.9378635241</v>
      </c>
      <c r="C72" s="4">
        <f t="shared" ref="C72:N72" si="148">IF(C$2="","",C$1-_xlfn.FLOOR.MATH(C$1*(180-MIN(180,$A72))/180))</f>
        <v>46</v>
      </c>
      <c r="D72" s="1" t="str">
        <f t="shared" si="148"/>
        <v/>
      </c>
      <c r="E72" s="1" t="str">
        <f t="shared" si="148"/>
        <v/>
      </c>
      <c r="F72" s="1" t="str">
        <f t="shared" si="148"/>
        <v/>
      </c>
      <c r="G72" s="1">
        <f t="shared" si="148"/>
        <v>115</v>
      </c>
      <c r="H72" s="1" t="str">
        <f t="shared" si="148"/>
        <v/>
      </c>
      <c r="I72" s="1" t="str">
        <f t="shared" si="148"/>
        <v/>
      </c>
      <c r="J72" s="1">
        <f t="shared" si="148"/>
        <v>1</v>
      </c>
      <c r="K72" s="1">
        <f t="shared" si="148"/>
        <v>3</v>
      </c>
      <c r="L72" s="1">
        <f t="shared" si="148"/>
        <v>4</v>
      </c>
      <c r="M72" s="1">
        <f t="shared" si="148"/>
        <v>5</v>
      </c>
      <c r="N72" s="1">
        <f t="shared" si="148"/>
        <v>4</v>
      </c>
      <c r="O72" s="1" t="str">
        <f t="shared" si="6"/>
        <v/>
      </c>
      <c r="P72" s="1">
        <f t="shared" ref="P72:AB72" si="149">if(C$2="","",C72*P$1)</f>
        <v>1794</v>
      </c>
      <c r="Q72" s="1" t="str">
        <f t="shared" si="149"/>
        <v/>
      </c>
      <c r="R72" s="1" t="str">
        <f t="shared" si="149"/>
        <v/>
      </c>
      <c r="S72" s="1" t="str">
        <f t="shared" si="149"/>
        <v/>
      </c>
      <c r="T72" s="1">
        <f t="shared" si="149"/>
        <v>19550</v>
      </c>
      <c r="U72" s="1" t="str">
        <f t="shared" si="149"/>
        <v/>
      </c>
      <c r="V72" s="1" t="str">
        <f t="shared" si="149"/>
        <v/>
      </c>
      <c r="W72" s="1">
        <f t="shared" si="149"/>
        <v>14760.70996</v>
      </c>
      <c r="X72" s="1">
        <f t="shared" si="149"/>
        <v>13200</v>
      </c>
      <c r="Y72" s="1">
        <f t="shared" si="149"/>
        <v>40400</v>
      </c>
      <c r="Z72" s="1">
        <f t="shared" si="149"/>
        <v>52500</v>
      </c>
      <c r="AA72" s="1">
        <f t="shared" si="149"/>
        <v>400589.625</v>
      </c>
      <c r="AB72" s="1" t="str">
        <f t="shared" si="149"/>
        <v/>
      </c>
      <c r="AC72" s="1" t="str">
        <f>if(Calculator!$C$8,SUM(P72:AB72),"")</f>
        <v/>
      </c>
      <c r="AE72" s="1">
        <f t="shared" si="8"/>
        <v>7502.908193</v>
      </c>
      <c r="AF72" s="1">
        <f t="shared" si="9"/>
        <v>552511.6854</v>
      </c>
      <c r="AG72" s="1">
        <f t="shared" si="10"/>
        <v>7893.024078</v>
      </c>
      <c r="AH72" s="1">
        <f t="shared" si="11"/>
        <v>7754.204785</v>
      </c>
      <c r="AI72" s="1">
        <f t="shared" si="15"/>
        <v>138.8192926</v>
      </c>
      <c r="AJ72" s="1" t="str">
        <f t="shared" si="12"/>
        <v/>
      </c>
    </row>
    <row r="73">
      <c r="A73" s="5">
        <v>70.0</v>
      </c>
      <c r="B73" s="8">
        <f t="shared" si="4"/>
        <v>0.9337101377</v>
      </c>
      <c r="C73" s="4">
        <f t="shared" ref="C73:N73" si="150">IF(C$2="","",C$1-_xlfn.FLOOR.MATH(C$1*(180-MIN(180,$A73))/180))</f>
        <v>47</v>
      </c>
      <c r="D73" s="1" t="str">
        <f t="shared" si="150"/>
        <v/>
      </c>
      <c r="E73" s="1" t="str">
        <f t="shared" si="150"/>
        <v/>
      </c>
      <c r="F73" s="1" t="str">
        <f t="shared" si="150"/>
        <v/>
      </c>
      <c r="G73" s="1">
        <f t="shared" si="150"/>
        <v>117</v>
      </c>
      <c r="H73" s="1" t="str">
        <f t="shared" si="150"/>
        <v/>
      </c>
      <c r="I73" s="1" t="str">
        <f t="shared" si="150"/>
        <v/>
      </c>
      <c r="J73" s="1">
        <f t="shared" si="150"/>
        <v>1</v>
      </c>
      <c r="K73" s="1">
        <f t="shared" si="150"/>
        <v>3</v>
      </c>
      <c r="L73" s="1">
        <f t="shared" si="150"/>
        <v>4</v>
      </c>
      <c r="M73" s="1">
        <f t="shared" si="150"/>
        <v>5</v>
      </c>
      <c r="N73" s="1">
        <f t="shared" si="150"/>
        <v>4</v>
      </c>
      <c r="O73" s="1" t="str">
        <f t="shared" si="6"/>
        <v/>
      </c>
      <c r="P73" s="1">
        <f t="shared" ref="P73:AB73" si="151">if(C$2="","",C73*P$1)</f>
        <v>1833</v>
      </c>
      <c r="Q73" s="1" t="str">
        <f t="shared" si="151"/>
        <v/>
      </c>
      <c r="R73" s="1" t="str">
        <f t="shared" si="151"/>
        <v/>
      </c>
      <c r="S73" s="1" t="str">
        <f t="shared" si="151"/>
        <v/>
      </c>
      <c r="T73" s="1">
        <f t="shared" si="151"/>
        <v>19890</v>
      </c>
      <c r="U73" s="1" t="str">
        <f t="shared" si="151"/>
        <v/>
      </c>
      <c r="V73" s="1" t="str">
        <f t="shared" si="151"/>
        <v/>
      </c>
      <c r="W73" s="1">
        <f t="shared" si="151"/>
        <v>14760.70996</v>
      </c>
      <c r="X73" s="1">
        <f t="shared" si="151"/>
        <v>13200</v>
      </c>
      <c r="Y73" s="1">
        <f t="shared" si="151"/>
        <v>40400</v>
      </c>
      <c r="Z73" s="1">
        <f t="shared" si="151"/>
        <v>52500</v>
      </c>
      <c r="AA73" s="1">
        <f t="shared" si="151"/>
        <v>400589.625</v>
      </c>
      <c r="AB73" s="1" t="str">
        <f t="shared" si="151"/>
        <v/>
      </c>
      <c r="AC73" s="1" t="str">
        <f>if(Calculator!$C$8,SUM(P73:AB73),"")</f>
        <v/>
      </c>
      <c r="AE73" s="1">
        <f t="shared" si="8"/>
        <v>7469.681102</v>
      </c>
      <c r="AF73" s="1">
        <f t="shared" si="9"/>
        <v>559981.3665</v>
      </c>
      <c r="AG73" s="1">
        <f t="shared" si="10"/>
        <v>7887.061501</v>
      </c>
      <c r="AH73" s="1">
        <f t="shared" si="11"/>
        <v>7650.328661</v>
      </c>
      <c r="AI73" s="1">
        <f t="shared" si="15"/>
        <v>236.7328393</v>
      </c>
      <c r="AJ73" s="1" t="str">
        <f t="shared" si="12"/>
        <v/>
      </c>
    </row>
    <row r="74">
      <c r="A74" s="5">
        <v>71.0</v>
      </c>
      <c r="B74" s="8">
        <f t="shared" si="4"/>
        <v>0.9293114117</v>
      </c>
      <c r="C74" s="4">
        <f t="shared" ref="C74:N74" si="152">IF(C$2="","",C$1-_xlfn.FLOOR.MATH(C$1*(180-MIN(180,$A74))/180))</f>
        <v>48</v>
      </c>
      <c r="D74" s="1" t="str">
        <f t="shared" si="152"/>
        <v/>
      </c>
      <c r="E74" s="1" t="str">
        <f t="shared" si="152"/>
        <v/>
      </c>
      <c r="F74" s="1" t="str">
        <f t="shared" si="152"/>
        <v/>
      </c>
      <c r="G74" s="1">
        <f t="shared" si="152"/>
        <v>119</v>
      </c>
      <c r="H74" s="1" t="str">
        <f t="shared" si="152"/>
        <v/>
      </c>
      <c r="I74" s="1" t="str">
        <f t="shared" si="152"/>
        <v/>
      </c>
      <c r="J74" s="1">
        <f t="shared" si="152"/>
        <v>1</v>
      </c>
      <c r="K74" s="1">
        <f t="shared" si="152"/>
        <v>3</v>
      </c>
      <c r="L74" s="1">
        <f t="shared" si="152"/>
        <v>4</v>
      </c>
      <c r="M74" s="1">
        <f t="shared" si="152"/>
        <v>5</v>
      </c>
      <c r="N74" s="1">
        <f t="shared" si="152"/>
        <v>4</v>
      </c>
      <c r="O74" s="1" t="str">
        <f t="shared" si="6"/>
        <v/>
      </c>
      <c r="P74" s="1">
        <f t="shared" ref="P74:AB74" si="153">if(C$2="","",C74*P$1)</f>
        <v>1872</v>
      </c>
      <c r="Q74" s="1" t="str">
        <f t="shared" si="153"/>
        <v/>
      </c>
      <c r="R74" s="1" t="str">
        <f t="shared" si="153"/>
        <v/>
      </c>
      <c r="S74" s="1" t="str">
        <f t="shared" si="153"/>
        <v/>
      </c>
      <c r="T74" s="1">
        <f t="shared" si="153"/>
        <v>20230</v>
      </c>
      <c r="U74" s="1" t="str">
        <f t="shared" si="153"/>
        <v/>
      </c>
      <c r="V74" s="1" t="str">
        <f t="shared" si="153"/>
        <v/>
      </c>
      <c r="W74" s="1">
        <f t="shared" si="153"/>
        <v>14760.70996</v>
      </c>
      <c r="X74" s="1">
        <f t="shared" si="153"/>
        <v>13200</v>
      </c>
      <c r="Y74" s="1">
        <f t="shared" si="153"/>
        <v>40400</v>
      </c>
      <c r="Z74" s="1">
        <f t="shared" si="153"/>
        <v>52500</v>
      </c>
      <c r="AA74" s="1">
        <f t="shared" si="153"/>
        <v>400589.625</v>
      </c>
      <c r="AB74" s="1" t="str">
        <f t="shared" si="153"/>
        <v/>
      </c>
      <c r="AC74" s="1" t="str">
        <f>if(Calculator!$C$8,SUM(P74:AB74),"")</f>
        <v/>
      </c>
      <c r="AE74" s="1">
        <f t="shared" si="8"/>
        <v>7434.491294</v>
      </c>
      <c r="AF74" s="1">
        <f t="shared" si="9"/>
        <v>567415.8578</v>
      </c>
      <c r="AG74" s="1">
        <f t="shared" si="10"/>
        <v>7880.775803</v>
      </c>
      <c r="AH74" s="1">
        <f t="shared" si="11"/>
        <v>7549.337986</v>
      </c>
      <c r="AI74" s="1">
        <f t="shared" si="15"/>
        <v>331.4378178</v>
      </c>
      <c r="AJ74" s="1" t="str">
        <f t="shared" si="12"/>
        <v/>
      </c>
    </row>
    <row r="75">
      <c r="A75" s="5">
        <v>72.0</v>
      </c>
      <c r="B75" s="8">
        <f t="shared" si="4"/>
        <v>0.9246572309</v>
      </c>
      <c r="C75" s="4">
        <f t="shared" ref="C75:N75" si="154">IF(C$2="","",C$1-_xlfn.FLOOR.MATH(C$1*(180-MIN(180,$A75))/180))</f>
        <v>48</v>
      </c>
      <c r="D75" s="1" t="str">
        <f t="shared" si="154"/>
        <v/>
      </c>
      <c r="E75" s="1" t="str">
        <f t="shared" si="154"/>
        <v/>
      </c>
      <c r="F75" s="1" t="str">
        <f t="shared" si="154"/>
        <v/>
      </c>
      <c r="G75" s="1">
        <f t="shared" si="154"/>
        <v>120</v>
      </c>
      <c r="H75" s="1" t="str">
        <f t="shared" si="154"/>
        <v/>
      </c>
      <c r="I75" s="1" t="str">
        <f t="shared" si="154"/>
        <v/>
      </c>
      <c r="J75" s="1">
        <f t="shared" si="154"/>
        <v>1</v>
      </c>
      <c r="K75" s="1">
        <f t="shared" si="154"/>
        <v>3</v>
      </c>
      <c r="L75" s="1">
        <f t="shared" si="154"/>
        <v>4</v>
      </c>
      <c r="M75" s="1">
        <f t="shared" si="154"/>
        <v>5</v>
      </c>
      <c r="N75" s="1">
        <f t="shared" si="154"/>
        <v>4</v>
      </c>
      <c r="O75" s="1" t="str">
        <f t="shared" si="6"/>
        <v/>
      </c>
      <c r="P75" s="1">
        <f t="shared" ref="P75:AB75" si="155">if(C$2="","",C75*P$1)</f>
        <v>1872</v>
      </c>
      <c r="Q75" s="1" t="str">
        <f t="shared" si="155"/>
        <v/>
      </c>
      <c r="R75" s="1" t="str">
        <f t="shared" si="155"/>
        <v/>
      </c>
      <c r="S75" s="1" t="str">
        <f t="shared" si="155"/>
        <v/>
      </c>
      <c r="T75" s="1">
        <f t="shared" si="155"/>
        <v>20400</v>
      </c>
      <c r="U75" s="1" t="str">
        <f t="shared" si="155"/>
        <v/>
      </c>
      <c r="V75" s="1" t="str">
        <f t="shared" si="155"/>
        <v/>
      </c>
      <c r="W75" s="1">
        <f t="shared" si="155"/>
        <v>14760.70996</v>
      </c>
      <c r="X75" s="1">
        <f t="shared" si="155"/>
        <v>13200</v>
      </c>
      <c r="Y75" s="1">
        <f t="shared" si="155"/>
        <v>40400</v>
      </c>
      <c r="Z75" s="1">
        <f t="shared" si="155"/>
        <v>52500</v>
      </c>
      <c r="AA75" s="1">
        <f t="shared" si="155"/>
        <v>400589.625</v>
      </c>
      <c r="AB75" s="1" t="str">
        <f t="shared" si="155"/>
        <v/>
      </c>
      <c r="AC75" s="1" t="str">
        <f>if(Calculator!$C$8,SUM(P75:AB75),"")</f>
        <v/>
      </c>
      <c r="AE75" s="1">
        <f t="shared" si="8"/>
        <v>7397.257847</v>
      </c>
      <c r="AF75" s="1">
        <f t="shared" si="9"/>
        <v>574813.1157</v>
      </c>
      <c r="AG75" s="1">
        <f t="shared" si="10"/>
        <v>7874.15227</v>
      </c>
      <c r="AH75" s="1">
        <f t="shared" si="11"/>
        <v>7448.251164</v>
      </c>
      <c r="AI75" s="1">
        <f t="shared" si="15"/>
        <v>425.9011059</v>
      </c>
      <c r="AJ75" s="1" t="str">
        <f t="shared" si="12"/>
        <v/>
      </c>
    </row>
    <row r="76">
      <c r="A76" s="5">
        <v>73.0</v>
      </c>
      <c r="B76" s="8">
        <f t="shared" si="4"/>
        <v>0.9197376548</v>
      </c>
      <c r="C76" s="4">
        <f t="shared" ref="C76:N76" si="156">IF(C$2="","",C$1-_xlfn.FLOOR.MATH(C$1*(180-MIN(180,$A76))/180))</f>
        <v>49</v>
      </c>
      <c r="D76" s="1" t="str">
        <f t="shared" si="156"/>
        <v/>
      </c>
      <c r="E76" s="1" t="str">
        <f t="shared" si="156"/>
        <v/>
      </c>
      <c r="F76" s="1" t="str">
        <f t="shared" si="156"/>
        <v/>
      </c>
      <c r="G76" s="1">
        <f t="shared" si="156"/>
        <v>122</v>
      </c>
      <c r="H76" s="1" t="str">
        <f t="shared" si="156"/>
        <v/>
      </c>
      <c r="I76" s="1" t="str">
        <f t="shared" si="156"/>
        <v/>
      </c>
      <c r="J76" s="1">
        <f t="shared" si="156"/>
        <v>1</v>
      </c>
      <c r="K76" s="1">
        <f t="shared" si="156"/>
        <v>3</v>
      </c>
      <c r="L76" s="1">
        <f t="shared" si="156"/>
        <v>4</v>
      </c>
      <c r="M76" s="1">
        <f t="shared" si="156"/>
        <v>5</v>
      </c>
      <c r="N76" s="1">
        <f t="shared" si="156"/>
        <v>4</v>
      </c>
      <c r="O76" s="1" t="str">
        <f t="shared" si="6"/>
        <v/>
      </c>
      <c r="P76" s="1">
        <f t="shared" ref="P76:AB76" si="157">if(C$2="","",C76*P$1)</f>
        <v>1911</v>
      </c>
      <c r="Q76" s="1" t="str">
        <f t="shared" si="157"/>
        <v/>
      </c>
      <c r="R76" s="1" t="str">
        <f t="shared" si="157"/>
        <v/>
      </c>
      <c r="S76" s="1" t="str">
        <f t="shared" si="157"/>
        <v/>
      </c>
      <c r="T76" s="1">
        <f t="shared" si="157"/>
        <v>20740</v>
      </c>
      <c r="U76" s="1" t="str">
        <f t="shared" si="157"/>
        <v/>
      </c>
      <c r="V76" s="1" t="str">
        <f t="shared" si="157"/>
        <v/>
      </c>
      <c r="W76" s="1">
        <f t="shared" si="157"/>
        <v>14760.70996</v>
      </c>
      <c r="X76" s="1">
        <f t="shared" si="157"/>
        <v>13200</v>
      </c>
      <c r="Y76" s="1">
        <f t="shared" si="157"/>
        <v>40400</v>
      </c>
      <c r="Z76" s="1">
        <f t="shared" si="157"/>
        <v>52500</v>
      </c>
      <c r="AA76" s="1">
        <f t="shared" si="157"/>
        <v>400589.625</v>
      </c>
      <c r="AB76" s="1" t="str">
        <f t="shared" si="157"/>
        <v/>
      </c>
      <c r="AC76" s="1" t="str">
        <f>if(Calculator!$C$8,SUM(P76:AB76),"")</f>
        <v/>
      </c>
      <c r="AE76" s="1">
        <f t="shared" si="8"/>
        <v>7357.901238</v>
      </c>
      <c r="AF76" s="1">
        <f t="shared" si="9"/>
        <v>582171.0169</v>
      </c>
      <c r="AG76" s="1">
        <f t="shared" si="10"/>
        <v>7867.175904</v>
      </c>
      <c r="AH76" s="1">
        <f t="shared" si="11"/>
        <v>7352.720743</v>
      </c>
      <c r="AI76" s="1">
        <f t="shared" si="15"/>
        <v>514.4551617</v>
      </c>
      <c r="AJ76" s="1" t="str">
        <f t="shared" si="12"/>
        <v/>
      </c>
    </row>
    <row r="77">
      <c r="A77" s="5">
        <v>74.0</v>
      </c>
      <c r="B77" s="8">
        <f t="shared" si="4"/>
        <v>0.9145430134</v>
      </c>
      <c r="C77" s="4">
        <f t="shared" ref="C77:N77" si="158">IF(C$2="","",C$1-_xlfn.FLOOR.MATH(C$1*(180-MIN(180,$A77))/180))</f>
        <v>50</v>
      </c>
      <c r="D77" s="1" t="str">
        <f t="shared" si="158"/>
        <v/>
      </c>
      <c r="E77" s="1" t="str">
        <f t="shared" si="158"/>
        <v/>
      </c>
      <c r="F77" s="1" t="str">
        <f t="shared" si="158"/>
        <v/>
      </c>
      <c r="G77" s="1">
        <f t="shared" si="158"/>
        <v>124</v>
      </c>
      <c r="H77" s="1" t="str">
        <f t="shared" si="158"/>
        <v/>
      </c>
      <c r="I77" s="1" t="str">
        <f t="shared" si="158"/>
        <v/>
      </c>
      <c r="J77" s="1">
        <f t="shared" si="158"/>
        <v>1</v>
      </c>
      <c r="K77" s="1">
        <f t="shared" si="158"/>
        <v>3</v>
      </c>
      <c r="L77" s="1">
        <f t="shared" si="158"/>
        <v>4</v>
      </c>
      <c r="M77" s="1">
        <f t="shared" si="158"/>
        <v>5</v>
      </c>
      <c r="N77" s="1">
        <f t="shared" si="158"/>
        <v>4</v>
      </c>
      <c r="O77" s="1" t="str">
        <f t="shared" si="6"/>
        <v/>
      </c>
      <c r="P77" s="1">
        <f t="shared" ref="P77:AB77" si="159">if(C$2="","",C77*P$1)</f>
        <v>1950</v>
      </c>
      <c r="Q77" s="1" t="str">
        <f t="shared" si="159"/>
        <v/>
      </c>
      <c r="R77" s="1" t="str">
        <f t="shared" si="159"/>
        <v/>
      </c>
      <c r="S77" s="1" t="str">
        <f t="shared" si="159"/>
        <v/>
      </c>
      <c r="T77" s="1">
        <f t="shared" si="159"/>
        <v>21080</v>
      </c>
      <c r="U77" s="1" t="str">
        <f t="shared" si="159"/>
        <v/>
      </c>
      <c r="V77" s="1" t="str">
        <f t="shared" si="159"/>
        <v/>
      </c>
      <c r="W77" s="1">
        <f t="shared" si="159"/>
        <v>14760.70996</v>
      </c>
      <c r="X77" s="1">
        <f t="shared" si="159"/>
        <v>13200</v>
      </c>
      <c r="Y77" s="1">
        <f t="shared" si="159"/>
        <v>40400</v>
      </c>
      <c r="Z77" s="1">
        <f t="shared" si="159"/>
        <v>52500</v>
      </c>
      <c r="AA77" s="1">
        <f t="shared" si="159"/>
        <v>400589.625</v>
      </c>
      <c r="AB77" s="1" t="str">
        <f t="shared" si="159"/>
        <v/>
      </c>
      <c r="AC77" s="1" t="str">
        <f>if(Calculator!$C$8,SUM(P77:AB77),"")</f>
        <v/>
      </c>
      <c r="AE77" s="1">
        <f t="shared" si="8"/>
        <v>7316.344107</v>
      </c>
      <c r="AF77" s="1">
        <f t="shared" si="9"/>
        <v>589487.361</v>
      </c>
      <c r="AG77" s="1">
        <f t="shared" si="10"/>
        <v>7859.83148</v>
      </c>
      <c r="AH77" s="1">
        <f t="shared" si="11"/>
        <v>7259.737799</v>
      </c>
      <c r="AI77" s="1">
        <f t="shared" si="15"/>
        <v>600.093681</v>
      </c>
      <c r="AJ77" s="1" t="str">
        <f t="shared" si="12"/>
        <v/>
      </c>
    </row>
    <row r="78">
      <c r="A78" s="5">
        <v>75.0</v>
      </c>
      <c r="B78" s="8">
        <f t="shared" si="4"/>
        <v>0.9090640122</v>
      </c>
      <c r="C78" s="4">
        <f t="shared" ref="C78:N78" si="160">IF(C$2="","",C$1-_xlfn.FLOOR.MATH(C$1*(180-MIN(180,$A78))/180))</f>
        <v>50</v>
      </c>
      <c r="D78" s="1" t="str">
        <f t="shared" si="160"/>
        <v/>
      </c>
      <c r="E78" s="1" t="str">
        <f t="shared" si="160"/>
        <v/>
      </c>
      <c r="F78" s="1" t="str">
        <f t="shared" si="160"/>
        <v/>
      </c>
      <c r="G78" s="1">
        <f t="shared" si="160"/>
        <v>125</v>
      </c>
      <c r="H78" s="1" t="str">
        <f t="shared" si="160"/>
        <v/>
      </c>
      <c r="I78" s="1" t="str">
        <f t="shared" si="160"/>
        <v/>
      </c>
      <c r="J78" s="1">
        <f t="shared" si="160"/>
        <v>1</v>
      </c>
      <c r="K78" s="1">
        <f t="shared" si="160"/>
        <v>3</v>
      </c>
      <c r="L78" s="1">
        <f t="shared" si="160"/>
        <v>4</v>
      </c>
      <c r="M78" s="1">
        <f t="shared" si="160"/>
        <v>5</v>
      </c>
      <c r="N78" s="1">
        <f t="shared" si="160"/>
        <v>4</v>
      </c>
      <c r="O78" s="1" t="str">
        <f t="shared" si="6"/>
        <v/>
      </c>
      <c r="P78" s="1">
        <f t="shared" ref="P78:AB78" si="161">if(C$2="","",C78*P$1)</f>
        <v>1950</v>
      </c>
      <c r="Q78" s="1" t="str">
        <f t="shared" si="161"/>
        <v/>
      </c>
      <c r="R78" s="1" t="str">
        <f t="shared" si="161"/>
        <v/>
      </c>
      <c r="S78" s="1" t="str">
        <f t="shared" si="161"/>
        <v/>
      </c>
      <c r="T78" s="1">
        <f t="shared" si="161"/>
        <v>21250</v>
      </c>
      <c r="U78" s="1" t="str">
        <f t="shared" si="161"/>
        <v/>
      </c>
      <c r="V78" s="1" t="str">
        <f t="shared" si="161"/>
        <v/>
      </c>
      <c r="W78" s="1">
        <f t="shared" si="161"/>
        <v>14760.70996</v>
      </c>
      <c r="X78" s="1">
        <f t="shared" si="161"/>
        <v>13200</v>
      </c>
      <c r="Y78" s="1">
        <f t="shared" si="161"/>
        <v>40400</v>
      </c>
      <c r="Z78" s="1">
        <f t="shared" si="161"/>
        <v>52500</v>
      </c>
      <c r="AA78" s="1">
        <f t="shared" si="161"/>
        <v>400589.625</v>
      </c>
      <c r="AB78" s="1" t="str">
        <f t="shared" si="161"/>
        <v/>
      </c>
      <c r="AC78" s="1" t="str">
        <f>if(Calculator!$C$8,SUM(P78:AB78),"")</f>
        <v/>
      </c>
      <c r="AE78" s="1">
        <f t="shared" si="8"/>
        <v>7272.512098</v>
      </c>
      <c r="AF78" s="1">
        <f t="shared" si="9"/>
        <v>596759.8731</v>
      </c>
      <c r="AG78" s="1">
        <f t="shared" si="10"/>
        <v>7852.103594</v>
      </c>
      <c r="AH78" s="1">
        <f t="shared" si="11"/>
        <v>7166.451776</v>
      </c>
      <c r="AI78" s="1">
        <f t="shared" si="15"/>
        <v>685.651818</v>
      </c>
      <c r="AJ78" s="1" t="str">
        <f t="shared" si="12"/>
        <v/>
      </c>
    </row>
    <row r="79">
      <c r="A79" s="5">
        <v>76.0</v>
      </c>
      <c r="B79" s="8">
        <f t="shared" si="4"/>
        <v>0.9032918464</v>
      </c>
      <c r="C79" s="4">
        <f t="shared" ref="C79:N79" si="162">IF(C$2="","",C$1-_xlfn.FLOOR.MATH(C$1*(180-MIN(180,$A79))/180))</f>
        <v>51</v>
      </c>
      <c r="D79" s="1" t="str">
        <f t="shared" si="162"/>
        <v/>
      </c>
      <c r="E79" s="1" t="str">
        <f t="shared" si="162"/>
        <v/>
      </c>
      <c r="F79" s="1" t="str">
        <f t="shared" si="162"/>
        <v/>
      </c>
      <c r="G79" s="1">
        <f t="shared" si="162"/>
        <v>127</v>
      </c>
      <c r="H79" s="1" t="str">
        <f t="shared" si="162"/>
        <v/>
      </c>
      <c r="I79" s="1" t="str">
        <f t="shared" si="162"/>
        <v/>
      </c>
      <c r="J79" s="1">
        <f t="shared" si="162"/>
        <v>1</v>
      </c>
      <c r="K79" s="1">
        <f t="shared" si="162"/>
        <v>3</v>
      </c>
      <c r="L79" s="1">
        <f t="shared" si="162"/>
        <v>4</v>
      </c>
      <c r="M79" s="1">
        <f t="shared" si="162"/>
        <v>6</v>
      </c>
      <c r="N79" s="1">
        <f t="shared" si="162"/>
        <v>4</v>
      </c>
      <c r="O79" s="1" t="str">
        <f t="shared" si="6"/>
        <v/>
      </c>
      <c r="P79" s="1">
        <f t="shared" ref="P79:AB79" si="163">if(C$2="","",C79*P$1)</f>
        <v>1989</v>
      </c>
      <c r="Q79" s="1" t="str">
        <f t="shared" si="163"/>
        <v/>
      </c>
      <c r="R79" s="1" t="str">
        <f t="shared" si="163"/>
        <v/>
      </c>
      <c r="S79" s="1" t="str">
        <f t="shared" si="163"/>
        <v/>
      </c>
      <c r="T79" s="1">
        <f t="shared" si="163"/>
        <v>21590</v>
      </c>
      <c r="U79" s="1" t="str">
        <f t="shared" si="163"/>
        <v/>
      </c>
      <c r="V79" s="1" t="str">
        <f t="shared" si="163"/>
        <v/>
      </c>
      <c r="W79" s="1">
        <f t="shared" si="163"/>
        <v>14760.70996</v>
      </c>
      <c r="X79" s="1">
        <f t="shared" si="163"/>
        <v>13200</v>
      </c>
      <c r="Y79" s="1">
        <f t="shared" si="163"/>
        <v>40400</v>
      </c>
      <c r="Z79" s="1">
        <f t="shared" si="163"/>
        <v>63000</v>
      </c>
      <c r="AA79" s="1">
        <f t="shared" si="163"/>
        <v>400589.625</v>
      </c>
      <c r="AB79" s="1" t="str">
        <f t="shared" si="163"/>
        <v/>
      </c>
      <c r="AC79" s="1" t="str">
        <f>if(Calculator!$C$8,SUM(P79:AB79),"")</f>
        <v/>
      </c>
      <c r="AE79" s="1">
        <f t="shared" si="8"/>
        <v>7226.334771</v>
      </c>
      <c r="AF79" s="1">
        <f t="shared" si="9"/>
        <v>603986.2079</v>
      </c>
      <c r="AG79" s="1">
        <f t="shared" si="10"/>
        <v>7843.976726</v>
      </c>
      <c r="AH79" s="1">
        <f t="shared" si="11"/>
        <v>7214.666688</v>
      </c>
      <c r="AI79" s="1">
        <f t="shared" si="15"/>
        <v>629.3100382</v>
      </c>
      <c r="AJ79" s="1" t="str">
        <f t="shared" si="12"/>
        <v/>
      </c>
    </row>
    <row r="80">
      <c r="A80" s="5">
        <v>77.0</v>
      </c>
      <c r="B80" s="8">
        <f t="shared" si="4"/>
        <v>0.8972183246</v>
      </c>
      <c r="C80" s="4">
        <f t="shared" ref="C80:N80" si="164">IF(C$2="","",C$1-_xlfn.FLOOR.MATH(C$1*(180-MIN(180,$A80))/180))</f>
        <v>52</v>
      </c>
      <c r="D80" s="1" t="str">
        <f t="shared" si="164"/>
        <v/>
      </c>
      <c r="E80" s="1" t="str">
        <f t="shared" si="164"/>
        <v/>
      </c>
      <c r="F80" s="1" t="str">
        <f t="shared" si="164"/>
        <v/>
      </c>
      <c r="G80" s="1">
        <f t="shared" si="164"/>
        <v>129</v>
      </c>
      <c r="H80" s="1" t="str">
        <f t="shared" si="164"/>
        <v/>
      </c>
      <c r="I80" s="1" t="str">
        <f t="shared" si="164"/>
        <v/>
      </c>
      <c r="J80" s="1">
        <f t="shared" si="164"/>
        <v>1</v>
      </c>
      <c r="K80" s="1">
        <f t="shared" si="164"/>
        <v>3</v>
      </c>
      <c r="L80" s="1">
        <f t="shared" si="164"/>
        <v>4</v>
      </c>
      <c r="M80" s="1">
        <f t="shared" si="164"/>
        <v>6</v>
      </c>
      <c r="N80" s="1">
        <f t="shared" si="164"/>
        <v>4</v>
      </c>
      <c r="O80" s="1" t="str">
        <f t="shared" si="6"/>
        <v/>
      </c>
      <c r="P80" s="1">
        <f t="shared" ref="P80:AB80" si="165">if(C$2="","",C80*P$1)</f>
        <v>2028</v>
      </c>
      <c r="Q80" s="1" t="str">
        <f t="shared" si="165"/>
        <v/>
      </c>
      <c r="R80" s="1" t="str">
        <f t="shared" si="165"/>
        <v/>
      </c>
      <c r="S80" s="1" t="str">
        <f t="shared" si="165"/>
        <v/>
      </c>
      <c r="T80" s="1">
        <f t="shared" si="165"/>
        <v>21930</v>
      </c>
      <c r="U80" s="1" t="str">
        <f t="shared" si="165"/>
        <v/>
      </c>
      <c r="V80" s="1" t="str">
        <f t="shared" si="165"/>
        <v/>
      </c>
      <c r="W80" s="1">
        <f t="shared" si="165"/>
        <v>14760.70996</v>
      </c>
      <c r="X80" s="1">
        <f t="shared" si="165"/>
        <v>13200</v>
      </c>
      <c r="Y80" s="1">
        <f t="shared" si="165"/>
        <v>40400</v>
      </c>
      <c r="Z80" s="1">
        <f t="shared" si="165"/>
        <v>63000</v>
      </c>
      <c r="AA80" s="1">
        <f t="shared" si="165"/>
        <v>400589.625</v>
      </c>
      <c r="AB80" s="1" t="str">
        <f t="shared" si="165"/>
        <v/>
      </c>
      <c r="AC80" s="1" t="str">
        <f>if(Calculator!$C$8,SUM(P80:AB80),"")</f>
        <v/>
      </c>
      <c r="AE80" s="1">
        <f t="shared" si="8"/>
        <v>7177.746597</v>
      </c>
      <c r="AF80" s="1">
        <f t="shared" si="9"/>
        <v>611163.9545</v>
      </c>
      <c r="AG80" s="1">
        <f t="shared" si="10"/>
        <v>7835.435314</v>
      </c>
      <c r="AH80" s="1">
        <f t="shared" si="11"/>
        <v>7127.029935</v>
      </c>
      <c r="AI80" s="1">
        <f t="shared" si="15"/>
        <v>708.4053787</v>
      </c>
      <c r="AJ80" s="1" t="str">
        <f t="shared" si="12"/>
        <v/>
      </c>
    </row>
    <row r="81">
      <c r="A81" s="5">
        <v>78.0</v>
      </c>
      <c r="B81" s="8">
        <f t="shared" si="4"/>
        <v>0.890836001</v>
      </c>
      <c r="C81" s="4">
        <f t="shared" ref="C81:N81" si="166">IF(C$2="","",C$1-_xlfn.FLOOR.MATH(C$1*(180-MIN(180,$A81))/180))</f>
        <v>52</v>
      </c>
      <c r="D81" s="1" t="str">
        <f t="shared" si="166"/>
        <v/>
      </c>
      <c r="E81" s="1" t="str">
        <f t="shared" si="166"/>
        <v/>
      </c>
      <c r="F81" s="1" t="str">
        <f t="shared" si="166"/>
        <v/>
      </c>
      <c r="G81" s="1">
        <f t="shared" si="166"/>
        <v>130</v>
      </c>
      <c r="H81" s="1" t="str">
        <f t="shared" si="166"/>
        <v/>
      </c>
      <c r="I81" s="1" t="str">
        <f t="shared" si="166"/>
        <v/>
      </c>
      <c r="J81" s="1">
        <f t="shared" si="166"/>
        <v>1</v>
      </c>
      <c r="K81" s="1">
        <f t="shared" si="166"/>
        <v>3</v>
      </c>
      <c r="L81" s="1">
        <f t="shared" si="166"/>
        <v>4</v>
      </c>
      <c r="M81" s="1">
        <f t="shared" si="166"/>
        <v>6</v>
      </c>
      <c r="N81" s="1">
        <f t="shared" si="166"/>
        <v>4</v>
      </c>
      <c r="O81" s="1" t="str">
        <f t="shared" si="6"/>
        <v/>
      </c>
      <c r="P81" s="1">
        <f t="shared" ref="P81:AB81" si="167">if(C$2="","",C81*P$1)</f>
        <v>2028</v>
      </c>
      <c r="Q81" s="1" t="str">
        <f t="shared" si="167"/>
        <v/>
      </c>
      <c r="R81" s="1" t="str">
        <f t="shared" si="167"/>
        <v/>
      </c>
      <c r="S81" s="1" t="str">
        <f t="shared" si="167"/>
        <v/>
      </c>
      <c r="T81" s="1">
        <f t="shared" si="167"/>
        <v>22100</v>
      </c>
      <c r="U81" s="1" t="str">
        <f t="shared" si="167"/>
        <v/>
      </c>
      <c r="V81" s="1" t="str">
        <f t="shared" si="167"/>
        <v/>
      </c>
      <c r="W81" s="1">
        <f t="shared" si="167"/>
        <v>14760.70996</v>
      </c>
      <c r="X81" s="1">
        <f t="shared" si="167"/>
        <v>13200</v>
      </c>
      <c r="Y81" s="1">
        <f t="shared" si="167"/>
        <v>40400</v>
      </c>
      <c r="Z81" s="1">
        <f t="shared" si="167"/>
        <v>63000</v>
      </c>
      <c r="AA81" s="1">
        <f t="shared" si="167"/>
        <v>400589.625</v>
      </c>
      <c r="AB81" s="1" t="str">
        <f t="shared" si="167"/>
        <v/>
      </c>
      <c r="AC81" s="1" t="str">
        <f>if(Calculator!$C$8,SUM(P81:AB81),"")</f>
        <v/>
      </c>
      <c r="AE81" s="1">
        <f t="shared" si="8"/>
        <v>7126.688008</v>
      </c>
      <c r="AF81" s="1">
        <f t="shared" si="9"/>
        <v>618290.6425</v>
      </c>
      <c r="AG81" s="1">
        <f t="shared" si="10"/>
        <v>7826.463829</v>
      </c>
      <c r="AH81" s="1">
        <f t="shared" si="11"/>
        <v>7038.966265</v>
      </c>
      <c r="AI81" s="1">
        <f t="shared" si="15"/>
        <v>787.4975639</v>
      </c>
      <c r="AJ81" s="1" t="str">
        <f t="shared" si="12"/>
        <v/>
      </c>
    </row>
    <row r="82">
      <c r="A82" s="5">
        <v>79.0</v>
      </c>
      <c r="B82" s="8">
        <f t="shared" si="4"/>
        <v>0.8841383138</v>
      </c>
      <c r="C82" s="4">
        <f t="shared" ref="C82:N82" si="168">IF(C$2="","",C$1-_xlfn.FLOOR.MATH(C$1*(180-MIN(180,$A82))/180))</f>
        <v>53</v>
      </c>
      <c r="D82" s="1" t="str">
        <f t="shared" si="168"/>
        <v/>
      </c>
      <c r="E82" s="1" t="str">
        <f t="shared" si="168"/>
        <v/>
      </c>
      <c r="F82" s="1" t="str">
        <f t="shared" si="168"/>
        <v/>
      </c>
      <c r="G82" s="1">
        <f t="shared" si="168"/>
        <v>132</v>
      </c>
      <c r="H82" s="1" t="str">
        <f t="shared" si="168"/>
        <v/>
      </c>
      <c r="I82" s="1" t="str">
        <f t="shared" si="168"/>
        <v/>
      </c>
      <c r="J82" s="1">
        <f t="shared" si="168"/>
        <v>1</v>
      </c>
      <c r="K82" s="1">
        <f t="shared" si="168"/>
        <v>3</v>
      </c>
      <c r="L82" s="1">
        <f t="shared" si="168"/>
        <v>4</v>
      </c>
      <c r="M82" s="1">
        <f t="shared" si="168"/>
        <v>6</v>
      </c>
      <c r="N82" s="1">
        <f t="shared" si="168"/>
        <v>4</v>
      </c>
      <c r="O82" s="1" t="str">
        <f t="shared" si="6"/>
        <v/>
      </c>
      <c r="P82" s="1">
        <f t="shared" ref="P82:AB82" si="169">if(C$2="","",C82*P$1)</f>
        <v>2067</v>
      </c>
      <c r="Q82" s="1" t="str">
        <f t="shared" si="169"/>
        <v/>
      </c>
      <c r="R82" s="1" t="str">
        <f t="shared" si="169"/>
        <v/>
      </c>
      <c r="S82" s="1" t="str">
        <f t="shared" si="169"/>
        <v/>
      </c>
      <c r="T82" s="1">
        <f t="shared" si="169"/>
        <v>22440</v>
      </c>
      <c r="U82" s="1" t="str">
        <f t="shared" si="169"/>
        <v/>
      </c>
      <c r="V82" s="1" t="str">
        <f t="shared" si="169"/>
        <v/>
      </c>
      <c r="W82" s="1">
        <f t="shared" si="169"/>
        <v>14760.70996</v>
      </c>
      <c r="X82" s="1">
        <f t="shared" si="169"/>
        <v>13200</v>
      </c>
      <c r="Y82" s="1">
        <f t="shared" si="169"/>
        <v>40400</v>
      </c>
      <c r="Z82" s="1">
        <f t="shared" si="169"/>
        <v>63000</v>
      </c>
      <c r="AA82" s="1">
        <f t="shared" si="169"/>
        <v>400589.625</v>
      </c>
      <c r="AB82" s="1" t="str">
        <f t="shared" si="169"/>
        <v/>
      </c>
      <c r="AC82" s="1" t="str">
        <f>if(Calculator!$C$8,SUM(P82:AB82),"")</f>
        <v/>
      </c>
      <c r="AE82" s="1">
        <f t="shared" si="8"/>
        <v>7073.10651</v>
      </c>
      <c r="AF82" s="1">
        <f t="shared" si="9"/>
        <v>625363.749</v>
      </c>
      <c r="AG82" s="1">
        <f t="shared" si="10"/>
        <v>7817.046863</v>
      </c>
      <c r="AH82" s="1">
        <f t="shared" si="11"/>
        <v>6955.716687</v>
      </c>
      <c r="AI82" s="1">
        <f t="shared" si="15"/>
        <v>861.3301757</v>
      </c>
      <c r="AJ82" s="1" t="str">
        <f t="shared" si="12"/>
        <v/>
      </c>
    </row>
    <row r="83">
      <c r="A83" s="5">
        <v>80.0</v>
      </c>
      <c r="B83" s="8">
        <f t="shared" si="4"/>
        <v>0.8771197303</v>
      </c>
      <c r="C83" s="4">
        <f t="shared" ref="C83:N83" si="170">IF(C$2="","",C$1-_xlfn.FLOOR.MATH(C$1*(180-MIN(180,$A83))/180))</f>
        <v>54</v>
      </c>
      <c r="D83" s="1" t="str">
        <f t="shared" si="170"/>
        <v/>
      </c>
      <c r="E83" s="1" t="str">
        <f t="shared" si="170"/>
        <v/>
      </c>
      <c r="F83" s="1" t="str">
        <f t="shared" si="170"/>
        <v/>
      </c>
      <c r="G83" s="1">
        <f t="shared" si="170"/>
        <v>134</v>
      </c>
      <c r="H83" s="1" t="str">
        <f t="shared" si="170"/>
        <v/>
      </c>
      <c r="I83" s="1" t="str">
        <f t="shared" si="170"/>
        <v/>
      </c>
      <c r="J83" s="1">
        <f t="shared" si="170"/>
        <v>1</v>
      </c>
      <c r="K83" s="1">
        <f t="shared" si="170"/>
        <v>3</v>
      </c>
      <c r="L83" s="1">
        <f t="shared" si="170"/>
        <v>4</v>
      </c>
      <c r="M83" s="1">
        <f t="shared" si="170"/>
        <v>6</v>
      </c>
      <c r="N83" s="1">
        <f t="shared" si="170"/>
        <v>4</v>
      </c>
      <c r="O83" s="1" t="str">
        <f t="shared" si="6"/>
        <v/>
      </c>
      <c r="P83" s="1">
        <f t="shared" ref="P83:AB83" si="171">if(C$2="","",C83*P$1)</f>
        <v>2106</v>
      </c>
      <c r="Q83" s="1" t="str">
        <f t="shared" si="171"/>
        <v/>
      </c>
      <c r="R83" s="1" t="str">
        <f t="shared" si="171"/>
        <v/>
      </c>
      <c r="S83" s="1" t="str">
        <f t="shared" si="171"/>
        <v/>
      </c>
      <c r="T83" s="1">
        <f t="shared" si="171"/>
        <v>22780</v>
      </c>
      <c r="U83" s="1" t="str">
        <f t="shared" si="171"/>
        <v/>
      </c>
      <c r="V83" s="1" t="str">
        <f t="shared" si="171"/>
        <v/>
      </c>
      <c r="W83" s="1">
        <f t="shared" si="171"/>
        <v>14760.70996</v>
      </c>
      <c r="X83" s="1">
        <f t="shared" si="171"/>
        <v>13200</v>
      </c>
      <c r="Y83" s="1">
        <f t="shared" si="171"/>
        <v>40400</v>
      </c>
      <c r="Z83" s="1">
        <f t="shared" si="171"/>
        <v>63000</v>
      </c>
      <c r="AA83" s="1">
        <f t="shared" si="171"/>
        <v>400589.625</v>
      </c>
      <c r="AB83" s="1" t="str">
        <f t="shared" si="171"/>
        <v/>
      </c>
      <c r="AC83" s="1" t="str">
        <f>if(Calculator!$C$8,SUM(P83:AB83),"")</f>
        <v/>
      </c>
      <c r="AE83" s="1">
        <f t="shared" si="8"/>
        <v>7016.957843</v>
      </c>
      <c r="AF83" s="1">
        <f t="shared" si="9"/>
        <v>632380.7069</v>
      </c>
      <c r="AG83" s="1">
        <f t="shared" si="10"/>
        <v>7807.169221</v>
      </c>
      <c r="AH83" s="1">
        <f t="shared" si="11"/>
        <v>6874.522654</v>
      </c>
      <c r="AI83" s="1">
        <f t="shared" si="15"/>
        <v>932.6465667</v>
      </c>
      <c r="AJ83" s="1" t="str">
        <f t="shared" si="12"/>
        <v/>
      </c>
    </row>
    <row r="84">
      <c r="A84" s="5">
        <v>81.0</v>
      </c>
      <c r="B84" s="8">
        <f t="shared" si="4"/>
        <v>0.8697758957</v>
      </c>
      <c r="C84" s="4">
        <f t="shared" ref="C84:N84" si="172">IF(C$2="","",C$1-_xlfn.FLOOR.MATH(C$1*(180-MIN(180,$A84))/180))</f>
        <v>54</v>
      </c>
      <c r="D84" s="1" t="str">
        <f t="shared" si="172"/>
        <v/>
      </c>
      <c r="E84" s="1" t="str">
        <f t="shared" si="172"/>
        <v/>
      </c>
      <c r="F84" s="1" t="str">
        <f t="shared" si="172"/>
        <v/>
      </c>
      <c r="G84" s="1">
        <f t="shared" si="172"/>
        <v>135</v>
      </c>
      <c r="H84" s="1" t="str">
        <f t="shared" si="172"/>
        <v/>
      </c>
      <c r="I84" s="1" t="str">
        <f t="shared" si="172"/>
        <v/>
      </c>
      <c r="J84" s="1">
        <f t="shared" si="172"/>
        <v>1</v>
      </c>
      <c r="K84" s="1">
        <f t="shared" si="172"/>
        <v>3</v>
      </c>
      <c r="L84" s="1">
        <f t="shared" si="172"/>
        <v>4</v>
      </c>
      <c r="M84" s="1">
        <f t="shared" si="172"/>
        <v>6</v>
      </c>
      <c r="N84" s="1">
        <f t="shared" si="172"/>
        <v>4</v>
      </c>
      <c r="O84" s="1" t="str">
        <f t="shared" si="6"/>
        <v/>
      </c>
      <c r="P84" s="1">
        <f t="shared" ref="P84:AB84" si="173">if(C$2="","",C84*P$1)</f>
        <v>2106</v>
      </c>
      <c r="Q84" s="1" t="str">
        <f t="shared" si="173"/>
        <v/>
      </c>
      <c r="R84" s="1" t="str">
        <f t="shared" si="173"/>
        <v/>
      </c>
      <c r="S84" s="1" t="str">
        <f t="shared" si="173"/>
        <v/>
      </c>
      <c r="T84" s="1">
        <f t="shared" si="173"/>
        <v>22950</v>
      </c>
      <c r="U84" s="1" t="str">
        <f t="shared" si="173"/>
        <v/>
      </c>
      <c r="V84" s="1" t="str">
        <f t="shared" si="173"/>
        <v/>
      </c>
      <c r="W84" s="1">
        <f t="shared" si="173"/>
        <v>14760.70996</v>
      </c>
      <c r="X84" s="1">
        <f t="shared" si="173"/>
        <v>13200</v>
      </c>
      <c r="Y84" s="1">
        <f t="shared" si="173"/>
        <v>40400</v>
      </c>
      <c r="Z84" s="1">
        <f t="shared" si="173"/>
        <v>63000</v>
      </c>
      <c r="AA84" s="1">
        <f t="shared" si="173"/>
        <v>400589.625</v>
      </c>
      <c r="AB84" s="1" t="str">
        <f t="shared" si="173"/>
        <v/>
      </c>
      <c r="AC84" s="1" t="str">
        <f>if(Calculator!$C$8,SUM(P84:AB84),"")</f>
        <v/>
      </c>
      <c r="AE84" s="1">
        <f t="shared" si="8"/>
        <v>6958.207166</v>
      </c>
      <c r="AF84" s="1">
        <f t="shared" si="9"/>
        <v>639338.914</v>
      </c>
      <c r="AG84" s="1">
        <f t="shared" si="10"/>
        <v>7796.816025</v>
      </c>
      <c r="AH84" s="1">
        <f t="shared" si="11"/>
        <v>6792.760182</v>
      </c>
      <c r="AI84" s="1">
        <f t="shared" si="15"/>
        <v>1004.055842</v>
      </c>
      <c r="AJ84" s="1" t="str">
        <f t="shared" si="12"/>
        <v/>
      </c>
    </row>
    <row r="85">
      <c r="A85" s="5">
        <v>82.0</v>
      </c>
      <c r="B85" s="8">
        <f t="shared" si="4"/>
        <v>0.862103783</v>
      </c>
      <c r="C85" s="4">
        <f t="shared" ref="C85:N85" si="174">IF(C$2="","",C$1-_xlfn.FLOOR.MATH(C$1*(180-MIN(180,$A85))/180))</f>
        <v>55</v>
      </c>
      <c r="D85" s="1" t="str">
        <f t="shared" si="174"/>
        <v/>
      </c>
      <c r="E85" s="1" t="str">
        <f t="shared" si="174"/>
        <v/>
      </c>
      <c r="F85" s="1" t="str">
        <f t="shared" si="174"/>
        <v/>
      </c>
      <c r="G85" s="1">
        <f t="shared" si="174"/>
        <v>137</v>
      </c>
      <c r="H85" s="1" t="str">
        <f t="shared" si="174"/>
        <v/>
      </c>
      <c r="I85" s="1" t="str">
        <f t="shared" si="174"/>
        <v/>
      </c>
      <c r="J85" s="1">
        <f t="shared" si="174"/>
        <v>1</v>
      </c>
      <c r="K85" s="1">
        <f t="shared" si="174"/>
        <v>3</v>
      </c>
      <c r="L85" s="1">
        <f t="shared" si="174"/>
        <v>4</v>
      </c>
      <c r="M85" s="1">
        <f t="shared" si="174"/>
        <v>6</v>
      </c>
      <c r="N85" s="1">
        <f t="shared" si="174"/>
        <v>4</v>
      </c>
      <c r="O85" s="1" t="str">
        <f t="shared" si="6"/>
        <v/>
      </c>
      <c r="P85" s="1">
        <f t="shared" ref="P85:AB85" si="175">if(C$2="","",C85*P$1)</f>
        <v>2145</v>
      </c>
      <c r="Q85" s="1" t="str">
        <f t="shared" si="175"/>
        <v/>
      </c>
      <c r="R85" s="1" t="str">
        <f t="shared" si="175"/>
        <v/>
      </c>
      <c r="S85" s="1" t="str">
        <f t="shared" si="175"/>
        <v/>
      </c>
      <c r="T85" s="1">
        <f t="shared" si="175"/>
        <v>23290</v>
      </c>
      <c r="U85" s="1" t="str">
        <f t="shared" si="175"/>
        <v/>
      </c>
      <c r="V85" s="1" t="str">
        <f t="shared" si="175"/>
        <v/>
      </c>
      <c r="W85" s="1">
        <f t="shared" si="175"/>
        <v>14760.70996</v>
      </c>
      <c r="X85" s="1">
        <f t="shared" si="175"/>
        <v>13200</v>
      </c>
      <c r="Y85" s="1">
        <f t="shared" si="175"/>
        <v>40400</v>
      </c>
      <c r="Z85" s="1">
        <f t="shared" si="175"/>
        <v>63000</v>
      </c>
      <c r="AA85" s="1">
        <f t="shared" si="175"/>
        <v>400589.625</v>
      </c>
      <c r="AB85" s="1" t="str">
        <f t="shared" si="175"/>
        <v/>
      </c>
      <c r="AC85" s="1" t="str">
        <f>if(Calculator!$C$8,SUM(P85:AB85),"")</f>
        <v/>
      </c>
      <c r="AE85" s="1">
        <f t="shared" si="8"/>
        <v>6896.830264</v>
      </c>
      <c r="AF85" s="1">
        <f t="shared" si="9"/>
        <v>646235.7443</v>
      </c>
      <c r="AG85" s="1">
        <f t="shared" si="10"/>
        <v>7785.972823</v>
      </c>
      <c r="AH85" s="1">
        <f t="shared" si="11"/>
        <v>6715.485963</v>
      </c>
      <c r="AI85" s="1">
        <f t="shared" si="15"/>
        <v>1070.486859</v>
      </c>
      <c r="AJ85" s="1" t="str">
        <f t="shared" si="12"/>
        <v/>
      </c>
    </row>
    <row r="86">
      <c r="A86" s="5">
        <v>83.0</v>
      </c>
      <c r="B86" s="8">
        <f t="shared" si="4"/>
        <v>0.8541018431</v>
      </c>
      <c r="C86" s="4">
        <f t="shared" ref="C86:N86" si="176">IF(C$2="","",C$1-_xlfn.FLOOR.MATH(C$1*(180-MIN(180,$A86))/180))</f>
        <v>56</v>
      </c>
      <c r="D86" s="1" t="str">
        <f t="shared" si="176"/>
        <v/>
      </c>
      <c r="E86" s="1" t="str">
        <f t="shared" si="176"/>
        <v/>
      </c>
      <c r="F86" s="1" t="str">
        <f t="shared" si="176"/>
        <v/>
      </c>
      <c r="G86" s="1">
        <f t="shared" si="176"/>
        <v>139</v>
      </c>
      <c r="H86" s="1" t="str">
        <f t="shared" si="176"/>
        <v/>
      </c>
      <c r="I86" s="1" t="str">
        <f t="shared" si="176"/>
        <v/>
      </c>
      <c r="J86" s="1">
        <f t="shared" si="176"/>
        <v>1</v>
      </c>
      <c r="K86" s="1">
        <f t="shared" si="176"/>
        <v>3</v>
      </c>
      <c r="L86" s="1">
        <f t="shared" si="176"/>
        <v>4</v>
      </c>
      <c r="M86" s="1">
        <f t="shared" si="176"/>
        <v>6</v>
      </c>
      <c r="N86" s="1">
        <f t="shared" si="176"/>
        <v>4</v>
      </c>
      <c r="O86" s="1" t="str">
        <f t="shared" si="6"/>
        <v/>
      </c>
      <c r="P86" s="1">
        <f t="shared" ref="P86:AB86" si="177">if(C$2="","",C86*P$1)</f>
        <v>2184</v>
      </c>
      <c r="Q86" s="1" t="str">
        <f t="shared" si="177"/>
        <v/>
      </c>
      <c r="R86" s="1" t="str">
        <f t="shared" si="177"/>
        <v/>
      </c>
      <c r="S86" s="1" t="str">
        <f t="shared" si="177"/>
        <v/>
      </c>
      <c r="T86" s="1">
        <f t="shared" si="177"/>
        <v>23630</v>
      </c>
      <c r="U86" s="1" t="str">
        <f t="shared" si="177"/>
        <v/>
      </c>
      <c r="V86" s="1" t="str">
        <f t="shared" si="177"/>
        <v/>
      </c>
      <c r="W86" s="1">
        <f t="shared" si="177"/>
        <v>14760.70996</v>
      </c>
      <c r="X86" s="1">
        <f t="shared" si="177"/>
        <v>13200</v>
      </c>
      <c r="Y86" s="1">
        <f t="shared" si="177"/>
        <v>40400</v>
      </c>
      <c r="Z86" s="1">
        <f t="shared" si="177"/>
        <v>63000</v>
      </c>
      <c r="AA86" s="1">
        <f t="shared" si="177"/>
        <v>400589.625</v>
      </c>
      <c r="AB86" s="1" t="str">
        <f t="shared" si="177"/>
        <v/>
      </c>
      <c r="AC86" s="1" t="str">
        <f>if(Calculator!$C$8,SUM(P86:AB86),"")</f>
        <v/>
      </c>
      <c r="AE86" s="1">
        <f t="shared" si="8"/>
        <v>6832.814745</v>
      </c>
      <c r="AF86" s="1">
        <f t="shared" si="9"/>
        <v>653068.559</v>
      </c>
      <c r="AG86" s="1">
        <f t="shared" si="10"/>
        <v>7774.625703</v>
      </c>
      <c r="AH86" s="1">
        <f t="shared" si="11"/>
        <v>6640.051607</v>
      </c>
      <c r="AI86" s="1">
        <f t="shared" si="15"/>
        <v>1134.574096</v>
      </c>
      <c r="AJ86" s="1" t="str">
        <f t="shared" si="12"/>
        <v/>
      </c>
    </row>
    <row r="87">
      <c r="A87" s="5">
        <v>84.0</v>
      </c>
      <c r="B87" s="8">
        <f t="shared" si="4"/>
        <v>0.8457701502</v>
      </c>
      <c r="C87" s="4">
        <f t="shared" ref="C87:N87" si="178">IF(C$2="","",C$1-_xlfn.FLOOR.MATH(C$1*(180-MIN(180,$A87))/180))</f>
        <v>56</v>
      </c>
      <c r="D87" s="1" t="str">
        <f t="shared" si="178"/>
        <v/>
      </c>
      <c r="E87" s="1" t="str">
        <f t="shared" si="178"/>
        <v/>
      </c>
      <c r="F87" s="1" t="str">
        <f t="shared" si="178"/>
        <v/>
      </c>
      <c r="G87" s="1">
        <f t="shared" si="178"/>
        <v>140</v>
      </c>
      <c r="H87" s="1" t="str">
        <f t="shared" si="178"/>
        <v/>
      </c>
      <c r="I87" s="1" t="str">
        <f t="shared" si="178"/>
        <v/>
      </c>
      <c r="J87" s="1">
        <f t="shared" si="178"/>
        <v>1</v>
      </c>
      <c r="K87" s="1">
        <f t="shared" si="178"/>
        <v>3</v>
      </c>
      <c r="L87" s="1">
        <f t="shared" si="178"/>
        <v>4</v>
      </c>
      <c r="M87" s="1">
        <f t="shared" si="178"/>
        <v>6</v>
      </c>
      <c r="N87" s="1">
        <f t="shared" si="178"/>
        <v>4</v>
      </c>
      <c r="O87" s="1" t="str">
        <f t="shared" si="6"/>
        <v/>
      </c>
      <c r="P87" s="1">
        <f t="shared" ref="P87:AB87" si="179">if(C$2="","",C87*P$1)</f>
        <v>2184</v>
      </c>
      <c r="Q87" s="1" t="str">
        <f t="shared" si="179"/>
        <v/>
      </c>
      <c r="R87" s="1" t="str">
        <f t="shared" si="179"/>
        <v/>
      </c>
      <c r="S87" s="1" t="str">
        <f t="shared" si="179"/>
        <v/>
      </c>
      <c r="T87" s="1">
        <f t="shared" si="179"/>
        <v>23800</v>
      </c>
      <c r="U87" s="1" t="str">
        <f t="shared" si="179"/>
        <v/>
      </c>
      <c r="V87" s="1" t="str">
        <f t="shared" si="179"/>
        <v/>
      </c>
      <c r="W87" s="1">
        <f t="shared" si="179"/>
        <v>14760.70996</v>
      </c>
      <c r="X87" s="1">
        <f t="shared" si="179"/>
        <v>13200</v>
      </c>
      <c r="Y87" s="1">
        <f t="shared" si="179"/>
        <v>40400</v>
      </c>
      <c r="Z87" s="1">
        <f t="shared" si="179"/>
        <v>63000</v>
      </c>
      <c r="AA87" s="1">
        <f t="shared" si="179"/>
        <v>400589.625</v>
      </c>
      <c r="AB87" s="1" t="str">
        <f t="shared" si="179"/>
        <v/>
      </c>
      <c r="AC87" s="1" t="str">
        <f>if(Calculator!$C$8,SUM(P87:AB87),"")</f>
        <v/>
      </c>
      <c r="AE87" s="1">
        <f t="shared" si="8"/>
        <v>6766.161202</v>
      </c>
      <c r="AF87" s="1">
        <f t="shared" si="9"/>
        <v>659834.7202</v>
      </c>
      <c r="AG87" s="1">
        <f t="shared" si="10"/>
        <v>7762.761415</v>
      </c>
      <c r="AH87" s="1">
        <f t="shared" si="11"/>
        <v>6563.933352</v>
      </c>
      <c r="AI87" s="1">
        <f t="shared" si="15"/>
        <v>1198.828062</v>
      </c>
      <c r="AJ87" s="1" t="str">
        <f t="shared" si="12"/>
        <v/>
      </c>
    </row>
    <row r="88">
      <c r="A88" s="5">
        <v>85.0</v>
      </c>
      <c r="B88" s="8">
        <f t="shared" si="4"/>
        <v>0.8371105405</v>
      </c>
      <c r="C88" s="4">
        <f t="shared" ref="C88:N88" si="180">IF(C$2="","",C$1-_xlfn.FLOOR.MATH(C$1*(180-MIN(180,$A88))/180))</f>
        <v>57</v>
      </c>
      <c r="D88" s="1" t="str">
        <f t="shared" si="180"/>
        <v/>
      </c>
      <c r="E88" s="1" t="str">
        <f t="shared" si="180"/>
        <v/>
      </c>
      <c r="F88" s="1" t="str">
        <f t="shared" si="180"/>
        <v/>
      </c>
      <c r="G88" s="1">
        <f t="shared" si="180"/>
        <v>142</v>
      </c>
      <c r="H88" s="1" t="str">
        <f t="shared" si="180"/>
        <v/>
      </c>
      <c r="I88" s="1" t="str">
        <f t="shared" si="180"/>
        <v/>
      </c>
      <c r="J88" s="1">
        <f t="shared" si="180"/>
        <v>1</v>
      </c>
      <c r="K88" s="1">
        <f t="shared" si="180"/>
        <v>3</v>
      </c>
      <c r="L88" s="1">
        <f t="shared" si="180"/>
        <v>4</v>
      </c>
      <c r="M88" s="1">
        <f t="shared" si="180"/>
        <v>6</v>
      </c>
      <c r="N88" s="1">
        <f t="shared" si="180"/>
        <v>4</v>
      </c>
      <c r="O88" s="1" t="str">
        <f t="shared" si="6"/>
        <v/>
      </c>
      <c r="P88" s="1">
        <f t="shared" ref="P88:AB88" si="181">if(C$2="","",C88*P$1)</f>
        <v>2223</v>
      </c>
      <c r="Q88" s="1" t="str">
        <f t="shared" si="181"/>
        <v/>
      </c>
      <c r="R88" s="1" t="str">
        <f t="shared" si="181"/>
        <v/>
      </c>
      <c r="S88" s="1" t="str">
        <f t="shared" si="181"/>
        <v/>
      </c>
      <c r="T88" s="1">
        <f t="shared" si="181"/>
        <v>24140</v>
      </c>
      <c r="U88" s="1" t="str">
        <f t="shared" si="181"/>
        <v/>
      </c>
      <c r="V88" s="1" t="str">
        <f t="shared" si="181"/>
        <v/>
      </c>
      <c r="W88" s="1">
        <f t="shared" si="181"/>
        <v>14760.70996</v>
      </c>
      <c r="X88" s="1">
        <f t="shared" si="181"/>
        <v>13200</v>
      </c>
      <c r="Y88" s="1">
        <f t="shared" si="181"/>
        <v>40400</v>
      </c>
      <c r="Z88" s="1">
        <f t="shared" si="181"/>
        <v>63000</v>
      </c>
      <c r="AA88" s="1">
        <f t="shared" si="181"/>
        <v>400589.625</v>
      </c>
      <c r="AB88" s="1" t="str">
        <f t="shared" si="181"/>
        <v/>
      </c>
      <c r="AC88" s="1" t="str">
        <f>if(Calculator!$C$8,SUM(P88:AB88),"")</f>
        <v/>
      </c>
      <c r="AE88" s="1">
        <f t="shared" si="8"/>
        <v>6696.884324</v>
      </c>
      <c r="AF88" s="1">
        <f t="shared" si="9"/>
        <v>666531.6046</v>
      </c>
      <c r="AG88" s="1">
        <f t="shared" si="10"/>
        <v>7750.367495</v>
      </c>
      <c r="AH88" s="1">
        <f t="shared" si="11"/>
        <v>6492.015523</v>
      </c>
      <c r="AI88" s="1">
        <f t="shared" si="15"/>
        <v>1258.351972</v>
      </c>
      <c r="AJ88" s="1" t="str">
        <f t="shared" si="12"/>
        <v/>
      </c>
    </row>
    <row r="89">
      <c r="A89" s="5">
        <v>86.0</v>
      </c>
      <c r="B89" s="8">
        <f t="shared" si="4"/>
        <v>0.8281267403</v>
      </c>
      <c r="C89" s="4">
        <f t="shared" ref="C89:N89" si="182">IF(C$2="","",C$1-_xlfn.FLOOR.MATH(C$1*(180-MIN(180,$A89))/180))</f>
        <v>58</v>
      </c>
      <c r="D89" s="1" t="str">
        <f t="shared" si="182"/>
        <v/>
      </c>
      <c r="E89" s="1" t="str">
        <f t="shared" si="182"/>
        <v/>
      </c>
      <c r="F89" s="1" t="str">
        <f t="shared" si="182"/>
        <v/>
      </c>
      <c r="G89" s="1">
        <f t="shared" si="182"/>
        <v>144</v>
      </c>
      <c r="H89" s="1" t="str">
        <f t="shared" si="182"/>
        <v/>
      </c>
      <c r="I89" s="1" t="str">
        <f t="shared" si="182"/>
        <v/>
      </c>
      <c r="J89" s="1">
        <f t="shared" si="182"/>
        <v>1</v>
      </c>
      <c r="K89" s="1">
        <f t="shared" si="182"/>
        <v>3</v>
      </c>
      <c r="L89" s="1">
        <f t="shared" si="182"/>
        <v>4</v>
      </c>
      <c r="M89" s="1">
        <f t="shared" si="182"/>
        <v>6</v>
      </c>
      <c r="N89" s="1">
        <f t="shared" si="182"/>
        <v>4</v>
      </c>
      <c r="O89" s="1" t="str">
        <f t="shared" si="6"/>
        <v/>
      </c>
      <c r="P89" s="1">
        <f t="shared" ref="P89:AB89" si="183">if(C$2="","",C89*P$1)</f>
        <v>2262</v>
      </c>
      <c r="Q89" s="1" t="str">
        <f t="shared" si="183"/>
        <v/>
      </c>
      <c r="R89" s="1" t="str">
        <f t="shared" si="183"/>
        <v/>
      </c>
      <c r="S89" s="1" t="str">
        <f t="shared" si="183"/>
        <v/>
      </c>
      <c r="T89" s="1">
        <f t="shared" si="183"/>
        <v>24480</v>
      </c>
      <c r="U89" s="1" t="str">
        <f t="shared" si="183"/>
        <v/>
      </c>
      <c r="V89" s="1" t="str">
        <f t="shared" si="183"/>
        <v/>
      </c>
      <c r="W89" s="1">
        <f t="shared" si="183"/>
        <v>14760.70996</v>
      </c>
      <c r="X89" s="1">
        <f t="shared" si="183"/>
        <v>13200</v>
      </c>
      <c r="Y89" s="1">
        <f t="shared" si="183"/>
        <v>40400</v>
      </c>
      <c r="Z89" s="1">
        <f t="shared" si="183"/>
        <v>63000</v>
      </c>
      <c r="AA89" s="1">
        <f t="shared" si="183"/>
        <v>400589.625</v>
      </c>
      <c r="AB89" s="1" t="str">
        <f t="shared" si="183"/>
        <v/>
      </c>
      <c r="AC89" s="1" t="str">
        <f>if(Calculator!$C$8,SUM(P89:AB89),"")</f>
        <v/>
      </c>
      <c r="AE89" s="1">
        <f t="shared" si="8"/>
        <v>6625.013922</v>
      </c>
      <c r="AF89" s="1">
        <f t="shared" si="9"/>
        <v>673156.6185</v>
      </c>
      <c r="AG89" s="1">
        <f t="shared" si="10"/>
        <v>7737.432396</v>
      </c>
      <c r="AH89" s="1">
        <f t="shared" si="11"/>
        <v>6421.750977</v>
      </c>
      <c r="AI89" s="1">
        <f t="shared" si="15"/>
        <v>1315.68142</v>
      </c>
      <c r="AJ89" s="1" t="str">
        <f t="shared" si="12"/>
        <v/>
      </c>
    </row>
    <row r="90">
      <c r="A90" s="5">
        <v>87.0</v>
      </c>
      <c r="B90" s="8">
        <f t="shared" si="4"/>
        <v>0.8188244796</v>
      </c>
      <c r="C90" s="4">
        <f t="shared" ref="C90:N90" si="184">IF(C$2="","",C$1-_xlfn.FLOOR.MATH(C$1*(180-MIN(180,$A90))/180))</f>
        <v>58</v>
      </c>
      <c r="D90" s="1" t="str">
        <f t="shared" si="184"/>
        <v/>
      </c>
      <c r="E90" s="1" t="str">
        <f t="shared" si="184"/>
        <v/>
      </c>
      <c r="F90" s="1" t="str">
        <f t="shared" si="184"/>
        <v/>
      </c>
      <c r="G90" s="1">
        <f t="shared" si="184"/>
        <v>145</v>
      </c>
      <c r="H90" s="1" t="str">
        <f t="shared" si="184"/>
        <v/>
      </c>
      <c r="I90" s="1" t="str">
        <f t="shared" si="184"/>
        <v/>
      </c>
      <c r="J90" s="1">
        <f t="shared" si="184"/>
        <v>1</v>
      </c>
      <c r="K90" s="1">
        <f t="shared" si="184"/>
        <v>3</v>
      </c>
      <c r="L90" s="1">
        <f t="shared" si="184"/>
        <v>4</v>
      </c>
      <c r="M90" s="1">
        <f t="shared" si="184"/>
        <v>6</v>
      </c>
      <c r="N90" s="1">
        <f t="shared" si="184"/>
        <v>4</v>
      </c>
      <c r="O90" s="1" t="str">
        <f t="shared" si="6"/>
        <v/>
      </c>
      <c r="P90" s="1">
        <f t="shared" ref="P90:AB90" si="185">if(C$2="","",C90*P$1)</f>
        <v>2262</v>
      </c>
      <c r="Q90" s="1" t="str">
        <f t="shared" si="185"/>
        <v/>
      </c>
      <c r="R90" s="1" t="str">
        <f t="shared" si="185"/>
        <v/>
      </c>
      <c r="S90" s="1" t="str">
        <f t="shared" si="185"/>
        <v/>
      </c>
      <c r="T90" s="1">
        <f t="shared" si="185"/>
        <v>24650</v>
      </c>
      <c r="U90" s="1" t="str">
        <f t="shared" si="185"/>
        <v/>
      </c>
      <c r="V90" s="1" t="str">
        <f t="shared" si="185"/>
        <v/>
      </c>
      <c r="W90" s="1">
        <f t="shared" si="185"/>
        <v>14760.70996</v>
      </c>
      <c r="X90" s="1">
        <f t="shared" si="185"/>
        <v>13200</v>
      </c>
      <c r="Y90" s="1">
        <f t="shared" si="185"/>
        <v>40400</v>
      </c>
      <c r="Z90" s="1">
        <f t="shared" si="185"/>
        <v>63000</v>
      </c>
      <c r="AA90" s="1">
        <f t="shared" si="185"/>
        <v>400589.625</v>
      </c>
      <c r="AB90" s="1" t="str">
        <f t="shared" si="185"/>
        <v/>
      </c>
      <c r="AC90" s="1" t="str">
        <f>if(Calculator!$C$8,SUM(P90:AB90),"")</f>
        <v/>
      </c>
      <c r="AE90" s="1">
        <f t="shared" si="8"/>
        <v>6550.595837</v>
      </c>
      <c r="AF90" s="1">
        <f t="shared" si="9"/>
        <v>679707.2143</v>
      </c>
      <c r="AG90" s="1">
        <f t="shared" si="10"/>
        <v>7723.945617</v>
      </c>
      <c r="AH90" s="1">
        <f t="shared" si="11"/>
        <v>6350.708352</v>
      </c>
      <c r="AI90" s="1">
        <f t="shared" si="15"/>
        <v>1373.237265</v>
      </c>
      <c r="AJ90" s="1" t="str">
        <f t="shared" si="12"/>
        <v/>
      </c>
    </row>
    <row r="91">
      <c r="A91" s="5">
        <v>88.0</v>
      </c>
      <c r="B91" s="8">
        <f t="shared" si="4"/>
        <v>0.8092115873</v>
      </c>
      <c r="C91" s="4">
        <f t="shared" ref="C91:N91" si="186">IF(C$2="","",C$1-_xlfn.FLOOR.MATH(C$1*(180-MIN(180,$A91))/180))</f>
        <v>59</v>
      </c>
      <c r="D91" s="1" t="str">
        <f t="shared" si="186"/>
        <v/>
      </c>
      <c r="E91" s="1" t="str">
        <f t="shared" si="186"/>
        <v/>
      </c>
      <c r="F91" s="1" t="str">
        <f t="shared" si="186"/>
        <v/>
      </c>
      <c r="G91" s="1">
        <f t="shared" si="186"/>
        <v>147</v>
      </c>
      <c r="H91" s="1" t="str">
        <f t="shared" si="186"/>
        <v/>
      </c>
      <c r="I91" s="1" t="str">
        <f t="shared" si="186"/>
        <v/>
      </c>
      <c r="J91" s="1">
        <f t="shared" si="186"/>
        <v>1</v>
      </c>
      <c r="K91" s="1">
        <f t="shared" si="186"/>
        <v>3</v>
      </c>
      <c r="L91" s="1">
        <f t="shared" si="186"/>
        <v>4</v>
      </c>
      <c r="M91" s="1">
        <f t="shared" si="186"/>
        <v>6</v>
      </c>
      <c r="N91" s="1">
        <f t="shared" si="186"/>
        <v>4</v>
      </c>
      <c r="O91" s="1" t="str">
        <f t="shared" si="6"/>
        <v/>
      </c>
      <c r="P91" s="1">
        <f t="shared" ref="P91:AB91" si="187">if(C$2="","",C91*P$1)</f>
        <v>2301</v>
      </c>
      <c r="Q91" s="1" t="str">
        <f t="shared" si="187"/>
        <v/>
      </c>
      <c r="R91" s="1" t="str">
        <f t="shared" si="187"/>
        <v/>
      </c>
      <c r="S91" s="1" t="str">
        <f t="shared" si="187"/>
        <v/>
      </c>
      <c r="T91" s="1">
        <f t="shared" si="187"/>
        <v>24990</v>
      </c>
      <c r="U91" s="1" t="str">
        <f t="shared" si="187"/>
        <v/>
      </c>
      <c r="V91" s="1" t="str">
        <f t="shared" si="187"/>
        <v/>
      </c>
      <c r="W91" s="1">
        <f t="shared" si="187"/>
        <v>14760.70996</v>
      </c>
      <c r="X91" s="1">
        <f t="shared" si="187"/>
        <v>13200</v>
      </c>
      <c r="Y91" s="1">
        <f t="shared" si="187"/>
        <v>40400</v>
      </c>
      <c r="Z91" s="1">
        <f t="shared" si="187"/>
        <v>63000</v>
      </c>
      <c r="AA91" s="1">
        <f t="shared" si="187"/>
        <v>400589.625</v>
      </c>
      <c r="AB91" s="1" t="str">
        <f t="shared" si="187"/>
        <v/>
      </c>
      <c r="AC91" s="1" t="str">
        <f>if(Calculator!$C$8,SUM(P91:AB91),"")</f>
        <v/>
      </c>
      <c r="AE91" s="1">
        <f t="shared" si="8"/>
        <v>6473.692698</v>
      </c>
      <c r="AF91" s="1">
        <f t="shared" si="9"/>
        <v>686180.907</v>
      </c>
      <c r="AG91" s="1">
        <f t="shared" si="10"/>
        <v>7709.897832</v>
      </c>
      <c r="AH91" s="1">
        <f t="shared" si="11"/>
        <v>6283.610505</v>
      </c>
      <c r="AI91" s="1">
        <f t="shared" si="15"/>
        <v>1426.287326</v>
      </c>
      <c r="AJ91" s="1" t="str">
        <f t="shared" si="12"/>
        <v/>
      </c>
    </row>
    <row r="92">
      <c r="A92" s="5">
        <v>89.0</v>
      </c>
      <c r="B92" s="8">
        <f t="shared" si="4"/>
        <v>0.7992980646</v>
      </c>
      <c r="C92" s="4">
        <f t="shared" ref="C92:N92" si="188">IF(C$2="","",C$1-_xlfn.FLOOR.MATH(C$1*(180-MIN(180,$A92))/180))</f>
        <v>60</v>
      </c>
      <c r="D92" s="1" t="str">
        <f t="shared" si="188"/>
        <v/>
      </c>
      <c r="E92" s="1" t="str">
        <f t="shared" si="188"/>
        <v/>
      </c>
      <c r="F92" s="1" t="str">
        <f t="shared" si="188"/>
        <v/>
      </c>
      <c r="G92" s="1">
        <f t="shared" si="188"/>
        <v>149</v>
      </c>
      <c r="H92" s="1" t="str">
        <f t="shared" si="188"/>
        <v/>
      </c>
      <c r="I92" s="1" t="str">
        <f t="shared" si="188"/>
        <v/>
      </c>
      <c r="J92" s="1">
        <f t="shared" si="188"/>
        <v>1</v>
      </c>
      <c r="K92" s="1">
        <f t="shared" si="188"/>
        <v>3</v>
      </c>
      <c r="L92" s="1">
        <f t="shared" si="188"/>
        <v>4</v>
      </c>
      <c r="M92" s="1">
        <f t="shared" si="188"/>
        <v>6</v>
      </c>
      <c r="N92" s="1">
        <f t="shared" si="188"/>
        <v>4</v>
      </c>
      <c r="O92" s="1" t="str">
        <f t="shared" si="6"/>
        <v/>
      </c>
      <c r="P92" s="1">
        <f t="shared" ref="P92:AB92" si="189">if(C$2="","",C92*P$1)</f>
        <v>2340</v>
      </c>
      <c r="Q92" s="1" t="str">
        <f t="shared" si="189"/>
        <v/>
      </c>
      <c r="R92" s="1" t="str">
        <f t="shared" si="189"/>
        <v/>
      </c>
      <c r="S92" s="1" t="str">
        <f t="shared" si="189"/>
        <v/>
      </c>
      <c r="T92" s="1">
        <f t="shared" si="189"/>
        <v>25330</v>
      </c>
      <c r="U92" s="1" t="str">
        <f t="shared" si="189"/>
        <v/>
      </c>
      <c r="V92" s="1" t="str">
        <f t="shared" si="189"/>
        <v/>
      </c>
      <c r="W92" s="1">
        <f t="shared" si="189"/>
        <v>14760.70996</v>
      </c>
      <c r="X92" s="1">
        <f t="shared" si="189"/>
        <v>13200</v>
      </c>
      <c r="Y92" s="1">
        <f t="shared" si="189"/>
        <v>40400</v>
      </c>
      <c r="Z92" s="1">
        <f t="shared" si="189"/>
        <v>63000</v>
      </c>
      <c r="AA92" s="1">
        <f t="shared" si="189"/>
        <v>400589.625</v>
      </c>
      <c r="AB92" s="1" t="str">
        <f t="shared" si="189"/>
        <v/>
      </c>
      <c r="AC92" s="1" t="str">
        <f>if(Calculator!$C$8,SUM(P92:AB92),"")</f>
        <v/>
      </c>
      <c r="AE92" s="1">
        <f t="shared" si="8"/>
        <v>6394.384517</v>
      </c>
      <c r="AF92" s="1">
        <f t="shared" si="9"/>
        <v>692575.2915</v>
      </c>
      <c r="AG92" s="1">
        <f t="shared" si="10"/>
        <v>7695.281017</v>
      </c>
      <c r="AH92" s="1">
        <f t="shared" si="11"/>
        <v>6218.003722</v>
      </c>
      <c r="AI92" s="1">
        <f t="shared" si="15"/>
        <v>1477.277295</v>
      </c>
      <c r="AJ92" s="1" t="str">
        <f t="shared" si="12"/>
        <v/>
      </c>
    </row>
    <row r="93">
      <c r="A93" s="5">
        <v>90.0</v>
      </c>
      <c r="B93" s="8">
        <f t="shared" si="4"/>
        <v>0.7890961322</v>
      </c>
      <c r="C93" s="4">
        <f t="shared" ref="C93:N93" si="190">IF(C$2="","",C$1-_xlfn.FLOOR.MATH(C$1*(180-MIN(180,$A93))/180))</f>
        <v>60</v>
      </c>
      <c r="D93" s="1" t="str">
        <f t="shared" si="190"/>
        <v/>
      </c>
      <c r="E93" s="1" t="str">
        <f t="shared" si="190"/>
        <v/>
      </c>
      <c r="F93" s="1" t="str">
        <f t="shared" si="190"/>
        <v/>
      </c>
      <c r="G93" s="1">
        <f t="shared" si="190"/>
        <v>150</v>
      </c>
      <c r="H93" s="1" t="str">
        <f t="shared" si="190"/>
        <v/>
      </c>
      <c r="I93" s="1" t="str">
        <f t="shared" si="190"/>
        <v/>
      </c>
      <c r="J93" s="1">
        <f t="shared" si="190"/>
        <v>1</v>
      </c>
      <c r="K93" s="1">
        <f t="shared" si="190"/>
        <v>3</v>
      </c>
      <c r="L93" s="1">
        <f t="shared" si="190"/>
        <v>4</v>
      </c>
      <c r="M93" s="1">
        <f t="shared" si="190"/>
        <v>6</v>
      </c>
      <c r="N93" s="1">
        <f t="shared" si="190"/>
        <v>4</v>
      </c>
      <c r="O93" s="1" t="str">
        <f t="shared" si="6"/>
        <v/>
      </c>
      <c r="P93" s="1">
        <f t="shared" ref="P93:AB93" si="191">if(C$2="","",C93*P$1)</f>
        <v>2340</v>
      </c>
      <c r="Q93" s="1" t="str">
        <f t="shared" si="191"/>
        <v/>
      </c>
      <c r="R93" s="1" t="str">
        <f t="shared" si="191"/>
        <v/>
      </c>
      <c r="S93" s="1" t="str">
        <f t="shared" si="191"/>
        <v/>
      </c>
      <c r="T93" s="1">
        <f t="shared" si="191"/>
        <v>25500</v>
      </c>
      <c r="U93" s="1" t="str">
        <f t="shared" si="191"/>
        <v/>
      </c>
      <c r="V93" s="1" t="str">
        <f t="shared" si="191"/>
        <v/>
      </c>
      <c r="W93" s="1">
        <f t="shared" si="191"/>
        <v>14760.70996</v>
      </c>
      <c r="X93" s="1">
        <f t="shared" si="191"/>
        <v>13200</v>
      </c>
      <c r="Y93" s="1">
        <f t="shared" si="191"/>
        <v>40400</v>
      </c>
      <c r="Z93" s="1">
        <f t="shared" si="191"/>
        <v>63000</v>
      </c>
      <c r="AA93" s="1">
        <f t="shared" si="191"/>
        <v>400589.625</v>
      </c>
      <c r="AB93" s="1" t="str">
        <f t="shared" si="191"/>
        <v/>
      </c>
      <c r="AC93" s="1" t="str">
        <f>if(Calculator!$C$8,SUM(P93:AB93),"")</f>
        <v/>
      </c>
      <c r="AE93" s="1">
        <f t="shared" si="8"/>
        <v>6312.769058</v>
      </c>
      <c r="AF93" s="1">
        <f t="shared" si="9"/>
        <v>698888.0606</v>
      </c>
      <c r="AG93" s="1">
        <f t="shared" si="10"/>
        <v>7680.088578</v>
      </c>
      <c r="AH93" s="1">
        <f t="shared" si="11"/>
        <v>6151.542142</v>
      </c>
      <c r="AI93" s="1">
        <f t="shared" si="15"/>
        <v>1528.546436</v>
      </c>
      <c r="AJ93" s="1" t="str">
        <f t="shared" si="12"/>
        <v/>
      </c>
    </row>
    <row r="94">
      <c r="A94" s="5">
        <v>91.0</v>
      </c>
      <c r="B94" s="8">
        <f t="shared" si="4"/>
        <v>0.7786202487</v>
      </c>
      <c r="C94" s="4">
        <f t="shared" ref="C94:N94" si="192">IF(C$2="","",C$1-_xlfn.FLOOR.MATH(C$1*(180-MIN(180,$A94))/180))</f>
        <v>61</v>
      </c>
      <c r="D94" s="1" t="str">
        <f t="shared" si="192"/>
        <v/>
      </c>
      <c r="E94" s="1" t="str">
        <f t="shared" si="192"/>
        <v/>
      </c>
      <c r="F94" s="1" t="str">
        <f t="shared" si="192"/>
        <v/>
      </c>
      <c r="G94" s="1">
        <f t="shared" si="192"/>
        <v>152</v>
      </c>
      <c r="H94" s="1" t="str">
        <f t="shared" si="192"/>
        <v/>
      </c>
      <c r="I94" s="1" t="str">
        <f t="shared" si="192"/>
        <v/>
      </c>
      <c r="J94" s="1">
        <f t="shared" si="192"/>
        <v>1</v>
      </c>
      <c r="K94" s="1">
        <f t="shared" si="192"/>
        <v>4</v>
      </c>
      <c r="L94" s="1">
        <f t="shared" si="192"/>
        <v>5</v>
      </c>
      <c r="M94" s="1">
        <f t="shared" si="192"/>
        <v>7</v>
      </c>
      <c r="N94" s="1">
        <f t="shared" si="192"/>
        <v>5</v>
      </c>
      <c r="O94" s="1" t="str">
        <f t="shared" si="6"/>
        <v/>
      </c>
      <c r="P94" s="1">
        <f t="shared" ref="P94:AB94" si="193">if(C$2="","",C94*P$1)</f>
        <v>2379</v>
      </c>
      <c r="Q94" s="1" t="str">
        <f t="shared" si="193"/>
        <v/>
      </c>
      <c r="R94" s="1" t="str">
        <f t="shared" si="193"/>
        <v/>
      </c>
      <c r="S94" s="1" t="str">
        <f t="shared" si="193"/>
        <v/>
      </c>
      <c r="T94" s="1">
        <f t="shared" si="193"/>
        <v>25840</v>
      </c>
      <c r="U94" s="1" t="str">
        <f t="shared" si="193"/>
        <v/>
      </c>
      <c r="V94" s="1" t="str">
        <f t="shared" si="193"/>
        <v/>
      </c>
      <c r="W94" s="1">
        <f t="shared" si="193"/>
        <v>14760.70996</v>
      </c>
      <c r="X94" s="1">
        <f t="shared" si="193"/>
        <v>17600</v>
      </c>
      <c r="Y94" s="1">
        <f t="shared" si="193"/>
        <v>50500</v>
      </c>
      <c r="Z94" s="1">
        <f t="shared" si="193"/>
        <v>73500</v>
      </c>
      <c r="AA94" s="1">
        <f t="shared" si="193"/>
        <v>500737.0313</v>
      </c>
      <c r="AB94" s="1" t="str">
        <f t="shared" si="193"/>
        <v/>
      </c>
      <c r="AC94" s="1" t="str">
        <f>if(Calculator!$C$8,SUM(P94:AB94),"")</f>
        <v/>
      </c>
      <c r="AE94" s="1">
        <f t="shared" si="8"/>
        <v>6228.96199</v>
      </c>
      <c r="AF94" s="1">
        <f t="shared" si="9"/>
        <v>705117.0226</v>
      </c>
      <c r="AG94" s="1">
        <f t="shared" si="10"/>
        <v>7664.315463</v>
      </c>
      <c r="AH94" s="1">
        <f t="shared" si="11"/>
        <v>7449.095013</v>
      </c>
      <c r="AI94" s="1">
        <f t="shared" si="15"/>
        <v>215.2204497</v>
      </c>
      <c r="AJ94" s="1" t="str">
        <f t="shared" si="12"/>
        <v/>
      </c>
    </row>
    <row r="95">
      <c r="A95" s="5">
        <v>92.0</v>
      </c>
      <c r="B95" s="8">
        <f t="shared" si="4"/>
        <v>0.7678870965</v>
      </c>
      <c r="C95" s="4">
        <f t="shared" ref="C95:N95" si="194">IF(C$2="","",C$1-_xlfn.FLOOR.MATH(C$1*(180-MIN(180,$A95))/180))</f>
        <v>62</v>
      </c>
      <c r="D95" s="1" t="str">
        <f t="shared" si="194"/>
        <v/>
      </c>
      <c r="E95" s="1" t="str">
        <f t="shared" si="194"/>
        <v/>
      </c>
      <c r="F95" s="1" t="str">
        <f t="shared" si="194"/>
        <v/>
      </c>
      <c r="G95" s="1">
        <f t="shared" si="194"/>
        <v>154</v>
      </c>
      <c r="H95" s="1" t="str">
        <f t="shared" si="194"/>
        <v/>
      </c>
      <c r="I95" s="1" t="str">
        <f t="shared" si="194"/>
        <v/>
      </c>
      <c r="J95" s="1">
        <f t="shared" si="194"/>
        <v>1</v>
      </c>
      <c r="K95" s="1">
        <f t="shared" si="194"/>
        <v>4</v>
      </c>
      <c r="L95" s="1">
        <f t="shared" si="194"/>
        <v>5</v>
      </c>
      <c r="M95" s="1">
        <f t="shared" si="194"/>
        <v>7</v>
      </c>
      <c r="N95" s="1">
        <f t="shared" si="194"/>
        <v>5</v>
      </c>
      <c r="O95" s="1" t="str">
        <f t="shared" si="6"/>
        <v/>
      </c>
      <c r="P95" s="1">
        <f t="shared" ref="P95:AB95" si="195">if(C$2="","",C95*P$1)</f>
        <v>2418</v>
      </c>
      <c r="Q95" s="1" t="str">
        <f t="shared" si="195"/>
        <v/>
      </c>
      <c r="R95" s="1" t="str">
        <f t="shared" si="195"/>
        <v/>
      </c>
      <c r="S95" s="1" t="str">
        <f t="shared" si="195"/>
        <v/>
      </c>
      <c r="T95" s="1">
        <f t="shared" si="195"/>
        <v>26180</v>
      </c>
      <c r="U95" s="1" t="str">
        <f t="shared" si="195"/>
        <v/>
      </c>
      <c r="V95" s="1" t="str">
        <f t="shared" si="195"/>
        <v/>
      </c>
      <c r="W95" s="1">
        <f t="shared" si="195"/>
        <v>14760.70996</v>
      </c>
      <c r="X95" s="1">
        <f t="shared" si="195"/>
        <v>17600</v>
      </c>
      <c r="Y95" s="1">
        <f t="shared" si="195"/>
        <v>50500</v>
      </c>
      <c r="Z95" s="1">
        <f t="shared" si="195"/>
        <v>73500</v>
      </c>
      <c r="AA95" s="1">
        <f t="shared" si="195"/>
        <v>500737.0313</v>
      </c>
      <c r="AB95" s="1" t="str">
        <f t="shared" si="195"/>
        <v/>
      </c>
      <c r="AC95" s="1" t="str">
        <f>if(Calculator!$C$8,SUM(P95:AB95),"")</f>
        <v/>
      </c>
      <c r="AE95" s="1">
        <f t="shared" si="8"/>
        <v>6143.096772</v>
      </c>
      <c r="AF95" s="1">
        <f t="shared" si="9"/>
        <v>711260.1194</v>
      </c>
      <c r="AG95" s="1">
        <f t="shared" si="10"/>
        <v>7647.958273</v>
      </c>
      <c r="AH95" s="1">
        <f t="shared" si="11"/>
        <v>7373.072486</v>
      </c>
      <c r="AI95" s="1">
        <f t="shared" si="15"/>
        <v>274.8857865</v>
      </c>
      <c r="AJ95" s="1" t="str">
        <f t="shared" si="12"/>
        <v/>
      </c>
    </row>
    <row r="96">
      <c r="A96" s="5">
        <v>93.0</v>
      </c>
      <c r="B96" s="8">
        <f t="shared" si="4"/>
        <v>0.7569155338</v>
      </c>
      <c r="C96" s="4">
        <f t="shared" ref="C96:N96" si="196">IF(C$2="","",C$1-_xlfn.FLOOR.MATH(C$1*(180-MIN(180,$A96))/180))</f>
        <v>62</v>
      </c>
      <c r="D96" s="1" t="str">
        <f t="shared" si="196"/>
        <v/>
      </c>
      <c r="E96" s="1" t="str">
        <f t="shared" si="196"/>
        <v/>
      </c>
      <c r="F96" s="1" t="str">
        <f t="shared" si="196"/>
        <v/>
      </c>
      <c r="G96" s="1">
        <f t="shared" si="196"/>
        <v>155</v>
      </c>
      <c r="H96" s="1" t="str">
        <f t="shared" si="196"/>
        <v/>
      </c>
      <c r="I96" s="1" t="str">
        <f t="shared" si="196"/>
        <v/>
      </c>
      <c r="J96" s="1">
        <f t="shared" si="196"/>
        <v>1</v>
      </c>
      <c r="K96" s="1">
        <f t="shared" si="196"/>
        <v>4</v>
      </c>
      <c r="L96" s="1">
        <f t="shared" si="196"/>
        <v>5</v>
      </c>
      <c r="M96" s="1">
        <f t="shared" si="196"/>
        <v>7</v>
      </c>
      <c r="N96" s="1">
        <f t="shared" si="196"/>
        <v>5</v>
      </c>
      <c r="O96" s="1" t="str">
        <f t="shared" si="6"/>
        <v/>
      </c>
      <c r="P96" s="1">
        <f t="shared" ref="P96:AB96" si="197">if(C$2="","",C96*P$1)</f>
        <v>2418</v>
      </c>
      <c r="Q96" s="1" t="str">
        <f t="shared" si="197"/>
        <v/>
      </c>
      <c r="R96" s="1" t="str">
        <f t="shared" si="197"/>
        <v/>
      </c>
      <c r="S96" s="1" t="str">
        <f t="shared" si="197"/>
        <v/>
      </c>
      <c r="T96" s="1">
        <f t="shared" si="197"/>
        <v>26350</v>
      </c>
      <c r="U96" s="1" t="str">
        <f t="shared" si="197"/>
        <v/>
      </c>
      <c r="V96" s="1" t="str">
        <f t="shared" si="197"/>
        <v/>
      </c>
      <c r="W96" s="1">
        <f t="shared" si="197"/>
        <v>14760.70996</v>
      </c>
      <c r="X96" s="1">
        <f t="shared" si="197"/>
        <v>17600</v>
      </c>
      <c r="Y96" s="1">
        <f t="shared" si="197"/>
        <v>50500</v>
      </c>
      <c r="Z96" s="1">
        <f t="shared" si="197"/>
        <v>73500</v>
      </c>
      <c r="AA96" s="1">
        <f t="shared" si="197"/>
        <v>500737.0313</v>
      </c>
      <c r="AB96" s="1" t="str">
        <f t="shared" si="197"/>
        <v/>
      </c>
      <c r="AC96" s="1" t="str">
        <f>if(Calculator!$C$8,SUM(P96:AB96),"")</f>
        <v/>
      </c>
      <c r="AE96" s="1">
        <f t="shared" si="8"/>
        <v>6055.32427</v>
      </c>
      <c r="AF96" s="1">
        <f t="shared" si="9"/>
        <v>717315.4436</v>
      </c>
      <c r="AG96" s="1">
        <f t="shared" si="10"/>
        <v>7631.015358</v>
      </c>
      <c r="AH96" s="1">
        <f t="shared" si="11"/>
        <v>7296.444055</v>
      </c>
      <c r="AI96" s="1">
        <f t="shared" si="15"/>
        <v>334.5713023</v>
      </c>
      <c r="AJ96" s="1" t="str">
        <f t="shared" si="12"/>
        <v/>
      </c>
    </row>
    <row r="97">
      <c r="A97" s="5">
        <v>94.0</v>
      </c>
      <c r="B97" s="8">
        <f t="shared" si="4"/>
        <v>0.7457265106</v>
      </c>
      <c r="C97" s="4">
        <f t="shared" ref="C97:N97" si="198">IF(C$2="","",C$1-_xlfn.FLOOR.MATH(C$1*(180-MIN(180,$A97))/180))</f>
        <v>63</v>
      </c>
      <c r="D97" s="1" t="str">
        <f t="shared" si="198"/>
        <v/>
      </c>
      <c r="E97" s="1" t="str">
        <f t="shared" si="198"/>
        <v/>
      </c>
      <c r="F97" s="1" t="str">
        <f t="shared" si="198"/>
        <v/>
      </c>
      <c r="G97" s="1">
        <f t="shared" si="198"/>
        <v>157</v>
      </c>
      <c r="H97" s="1" t="str">
        <f t="shared" si="198"/>
        <v/>
      </c>
      <c r="I97" s="1" t="str">
        <f t="shared" si="198"/>
        <v/>
      </c>
      <c r="J97" s="1">
        <f t="shared" si="198"/>
        <v>1</v>
      </c>
      <c r="K97" s="1">
        <f t="shared" si="198"/>
        <v>4</v>
      </c>
      <c r="L97" s="1">
        <f t="shared" si="198"/>
        <v>5</v>
      </c>
      <c r="M97" s="1">
        <f t="shared" si="198"/>
        <v>7</v>
      </c>
      <c r="N97" s="1">
        <f t="shared" si="198"/>
        <v>5</v>
      </c>
      <c r="O97" s="1" t="str">
        <f t="shared" si="6"/>
        <v/>
      </c>
      <c r="P97" s="1">
        <f t="shared" ref="P97:AB97" si="199">if(C$2="","",C97*P$1)</f>
        <v>2457</v>
      </c>
      <c r="Q97" s="1" t="str">
        <f t="shared" si="199"/>
        <v/>
      </c>
      <c r="R97" s="1" t="str">
        <f t="shared" si="199"/>
        <v/>
      </c>
      <c r="S97" s="1" t="str">
        <f t="shared" si="199"/>
        <v/>
      </c>
      <c r="T97" s="1">
        <f t="shared" si="199"/>
        <v>26690</v>
      </c>
      <c r="U97" s="1" t="str">
        <f t="shared" si="199"/>
        <v/>
      </c>
      <c r="V97" s="1" t="str">
        <f t="shared" si="199"/>
        <v/>
      </c>
      <c r="W97" s="1">
        <f t="shared" si="199"/>
        <v>14760.70996</v>
      </c>
      <c r="X97" s="1">
        <f t="shared" si="199"/>
        <v>17600</v>
      </c>
      <c r="Y97" s="1">
        <f t="shared" si="199"/>
        <v>50500</v>
      </c>
      <c r="Z97" s="1">
        <f t="shared" si="199"/>
        <v>73500</v>
      </c>
      <c r="AA97" s="1">
        <f t="shared" si="199"/>
        <v>500737.0313</v>
      </c>
      <c r="AB97" s="1" t="str">
        <f t="shared" si="199"/>
        <v/>
      </c>
      <c r="AC97" s="1" t="str">
        <f>if(Calculator!$C$8,SUM(P97:AB97),"")</f>
        <v/>
      </c>
      <c r="AE97" s="1">
        <f t="shared" si="8"/>
        <v>5965.812085</v>
      </c>
      <c r="AF97" s="1">
        <f t="shared" si="9"/>
        <v>723281.2557</v>
      </c>
      <c r="AG97" s="1">
        <f t="shared" si="10"/>
        <v>7613.486902</v>
      </c>
      <c r="AH97" s="1">
        <f t="shared" si="11"/>
        <v>7223.628855</v>
      </c>
      <c r="AI97" s="1">
        <f t="shared" si="15"/>
        <v>389.8580474</v>
      </c>
      <c r="AJ97" s="1" t="str">
        <f t="shared" si="12"/>
        <v/>
      </c>
    </row>
    <row r="98">
      <c r="A98" s="5">
        <v>95.0</v>
      </c>
      <c r="B98" s="8">
        <f t="shared" si="4"/>
        <v>0.734342948</v>
      </c>
      <c r="C98" s="4">
        <f t="shared" ref="C98:N98" si="200">IF(C$2="","",C$1-_xlfn.FLOOR.MATH(C$1*(180-MIN(180,$A98))/180))</f>
        <v>64</v>
      </c>
      <c r="D98" s="1" t="str">
        <f t="shared" si="200"/>
        <v/>
      </c>
      <c r="E98" s="1" t="str">
        <f t="shared" si="200"/>
        <v/>
      </c>
      <c r="F98" s="1" t="str">
        <f t="shared" si="200"/>
        <v/>
      </c>
      <c r="G98" s="1">
        <f t="shared" si="200"/>
        <v>159</v>
      </c>
      <c r="H98" s="1" t="str">
        <f t="shared" si="200"/>
        <v/>
      </c>
      <c r="I98" s="1" t="str">
        <f t="shared" si="200"/>
        <v/>
      </c>
      <c r="J98" s="1">
        <f t="shared" si="200"/>
        <v>1</v>
      </c>
      <c r="K98" s="1">
        <f t="shared" si="200"/>
        <v>4</v>
      </c>
      <c r="L98" s="1">
        <f t="shared" si="200"/>
        <v>5</v>
      </c>
      <c r="M98" s="1">
        <f t="shared" si="200"/>
        <v>7</v>
      </c>
      <c r="N98" s="1">
        <f t="shared" si="200"/>
        <v>5</v>
      </c>
      <c r="O98" s="1" t="str">
        <f t="shared" si="6"/>
        <v/>
      </c>
      <c r="P98" s="1">
        <f t="shared" ref="P98:AB98" si="201">if(C$2="","",C98*P$1)</f>
        <v>2496</v>
      </c>
      <c r="Q98" s="1" t="str">
        <f t="shared" si="201"/>
        <v/>
      </c>
      <c r="R98" s="1" t="str">
        <f t="shared" si="201"/>
        <v/>
      </c>
      <c r="S98" s="1" t="str">
        <f t="shared" si="201"/>
        <v/>
      </c>
      <c r="T98" s="1">
        <f t="shared" si="201"/>
        <v>27030</v>
      </c>
      <c r="U98" s="1" t="str">
        <f t="shared" si="201"/>
        <v/>
      </c>
      <c r="V98" s="1" t="str">
        <f t="shared" si="201"/>
        <v/>
      </c>
      <c r="W98" s="1">
        <f t="shared" si="201"/>
        <v>14760.70996</v>
      </c>
      <c r="X98" s="1">
        <f t="shared" si="201"/>
        <v>17600</v>
      </c>
      <c r="Y98" s="1">
        <f t="shared" si="201"/>
        <v>50500</v>
      </c>
      <c r="Z98" s="1">
        <f t="shared" si="201"/>
        <v>73500</v>
      </c>
      <c r="AA98" s="1">
        <f t="shared" si="201"/>
        <v>500737.0313</v>
      </c>
      <c r="AB98" s="1" t="str">
        <f t="shared" si="201"/>
        <v/>
      </c>
      <c r="AC98" s="1" t="str">
        <f>if(Calculator!$C$8,SUM(P98:AB98),"")</f>
        <v/>
      </c>
      <c r="AE98" s="1">
        <f t="shared" si="8"/>
        <v>5874.743584</v>
      </c>
      <c r="AF98" s="1">
        <f t="shared" si="9"/>
        <v>729155.9993</v>
      </c>
      <c r="AG98" s="1">
        <f t="shared" si="10"/>
        <v>7595.374993</v>
      </c>
      <c r="AH98" s="1">
        <f t="shared" si="11"/>
        <v>7152.330638</v>
      </c>
      <c r="AI98" s="1">
        <f t="shared" si="15"/>
        <v>443.044355</v>
      </c>
      <c r="AJ98" s="1" t="str">
        <f t="shared" si="12"/>
        <v/>
      </c>
    </row>
    <row r="99">
      <c r="A99" s="5">
        <v>96.0</v>
      </c>
      <c r="B99" s="8">
        <f t="shared" si="4"/>
        <v>0.7227895813</v>
      </c>
      <c r="C99" s="4">
        <f t="shared" ref="C99:N99" si="202">IF(C$2="","",C$1-_xlfn.FLOOR.MATH(C$1*(180-MIN(180,$A99))/180))</f>
        <v>64</v>
      </c>
      <c r="D99" s="1" t="str">
        <f t="shared" si="202"/>
        <v/>
      </c>
      <c r="E99" s="1" t="str">
        <f t="shared" si="202"/>
        <v/>
      </c>
      <c r="F99" s="1" t="str">
        <f t="shared" si="202"/>
        <v/>
      </c>
      <c r="G99" s="1">
        <f t="shared" si="202"/>
        <v>160</v>
      </c>
      <c r="H99" s="1" t="str">
        <f t="shared" si="202"/>
        <v/>
      </c>
      <c r="I99" s="1" t="str">
        <f t="shared" si="202"/>
        <v/>
      </c>
      <c r="J99" s="1">
        <f t="shared" si="202"/>
        <v>1</v>
      </c>
      <c r="K99" s="1">
        <f t="shared" si="202"/>
        <v>4</v>
      </c>
      <c r="L99" s="1">
        <f t="shared" si="202"/>
        <v>5</v>
      </c>
      <c r="M99" s="1">
        <f t="shared" si="202"/>
        <v>7</v>
      </c>
      <c r="N99" s="1">
        <f t="shared" si="202"/>
        <v>5</v>
      </c>
      <c r="O99" s="1" t="str">
        <f t="shared" si="6"/>
        <v/>
      </c>
      <c r="P99" s="1">
        <f t="shared" ref="P99:AB99" si="203">if(C$2="","",C99*P$1)</f>
        <v>2496</v>
      </c>
      <c r="Q99" s="1" t="str">
        <f t="shared" si="203"/>
        <v/>
      </c>
      <c r="R99" s="1" t="str">
        <f t="shared" si="203"/>
        <v/>
      </c>
      <c r="S99" s="1" t="str">
        <f t="shared" si="203"/>
        <v/>
      </c>
      <c r="T99" s="1">
        <f t="shared" si="203"/>
        <v>27200</v>
      </c>
      <c r="U99" s="1" t="str">
        <f t="shared" si="203"/>
        <v/>
      </c>
      <c r="V99" s="1" t="str">
        <f t="shared" si="203"/>
        <v/>
      </c>
      <c r="W99" s="1">
        <f t="shared" si="203"/>
        <v>14760.70996</v>
      </c>
      <c r="X99" s="1">
        <f t="shared" si="203"/>
        <v>17600</v>
      </c>
      <c r="Y99" s="1">
        <f t="shared" si="203"/>
        <v>50500</v>
      </c>
      <c r="Z99" s="1">
        <f t="shared" si="203"/>
        <v>73500</v>
      </c>
      <c r="AA99" s="1">
        <f t="shared" si="203"/>
        <v>500737.0313</v>
      </c>
      <c r="AB99" s="1" t="str">
        <f t="shared" si="203"/>
        <v/>
      </c>
      <c r="AC99" s="1" t="str">
        <f>if(Calculator!$C$8,SUM(P99:AB99),"")</f>
        <v/>
      </c>
      <c r="AE99" s="1">
        <f t="shared" si="8"/>
        <v>5782.316651</v>
      </c>
      <c r="AF99" s="1">
        <f t="shared" si="9"/>
        <v>734938.3159</v>
      </c>
      <c r="AG99" s="1">
        <f t="shared" si="10"/>
        <v>7576.68367</v>
      </c>
      <c r="AH99" s="1">
        <f t="shared" si="11"/>
        <v>7080.347848</v>
      </c>
      <c r="AI99" s="1">
        <f t="shared" si="15"/>
        <v>496.335822</v>
      </c>
      <c r="AJ99" s="1" t="str">
        <f t="shared" si="12"/>
        <v/>
      </c>
    </row>
    <row r="100">
      <c r="A100" s="5">
        <v>97.0</v>
      </c>
      <c r="B100" s="8">
        <f t="shared" si="4"/>
        <v>0.7110927695</v>
      </c>
      <c r="C100" s="4">
        <f t="shared" ref="C100:N100" si="204">IF(C$2="","",C$1-_xlfn.FLOOR.MATH(C$1*(180-MIN(180,$A100))/180))</f>
        <v>65</v>
      </c>
      <c r="D100" s="1" t="str">
        <f t="shared" si="204"/>
        <v/>
      </c>
      <c r="E100" s="1" t="str">
        <f t="shared" si="204"/>
        <v/>
      </c>
      <c r="F100" s="1" t="str">
        <f t="shared" si="204"/>
        <v/>
      </c>
      <c r="G100" s="1">
        <f t="shared" si="204"/>
        <v>162</v>
      </c>
      <c r="H100" s="1" t="str">
        <f t="shared" si="204"/>
        <v/>
      </c>
      <c r="I100" s="1" t="str">
        <f t="shared" si="204"/>
        <v/>
      </c>
      <c r="J100" s="1">
        <f t="shared" si="204"/>
        <v>1</v>
      </c>
      <c r="K100" s="1">
        <f t="shared" si="204"/>
        <v>4</v>
      </c>
      <c r="L100" s="1">
        <f t="shared" si="204"/>
        <v>5</v>
      </c>
      <c r="M100" s="1">
        <f t="shared" si="204"/>
        <v>7</v>
      </c>
      <c r="N100" s="1">
        <f t="shared" si="204"/>
        <v>5</v>
      </c>
      <c r="O100" s="1" t="str">
        <f t="shared" si="6"/>
        <v/>
      </c>
      <c r="P100" s="1">
        <f t="shared" ref="P100:AB100" si="205">if(C$2="","",C100*P$1)</f>
        <v>2535</v>
      </c>
      <c r="Q100" s="1" t="str">
        <f t="shared" si="205"/>
        <v/>
      </c>
      <c r="R100" s="1" t="str">
        <f t="shared" si="205"/>
        <v/>
      </c>
      <c r="S100" s="1" t="str">
        <f t="shared" si="205"/>
        <v/>
      </c>
      <c r="T100" s="1">
        <f t="shared" si="205"/>
        <v>27540</v>
      </c>
      <c r="U100" s="1" t="str">
        <f t="shared" si="205"/>
        <v/>
      </c>
      <c r="V100" s="1" t="str">
        <f t="shared" si="205"/>
        <v/>
      </c>
      <c r="W100" s="1">
        <f t="shared" si="205"/>
        <v>14760.70996</v>
      </c>
      <c r="X100" s="1">
        <f t="shared" si="205"/>
        <v>17600</v>
      </c>
      <c r="Y100" s="1">
        <f t="shared" si="205"/>
        <v>50500</v>
      </c>
      <c r="Z100" s="1">
        <f t="shared" si="205"/>
        <v>73500</v>
      </c>
      <c r="AA100" s="1">
        <f t="shared" si="205"/>
        <v>500737.0313</v>
      </c>
      <c r="AB100" s="1" t="str">
        <f t="shared" si="205"/>
        <v/>
      </c>
      <c r="AC100" s="1" t="str">
        <f>if(Calculator!$C$8,SUM(P100:AB100),"")</f>
        <v/>
      </c>
      <c r="AE100" s="1">
        <f t="shared" si="8"/>
        <v>5688.742156</v>
      </c>
      <c r="AF100" s="1">
        <f t="shared" si="9"/>
        <v>740627.0581</v>
      </c>
      <c r="AG100" s="1">
        <f t="shared" si="10"/>
        <v>7557.41896</v>
      </c>
      <c r="AH100" s="1">
        <f t="shared" si="11"/>
        <v>7011.966747</v>
      </c>
      <c r="AI100" s="1">
        <f t="shared" si="15"/>
        <v>545.4522132</v>
      </c>
      <c r="AJ100" s="1" t="str">
        <f t="shared" si="12"/>
        <v/>
      </c>
    </row>
    <row r="101">
      <c r="A101" s="5">
        <v>98.0</v>
      </c>
      <c r="B101" s="8">
        <f t="shared" si="4"/>
        <v>0.6992802711</v>
      </c>
      <c r="C101" s="4">
        <f t="shared" ref="C101:N101" si="206">IF(C$2="","",C$1-_xlfn.FLOOR.MATH(C$1*(180-MIN(180,$A101))/180))</f>
        <v>66</v>
      </c>
      <c r="D101" s="1" t="str">
        <f t="shared" si="206"/>
        <v/>
      </c>
      <c r="E101" s="1" t="str">
        <f t="shared" si="206"/>
        <v/>
      </c>
      <c r="F101" s="1" t="str">
        <f t="shared" si="206"/>
        <v/>
      </c>
      <c r="G101" s="1">
        <f t="shared" si="206"/>
        <v>164</v>
      </c>
      <c r="H101" s="1" t="str">
        <f t="shared" si="206"/>
        <v/>
      </c>
      <c r="I101" s="1" t="str">
        <f t="shared" si="206"/>
        <v/>
      </c>
      <c r="J101" s="1">
        <f t="shared" si="206"/>
        <v>1</v>
      </c>
      <c r="K101" s="1">
        <f t="shared" si="206"/>
        <v>4</v>
      </c>
      <c r="L101" s="1">
        <f t="shared" si="206"/>
        <v>5</v>
      </c>
      <c r="M101" s="1">
        <f t="shared" si="206"/>
        <v>7</v>
      </c>
      <c r="N101" s="1">
        <f t="shared" si="206"/>
        <v>5</v>
      </c>
      <c r="O101" s="1" t="str">
        <f t="shared" si="6"/>
        <v/>
      </c>
      <c r="P101" s="1">
        <f t="shared" ref="P101:AB101" si="207">if(C$2="","",C101*P$1)</f>
        <v>2574</v>
      </c>
      <c r="Q101" s="1" t="str">
        <f t="shared" si="207"/>
        <v/>
      </c>
      <c r="R101" s="1" t="str">
        <f t="shared" si="207"/>
        <v/>
      </c>
      <c r="S101" s="1" t="str">
        <f t="shared" si="207"/>
        <v/>
      </c>
      <c r="T101" s="1">
        <f t="shared" si="207"/>
        <v>27880</v>
      </c>
      <c r="U101" s="1" t="str">
        <f t="shared" si="207"/>
        <v/>
      </c>
      <c r="V101" s="1" t="str">
        <f t="shared" si="207"/>
        <v/>
      </c>
      <c r="W101" s="1">
        <f t="shared" si="207"/>
        <v>14760.70996</v>
      </c>
      <c r="X101" s="1">
        <f t="shared" si="207"/>
        <v>17600</v>
      </c>
      <c r="Y101" s="1">
        <f t="shared" si="207"/>
        <v>50500</v>
      </c>
      <c r="Z101" s="1">
        <f t="shared" si="207"/>
        <v>73500</v>
      </c>
      <c r="AA101" s="1">
        <f t="shared" si="207"/>
        <v>500737.0313</v>
      </c>
      <c r="AB101" s="1" t="str">
        <f t="shared" si="207"/>
        <v/>
      </c>
      <c r="AC101" s="1" t="str">
        <f>if(Calculator!$C$8,SUM(P101:AB101),"")</f>
        <v/>
      </c>
      <c r="AE101" s="1">
        <f t="shared" si="8"/>
        <v>5594.242168</v>
      </c>
      <c r="AF101" s="1">
        <f t="shared" si="9"/>
        <v>746221.3003</v>
      </c>
      <c r="AG101" s="1">
        <f t="shared" si="10"/>
        <v>7537.588892</v>
      </c>
      <c r="AH101" s="1">
        <f t="shared" si="11"/>
        <v>6944.967083</v>
      </c>
      <c r="AI101" s="1">
        <f t="shared" si="15"/>
        <v>592.6218087</v>
      </c>
      <c r="AJ101" s="1" t="str">
        <f t="shared" si="12"/>
        <v/>
      </c>
    </row>
    <row r="102">
      <c r="A102" s="5">
        <v>99.0</v>
      </c>
      <c r="B102" s="8">
        <f t="shared" si="4"/>
        <v>0.6873809928</v>
      </c>
      <c r="C102" s="4">
        <f t="shared" ref="C102:N102" si="208">IF(C$2="","",C$1-_xlfn.FLOOR.MATH(C$1*(180-MIN(180,$A102))/180))</f>
        <v>66</v>
      </c>
      <c r="D102" s="1" t="str">
        <f t="shared" si="208"/>
        <v/>
      </c>
      <c r="E102" s="1" t="str">
        <f t="shared" si="208"/>
        <v/>
      </c>
      <c r="F102" s="1" t="str">
        <f t="shared" si="208"/>
        <v/>
      </c>
      <c r="G102" s="1">
        <f t="shared" si="208"/>
        <v>165</v>
      </c>
      <c r="H102" s="1" t="str">
        <f t="shared" si="208"/>
        <v/>
      </c>
      <c r="I102" s="1" t="str">
        <f t="shared" si="208"/>
        <v/>
      </c>
      <c r="J102" s="1">
        <f t="shared" si="208"/>
        <v>1</v>
      </c>
      <c r="K102" s="1">
        <f t="shared" si="208"/>
        <v>4</v>
      </c>
      <c r="L102" s="1">
        <f t="shared" si="208"/>
        <v>5</v>
      </c>
      <c r="M102" s="1">
        <f t="shared" si="208"/>
        <v>7</v>
      </c>
      <c r="N102" s="1">
        <f t="shared" si="208"/>
        <v>5</v>
      </c>
      <c r="O102" s="1" t="str">
        <f t="shared" si="6"/>
        <v/>
      </c>
      <c r="P102" s="1">
        <f t="shared" ref="P102:AB102" si="209">if(C$2="","",C102*P$1)</f>
        <v>2574</v>
      </c>
      <c r="Q102" s="1" t="str">
        <f t="shared" si="209"/>
        <v/>
      </c>
      <c r="R102" s="1" t="str">
        <f t="shared" si="209"/>
        <v/>
      </c>
      <c r="S102" s="1" t="str">
        <f t="shared" si="209"/>
        <v/>
      </c>
      <c r="T102" s="1">
        <f t="shared" si="209"/>
        <v>28050</v>
      </c>
      <c r="U102" s="1" t="str">
        <f t="shared" si="209"/>
        <v/>
      </c>
      <c r="V102" s="1" t="str">
        <f t="shared" si="209"/>
        <v/>
      </c>
      <c r="W102" s="1">
        <f t="shared" si="209"/>
        <v>14760.70996</v>
      </c>
      <c r="X102" s="1">
        <f t="shared" si="209"/>
        <v>17600</v>
      </c>
      <c r="Y102" s="1">
        <f t="shared" si="209"/>
        <v>50500</v>
      </c>
      <c r="Z102" s="1">
        <f t="shared" si="209"/>
        <v>73500</v>
      </c>
      <c r="AA102" s="1">
        <f t="shared" si="209"/>
        <v>500737.0313</v>
      </c>
      <c r="AB102" s="1" t="str">
        <f t="shared" si="209"/>
        <v/>
      </c>
      <c r="AC102" s="1" t="str">
        <f>if(Calculator!$C$8,SUM(P102:AB102),"")</f>
        <v/>
      </c>
      <c r="AE102" s="1">
        <f t="shared" si="8"/>
        <v>5499.047943</v>
      </c>
      <c r="AF102" s="1">
        <f t="shared" si="9"/>
        <v>751720.3482</v>
      </c>
      <c r="AG102" s="1">
        <f t="shared" si="10"/>
        <v>7517.203482</v>
      </c>
      <c r="AH102" s="1">
        <f t="shared" si="11"/>
        <v>6877.217412</v>
      </c>
      <c r="AI102" s="1">
        <f t="shared" si="15"/>
        <v>639.98607</v>
      </c>
      <c r="AJ102" s="1" t="str">
        <f t="shared" si="12"/>
        <v/>
      </c>
    </row>
    <row r="103">
      <c r="A103" s="5">
        <v>100.0</v>
      </c>
      <c r="B103" s="8">
        <f t="shared" si="4"/>
        <v>0.6754247141</v>
      </c>
      <c r="C103" s="4">
        <f t="shared" ref="C103:N103" si="210">IF(C$2="","",C$1-_xlfn.FLOOR.MATH(C$1*(180-MIN(180,$A103))/180))</f>
        <v>67</v>
      </c>
      <c r="D103" s="1" t="str">
        <f t="shared" si="210"/>
        <v/>
      </c>
      <c r="E103" s="1" t="str">
        <f t="shared" si="210"/>
        <v/>
      </c>
      <c r="F103" s="1" t="str">
        <f t="shared" si="210"/>
        <v/>
      </c>
      <c r="G103" s="1">
        <f t="shared" si="210"/>
        <v>167</v>
      </c>
      <c r="H103" s="1" t="str">
        <f t="shared" si="210"/>
        <v/>
      </c>
      <c r="I103" s="1" t="str">
        <f t="shared" si="210"/>
        <v/>
      </c>
      <c r="J103" s="1">
        <f t="shared" si="210"/>
        <v>1</v>
      </c>
      <c r="K103" s="1">
        <f t="shared" si="210"/>
        <v>4</v>
      </c>
      <c r="L103" s="1">
        <f t="shared" si="210"/>
        <v>5</v>
      </c>
      <c r="M103" s="1">
        <f t="shared" si="210"/>
        <v>7</v>
      </c>
      <c r="N103" s="1">
        <f t="shared" si="210"/>
        <v>5</v>
      </c>
      <c r="O103" s="1" t="str">
        <f t="shared" si="6"/>
        <v/>
      </c>
      <c r="P103" s="1">
        <f t="shared" ref="P103:AB103" si="211">if(C$2="","",C103*P$1)</f>
        <v>2613</v>
      </c>
      <c r="Q103" s="1" t="str">
        <f t="shared" si="211"/>
        <v/>
      </c>
      <c r="R103" s="1" t="str">
        <f t="shared" si="211"/>
        <v/>
      </c>
      <c r="S103" s="1" t="str">
        <f t="shared" si="211"/>
        <v/>
      </c>
      <c r="T103" s="1">
        <f t="shared" si="211"/>
        <v>28390</v>
      </c>
      <c r="U103" s="1" t="str">
        <f t="shared" si="211"/>
        <v/>
      </c>
      <c r="V103" s="1" t="str">
        <f t="shared" si="211"/>
        <v/>
      </c>
      <c r="W103" s="1">
        <f t="shared" si="211"/>
        <v>14760.70996</v>
      </c>
      <c r="X103" s="1">
        <f t="shared" si="211"/>
        <v>17600</v>
      </c>
      <c r="Y103" s="1">
        <f t="shared" si="211"/>
        <v>50500</v>
      </c>
      <c r="Z103" s="1">
        <f t="shared" si="211"/>
        <v>73500</v>
      </c>
      <c r="AA103" s="1">
        <f t="shared" si="211"/>
        <v>500737.0313</v>
      </c>
      <c r="AB103" s="1" t="str">
        <f t="shared" si="211"/>
        <v/>
      </c>
      <c r="AC103" s="1" t="str">
        <f>if(Calculator!$C$8,SUM(P103:AB103),"")</f>
        <v/>
      </c>
      <c r="AE103" s="1">
        <f t="shared" si="8"/>
        <v>5403.397713</v>
      </c>
      <c r="AF103" s="1">
        <f t="shared" si="9"/>
        <v>757123.7459</v>
      </c>
      <c r="AG103" s="1">
        <f t="shared" si="10"/>
        <v>7496.274712</v>
      </c>
      <c r="AH103" s="1">
        <f t="shared" si="11"/>
        <v>6812.878626</v>
      </c>
      <c r="AI103" s="1">
        <f t="shared" si="15"/>
        <v>683.3960863</v>
      </c>
      <c r="AJ103" s="1" t="str">
        <f t="shared" si="12"/>
        <v/>
      </c>
    </row>
    <row r="104">
      <c r="A104" s="5">
        <v>101.0</v>
      </c>
      <c r="B104" s="8">
        <f t="shared" si="4"/>
        <v>0.6634417922</v>
      </c>
      <c r="C104" s="4">
        <f t="shared" ref="C104:N104" si="212">IF(C$2="","",C$1-_xlfn.FLOOR.MATH(C$1*(180-MIN(180,$A104))/180))</f>
        <v>68</v>
      </c>
      <c r="D104" s="1" t="str">
        <f t="shared" si="212"/>
        <v/>
      </c>
      <c r="E104" s="1" t="str">
        <f t="shared" si="212"/>
        <v/>
      </c>
      <c r="F104" s="1" t="str">
        <f t="shared" si="212"/>
        <v/>
      </c>
      <c r="G104" s="1">
        <f t="shared" si="212"/>
        <v>169</v>
      </c>
      <c r="H104" s="1" t="str">
        <f t="shared" si="212"/>
        <v/>
      </c>
      <c r="I104" s="1" t="str">
        <f t="shared" si="212"/>
        <v/>
      </c>
      <c r="J104" s="1">
        <f t="shared" si="212"/>
        <v>1</v>
      </c>
      <c r="K104" s="1">
        <f t="shared" si="212"/>
        <v>4</v>
      </c>
      <c r="L104" s="1">
        <f t="shared" si="212"/>
        <v>5</v>
      </c>
      <c r="M104" s="1">
        <f t="shared" si="212"/>
        <v>7</v>
      </c>
      <c r="N104" s="1">
        <f t="shared" si="212"/>
        <v>5</v>
      </c>
      <c r="O104" s="1" t="str">
        <f t="shared" si="6"/>
        <v/>
      </c>
      <c r="P104" s="1">
        <f t="shared" ref="P104:AB104" si="213">if(C$2="","",C104*P$1)</f>
        <v>2652</v>
      </c>
      <c r="Q104" s="1" t="str">
        <f t="shared" si="213"/>
        <v/>
      </c>
      <c r="R104" s="1" t="str">
        <f t="shared" si="213"/>
        <v/>
      </c>
      <c r="S104" s="1" t="str">
        <f t="shared" si="213"/>
        <v/>
      </c>
      <c r="T104" s="1">
        <f t="shared" si="213"/>
        <v>28730</v>
      </c>
      <c r="U104" s="1" t="str">
        <f t="shared" si="213"/>
        <v/>
      </c>
      <c r="V104" s="1" t="str">
        <f t="shared" si="213"/>
        <v/>
      </c>
      <c r="W104" s="1">
        <f t="shared" si="213"/>
        <v>14760.70996</v>
      </c>
      <c r="X104" s="1">
        <f t="shared" si="213"/>
        <v>17600</v>
      </c>
      <c r="Y104" s="1">
        <f t="shared" si="213"/>
        <v>50500</v>
      </c>
      <c r="Z104" s="1">
        <f t="shared" si="213"/>
        <v>73500</v>
      </c>
      <c r="AA104" s="1">
        <f t="shared" si="213"/>
        <v>500737.0313</v>
      </c>
      <c r="AB104" s="1" t="str">
        <f t="shared" si="213"/>
        <v/>
      </c>
      <c r="AC104" s="1" t="str">
        <f>if(Calculator!$C$8,SUM(P104:AB104),"")</f>
        <v/>
      </c>
      <c r="AE104" s="1">
        <f t="shared" si="8"/>
        <v>5307.534338</v>
      </c>
      <c r="AF104" s="1">
        <f t="shared" si="9"/>
        <v>762431.2803</v>
      </c>
      <c r="AG104" s="1">
        <f t="shared" si="10"/>
        <v>7474.816473</v>
      </c>
      <c r="AH104" s="1">
        <f t="shared" si="11"/>
        <v>6749.801384</v>
      </c>
      <c r="AI104" s="1">
        <f t="shared" si="15"/>
        <v>725.0150887</v>
      </c>
      <c r="AJ104" s="1" t="str">
        <f t="shared" si="12"/>
        <v/>
      </c>
    </row>
    <row r="105">
      <c r="A105" s="5">
        <v>102.0</v>
      </c>
      <c r="B105" s="8">
        <f t="shared" si="4"/>
        <v>0.6514628566</v>
      </c>
      <c r="C105" s="4">
        <f t="shared" ref="C105:N105" si="214">IF(C$2="","",C$1-_xlfn.FLOOR.MATH(C$1*(180-MIN(180,$A105))/180))</f>
        <v>68</v>
      </c>
      <c r="D105" s="1" t="str">
        <f t="shared" si="214"/>
        <v/>
      </c>
      <c r="E105" s="1" t="str">
        <f t="shared" si="214"/>
        <v/>
      </c>
      <c r="F105" s="1" t="str">
        <f t="shared" si="214"/>
        <v/>
      </c>
      <c r="G105" s="1">
        <f t="shared" si="214"/>
        <v>170</v>
      </c>
      <c r="H105" s="1" t="str">
        <f t="shared" si="214"/>
        <v/>
      </c>
      <c r="I105" s="1" t="str">
        <f t="shared" si="214"/>
        <v/>
      </c>
      <c r="J105" s="1">
        <f t="shared" si="214"/>
        <v>1</v>
      </c>
      <c r="K105" s="1">
        <f t="shared" si="214"/>
        <v>4</v>
      </c>
      <c r="L105" s="1">
        <f t="shared" si="214"/>
        <v>5</v>
      </c>
      <c r="M105" s="1">
        <f t="shared" si="214"/>
        <v>7</v>
      </c>
      <c r="N105" s="1">
        <f t="shared" si="214"/>
        <v>5</v>
      </c>
      <c r="O105" s="1" t="str">
        <f t="shared" si="6"/>
        <v/>
      </c>
      <c r="P105" s="1">
        <f t="shared" ref="P105:AB105" si="215">if(C$2="","",C105*P$1)</f>
        <v>2652</v>
      </c>
      <c r="Q105" s="1" t="str">
        <f t="shared" si="215"/>
        <v/>
      </c>
      <c r="R105" s="1" t="str">
        <f t="shared" si="215"/>
        <v/>
      </c>
      <c r="S105" s="1" t="str">
        <f t="shared" si="215"/>
        <v/>
      </c>
      <c r="T105" s="1">
        <f t="shared" si="215"/>
        <v>28900</v>
      </c>
      <c r="U105" s="1" t="str">
        <f t="shared" si="215"/>
        <v/>
      </c>
      <c r="V105" s="1" t="str">
        <f t="shared" si="215"/>
        <v/>
      </c>
      <c r="W105" s="1">
        <f t="shared" si="215"/>
        <v>14760.70996</v>
      </c>
      <c r="X105" s="1">
        <f t="shared" si="215"/>
        <v>17600</v>
      </c>
      <c r="Y105" s="1">
        <f t="shared" si="215"/>
        <v>50500</v>
      </c>
      <c r="Z105" s="1">
        <f t="shared" si="215"/>
        <v>73500</v>
      </c>
      <c r="AA105" s="1">
        <f t="shared" si="215"/>
        <v>500737.0313</v>
      </c>
      <c r="AB105" s="1" t="str">
        <f t="shared" si="215"/>
        <v/>
      </c>
      <c r="AC105" s="1" t="str">
        <f>if(Calculator!$C$8,SUM(P105:AB105),"")</f>
        <v/>
      </c>
      <c r="AE105" s="1">
        <f t="shared" si="8"/>
        <v>5211.702853</v>
      </c>
      <c r="AF105" s="1">
        <f t="shared" si="9"/>
        <v>767642.9831</v>
      </c>
      <c r="AG105" s="1">
        <f t="shared" si="10"/>
        <v>7452.844496</v>
      </c>
      <c r="AH105" s="1">
        <f t="shared" si="11"/>
        <v>6685.919818</v>
      </c>
      <c r="AI105" s="1">
        <f t="shared" si="15"/>
        <v>766.9246787</v>
      </c>
      <c r="AJ105" s="1" t="str">
        <f t="shared" si="12"/>
        <v/>
      </c>
    </row>
    <row r="106">
      <c r="A106" s="5">
        <v>103.0</v>
      </c>
      <c r="B106" s="8">
        <f t="shared" si="4"/>
        <v>0.6395184956</v>
      </c>
      <c r="C106" s="4">
        <f t="shared" ref="C106:N106" si="216">IF(C$2="","",C$1-_xlfn.FLOOR.MATH(C$1*(180-MIN(180,$A106))/180))</f>
        <v>69</v>
      </c>
      <c r="D106" s="1" t="str">
        <f t="shared" si="216"/>
        <v/>
      </c>
      <c r="E106" s="1" t="str">
        <f t="shared" si="216"/>
        <v/>
      </c>
      <c r="F106" s="1" t="str">
        <f t="shared" si="216"/>
        <v/>
      </c>
      <c r="G106" s="1">
        <f t="shared" si="216"/>
        <v>172</v>
      </c>
      <c r="H106" s="1" t="str">
        <f t="shared" si="216"/>
        <v/>
      </c>
      <c r="I106" s="1" t="str">
        <f t="shared" si="216"/>
        <v/>
      </c>
      <c r="J106" s="1">
        <f t="shared" si="216"/>
        <v>1</v>
      </c>
      <c r="K106" s="1">
        <f t="shared" si="216"/>
        <v>4</v>
      </c>
      <c r="L106" s="1">
        <f t="shared" si="216"/>
        <v>5</v>
      </c>
      <c r="M106" s="1">
        <f t="shared" si="216"/>
        <v>7</v>
      </c>
      <c r="N106" s="1">
        <f t="shared" si="216"/>
        <v>5</v>
      </c>
      <c r="O106" s="1" t="str">
        <f t="shared" si="6"/>
        <v/>
      </c>
      <c r="P106" s="1">
        <f t="shared" ref="P106:AB106" si="217">if(C$2="","",C106*P$1)</f>
        <v>2691</v>
      </c>
      <c r="Q106" s="1" t="str">
        <f t="shared" si="217"/>
        <v/>
      </c>
      <c r="R106" s="1" t="str">
        <f t="shared" si="217"/>
        <v/>
      </c>
      <c r="S106" s="1" t="str">
        <f t="shared" si="217"/>
        <v/>
      </c>
      <c r="T106" s="1">
        <f t="shared" si="217"/>
        <v>29240</v>
      </c>
      <c r="U106" s="1" t="str">
        <f t="shared" si="217"/>
        <v/>
      </c>
      <c r="V106" s="1" t="str">
        <f t="shared" si="217"/>
        <v/>
      </c>
      <c r="W106" s="1">
        <f t="shared" si="217"/>
        <v>14760.70996</v>
      </c>
      <c r="X106" s="1">
        <f t="shared" si="217"/>
        <v>17600</v>
      </c>
      <c r="Y106" s="1">
        <f t="shared" si="217"/>
        <v>50500</v>
      </c>
      <c r="Z106" s="1">
        <f t="shared" si="217"/>
        <v>73500</v>
      </c>
      <c r="AA106" s="1">
        <f t="shared" si="217"/>
        <v>500737.0313</v>
      </c>
      <c r="AB106" s="1" t="str">
        <f t="shared" si="217"/>
        <v/>
      </c>
      <c r="AC106" s="1" t="str">
        <f>if(Calculator!$C$8,SUM(P106:AB106),"")</f>
        <v/>
      </c>
      <c r="AE106" s="1">
        <f t="shared" si="8"/>
        <v>5116.147965</v>
      </c>
      <c r="AF106" s="1">
        <f t="shared" si="9"/>
        <v>772759.1311</v>
      </c>
      <c r="AG106" s="1">
        <f t="shared" si="10"/>
        <v>7430.37626</v>
      </c>
      <c r="AH106" s="1">
        <f t="shared" si="11"/>
        <v>6625.276358</v>
      </c>
      <c r="AI106" s="1">
        <f t="shared" si="15"/>
        <v>805.0999026</v>
      </c>
      <c r="AJ106" s="1" t="str">
        <f t="shared" si="12"/>
        <v/>
      </c>
    </row>
    <row r="107">
      <c r="A107" s="5">
        <v>104.0</v>
      </c>
      <c r="B107" s="8">
        <f t="shared" si="4"/>
        <v>0.6276389456</v>
      </c>
      <c r="C107" s="4">
        <f t="shared" ref="C107:N107" si="218">IF(C$2="","",C$1-_xlfn.FLOOR.MATH(C$1*(180-MIN(180,$A107))/180))</f>
        <v>70</v>
      </c>
      <c r="D107" s="1" t="str">
        <f t="shared" si="218"/>
        <v/>
      </c>
      <c r="E107" s="1" t="str">
        <f t="shared" si="218"/>
        <v/>
      </c>
      <c r="F107" s="1" t="str">
        <f t="shared" si="218"/>
        <v/>
      </c>
      <c r="G107" s="1">
        <f t="shared" si="218"/>
        <v>174</v>
      </c>
      <c r="H107" s="1" t="str">
        <f t="shared" si="218"/>
        <v/>
      </c>
      <c r="I107" s="1" t="str">
        <f t="shared" si="218"/>
        <v/>
      </c>
      <c r="J107" s="1">
        <f t="shared" si="218"/>
        <v>1</v>
      </c>
      <c r="K107" s="1">
        <f t="shared" si="218"/>
        <v>4</v>
      </c>
      <c r="L107" s="1">
        <f t="shared" si="218"/>
        <v>5</v>
      </c>
      <c r="M107" s="1">
        <f t="shared" si="218"/>
        <v>7</v>
      </c>
      <c r="N107" s="1">
        <f t="shared" si="218"/>
        <v>5</v>
      </c>
      <c r="O107" s="1" t="str">
        <f t="shared" si="6"/>
        <v/>
      </c>
      <c r="P107" s="1">
        <f t="shared" ref="P107:AB107" si="219">if(C$2="","",C107*P$1)</f>
        <v>2730</v>
      </c>
      <c r="Q107" s="1" t="str">
        <f t="shared" si="219"/>
        <v/>
      </c>
      <c r="R107" s="1" t="str">
        <f t="shared" si="219"/>
        <v/>
      </c>
      <c r="S107" s="1" t="str">
        <f t="shared" si="219"/>
        <v/>
      </c>
      <c r="T107" s="1">
        <f t="shared" si="219"/>
        <v>29580</v>
      </c>
      <c r="U107" s="1" t="str">
        <f t="shared" si="219"/>
        <v/>
      </c>
      <c r="V107" s="1" t="str">
        <f t="shared" si="219"/>
        <v/>
      </c>
      <c r="W107" s="1">
        <f t="shared" si="219"/>
        <v>14760.70996</v>
      </c>
      <c r="X107" s="1">
        <f t="shared" si="219"/>
        <v>17600</v>
      </c>
      <c r="Y107" s="1">
        <f t="shared" si="219"/>
        <v>50500</v>
      </c>
      <c r="Z107" s="1">
        <f t="shared" si="219"/>
        <v>73500</v>
      </c>
      <c r="AA107" s="1">
        <f t="shared" si="219"/>
        <v>500737.0313</v>
      </c>
      <c r="AB107" s="1" t="str">
        <f t="shared" si="219"/>
        <v/>
      </c>
      <c r="AC107" s="1" t="str">
        <f>if(Calculator!$C$8,SUM(P107:AB107),"")</f>
        <v/>
      </c>
      <c r="AE107" s="1">
        <f t="shared" si="8"/>
        <v>5021.111565</v>
      </c>
      <c r="AF107" s="1">
        <f t="shared" si="9"/>
        <v>777780.2426</v>
      </c>
      <c r="AG107" s="1">
        <f t="shared" si="10"/>
        <v>7407.430882</v>
      </c>
      <c r="AH107" s="1">
        <f t="shared" si="11"/>
        <v>6565.788012</v>
      </c>
      <c r="AI107" s="1">
        <f t="shared" si="15"/>
        <v>841.6428708</v>
      </c>
      <c r="AJ107" s="1" t="str">
        <f t="shared" si="12"/>
        <v/>
      </c>
    </row>
    <row r="108">
      <c r="A108" s="5">
        <v>105.0</v>
      </c>
      <c r="B108" s="8">
        <f t="shared" si="4"/>
        <v>0.6158537866</v>
      </c>
      <c r="C108" s="4">
        <f t="shared" ref="C108:N108" si="220">IF(C$2="","",C$1-_xlfn.FLOOR.MATH(C$1*(180-MIN(180,$A108))/180))</f>
        <v>70</v>
      </c>
      <c r="D108" s="1" t="str">
        <f t="shared" si="220"/>
        <v/>
      </c>
      <c r="E108" s="1" t="str">
        <f t="shared" si="220"/>
        <v/>
      </c>
      <c r="F108" s="1" t="str">
        <f t="shared" si="220"/>
        <v/>
      </c>
      <c r="G108" s="1">
        <f t="shared" si="220"/>
        <v>175</v>
      </c>
      <c r="H108" s="1" t="str">
        <f t="shared" si="220"/>
        <v/>
      </c>
      <c r="I108" s="1" t="str">
        <f t="shared" si="220"/>
        <v/>
      </c>
      <c r="J108" s="1">
        <f t="shared" si="220"/>
        <v>1</v>
      </c>
      <c r="K108" s="1">
        <f t="shared" si="220"/>
        <v>4</v>
      </c>
      <c r="L108" s="1">
        <f t="shared" si="220"/>
        <v>5</v>
      </c>
      <c r="M108" s="1">
        <f t="shared" si="220"/>
        <v>7</v>
      </c>
      <c r="N108" s="1">
        <f t="shared" si="220"/>
        <v>5</v>
      </c>
      <c r="O108" s="1" t="str">
        <f t="shared" si="6"/>
        <v/>
      </c>
      <c r="P108" s="1">
        <f t="shared" ref="P108:AB108" si="221">if(C$2="","",C108*P$1)</f>
        <v>2730</v>
      </c>
      <c r="Q108" s="1" t="str">
        <f t="shared" si="221"/>
        <v/>
      </c>
      <c r="R108" s="1" t="str">
        <f t="shared" si="221"/>
        <v/>
      </c>
      <c r="S108" s="1" t="str">
        <f t="shared" si="221"/>
        <v/>
      </c>
      <c r="T108" s="1">
        <f t="shared" si="221"/>
        <v>29750</v>
      </c>
      <c r="U108" s="1" t="str">
        <f t="shared" si="221"/>
        <v/>
      </c>
      <c r="V108" s="1" t="str">
        <f t="shared" si="221"/>
        <v/>
      </c>
      <c r="W108" s="1">
        <f t="shared" si="221"/>
        <v>14760.70996</v>
      </c>
      <c r="X108" s="1">
        <f t="shared" si="221"/>
        <v>17600</v>
      </c>
      <c r="Y108" s="1">
        <f t="shared" si="221"/>
        <v>50500</v>
      </c>
      <c r="Z108" s="1">
        <f t="shared" si="221"/>
        <v>73500</v>
      </c>
      <c r="AA108" s="1">
        <f t="shared" si="221"/>
        <v>500737.0313</v>
      </c>
      <c r="AB108" s="1" t="str">
        <f t="shared" si="221"/>
        <v/>
      </c>
      <c r="AC108" s="1" t="str">
        <f>if(Calculator!$C$8,SUM(P108:AB108),"")</f>
        <v/>
      </c>
      <c r="AE108" s="1">
        <f t="shared" si="8"/>
        <v>4926.830292</v>
      </c>
      <c r="AF108" s="1">
        <f t="shared" si="9"/>
        <v>782707.0729</v>
      </c>
      <c r="AG108" s="1">
        <f t="shared" si="10"/>
        <v>7384.02899</v>
      </c>
      <c r="AH108" s="1">
        <f t="shared" si="11"/>
        <v>6505.450389</v>
      </c>
      <c r="AI108" s="1">
        <f t="shared" si="15"/>
        <v>878.5786012</v>
      </c>
      <c r="AJ108" s="1" t="str">
        <f t="shared" si="12"/>
        <v/>
      </c>
    </row>
    <row r="109">
      <c r="A109" s="5">
        <v>106.0</v>
      </c>
      <c r="B109" s="8">
        <f t="shared" si="4"/>
        <v>0.6041916524</v>
      </c>
      <c r="C109" s="4">
        <f t="shared" ref="C109:N109" si="222">IF(C$2="","",C$1-_xlfn.FLOOR.MATH(C$1*(180-MIN(180,$A109))/180))</f>
        <v>71</v>
      </c>
      <c r="D109" s="1" t="str">
        <f t="shared" si="222"/>
        <v/>
      </c>
      <c r="E109" s="1" t="str">
        <f t="shared" si="222"/>
        <v/>
      </c>
      <c r="F109" s="1" t="str">
        <f t="shared" si="222"/>
        <v/>
      </c>
      <c r="G109" s="1">
        <f t="shared" si="222"/>
        <v>177</v>
      </c>
      <c r="H109" s="1" t="str">
        <f t="shared" si="222"/>
        <v/>
      </c>
      <c r="I109" s="1" t="str">
        <f t="shared" si="222"/>
        <v/>
      </c>
      <c r="J109" s="1">
        <f t="shared" si="222"/>
        <v>1</v>
      </c>
      <c r="K109" s="1">
        <f t="shared" si="222"/>
        <v>4</v>
      </c>
      <c r="L109" s="1">
        <f t="shared" si="222"/>
        <v>5</v>
      </c>
      <c r="M109" s="1">
        <f t="shared" si="222"/>
        <v>8</v>
      </c>
      <c r="N109" s="1">
        <f t="shared" si="222"/>
        <v>5</v>
      </c>
      <c r="O109" s="1" t="str">
        <f t="shared" si="6"/>
        <v/>
      </c>
      <c r="P109" s="1">
        <f t="shared" ref="P109:AB109" si="223">if(C$2="","",C109*P$1)</f>
        <v>2769</v>
      </c>
      <c r="Q109" s="1" t="str">
        <f t="shared" si="223"/>
        <v/>
      </c>
      <c r="R109" s="1" t="str">
        <f t="shared" si="223"/>
        <v/>
      </c>
      <c r="S109" s="1" t="str">
        <f t="shared" si="223"/>
        <v/>
      </c>
      <c r="T109" s="1">
        <f t="shared" si="223"/>
        <v>30090</v>
      </c>
      <c r="U109" s="1" t="str">
        <f t="shared" si="223"/>
        <v/>
      </c>
      <c r="V109" s="1" t="str">
        <f t="shared" si="223"/>
        <v/>
      </c>
      <c r="W109" s="1">
        <f t="shared" si="223"/>
        <v>14760.70996</v>
      </c>
      <c r="X109" s="1">
        <f t="shared" si="223"/>
        <v>17600</v>
      </c>
      <c r="Y109" s="1">
        <f t="shared" si="223"/>
        <v>50500</v>
      </c>
      <c r="Z109" s="1">
        <f t="shared" si="223"/>
        <v>84000</v>
      </c>
      <c r="AA109" s="1">
        <f t="shared" si="223"/>
        <v>500737.0313</v>
      </c>
      <c r="AB109" s="1" t="str">
        <f t="shared" si="223"/>
        <v/>
      </c>
      <c r="AC109" s="1" t="str">
        <f>if(Calculator!$C$8,SUM(P109:AB109),"")</f>
        <v/>
      </c>
      <c r="AE109" s="1">
        <f t="shared" si="8"/>
        <v>4833.533219</v>
      </c>
      <c r="AF109" s="1">
        <f t="shared" si="9"/>
        <v>787540.6062</v>
      </c>
      <c r="AG109" s="1">
        <f t="shared" si="10"/>
        <v>7360.192581</v>
      </c>
      <c r="AH109" s="1">
        <f t="shared" si="11"/>
        <v>6546.324684</v>
      </c>
      <c r="AI109" s="1">
        <f t="shared" si="15"/>
        <v>813.8678967</v>
      </c>
      <c r="AJ109" s="1" t="str">
        <f t="shared" si="12"/>
        <v/>
      </c>
    </row>
    <row r="110">
      <c r="A110" s="5">
        <v>107.0</v>
      </c>
      <c r="B110" s="8">
        <f t="shared" si="4"/>
        <v>0.592679961</v>
      </c>
      <c r="C110" s="4">
        <f t="shared" ref="C110:N110" si="224">IF(C$2="","",C$1-_xlfn.FLOOR.MATH(C$1*(180-MIN(180,$A110))/180))</f>
        <v>72</v>
      </c>
      <c r="D110" s="1" t="str">
        <f t="shared" si="224"/>
        <v/>
      </c>
      <c r="E110" s="1" t="str">
        <f t="shared" si="224"/>
        <v/>
      </c>
      <c r="F110" s="1" t="str">
        <f t="shared" si="224"/>
        <v/>
      </c>
      <c r="G110" s="1">
        <f t="shared" si="224"/>
        <v>179</v>
      </c>
      <c r="H110" s="1" t="str">
        <f t="shared" si="224"/>
        <v/>
      </c>
      <c r="I110" s="1" t="str">
        <f t="shared" si="224"/>
        <v/>
      </c>
      <c r="J110" s="1">
        <f t="shared" si="224"/>
        <v>1</v>
      </c>
      <c r="K110" s="1">
        <f t="shared" si="224"/>
        <v>4</v>
      </c>
      <c r="L110" s="1">
        <f t="shared" si="224"/>
        <v>5</v>
      </c>
      <c r="M110" s="1">
        <f t="shared" si="224"/>
        <v>8</v>
      </c>
      <c r="N110" s="1">
        <f t="shared" si="224"/>
        <v>5</v>
      </c>
      <c r="O110" s="1" t="str">
        <f t="shared" si="6"/>
        <v/>
      </c>
      <c r="P110" s="1">
        <f t="shared" ref="P110:AB110" si="225">if(C$2="","",C110*P$1)</f>
        <v>2808</v>
      </c>
      <c r="Q110" s="1" t="str">
        <f t="shared" si="225"/>
        <v/>
      </c>
      <c r="R110" s="1" t="str">
        <f t="shared" si="225"/>
        <v/>
      </c>
      <c r="S110" s="1" t="str">
        <f t="shared" si="225"/>
        <v/>
      </c>
      <c r="T110" s="1">
        <f t="shared" si="225"/>
        <v>30430</v>
      </c>
      <c r="U110" s="1" t="str">
        <f t="shared" si="225"/>
        <v/>
      </c>
      <c r="V110" s="1" t="str">
        <f t="shared" si="225"/>
        <v/>
      </c>
      <c r="W110" s="1">
        <f t="shared" si="225"/>
        <v>14760.70996</v>
      </c>
      <c r="X110" s="1">
        <f t="shared" si="225"/>
        <v>17600</v>
      </c>
      <c r="Y110" s="1">
        <f t="shared" si="225"/>
        <v>50500</v>
      </c>
      <c r="Z110" s="1">
        <f t="shared" si="225"/>
        <v>84000</v>
      </c>
      <c r="AA110" s="1">
        <f t="shared" si="225"/>
        <v>500737.0313</v>
      </c>
      <c r="AB110" s="1" t="str">
        <f t="shared" si="225"/>
        <v/>
      </c>
      <c r="AC110" s="1" t="str">
        <f>if(Calculator!$C$8,SUM(P110:AB110),"")</f>
        <v/>
      </c>
      <c r="AE110" s="1">
        <f t="shared" si="8"/>
        <v>4741.439688</v>
      </c>
      <c r="AF110" s="1">
        <f t="shared" si="9"/>
        <v>792282.0458</v>
      </c>
      <c r="AG110" s="1">
        <f t="shared" si="10"/>
        <v>7335.944869</v>
      </c>
      <c r="AH110" s="1">
        <f t="shared" si="11"/>
        <v>6489.219826</v>
      </c>
      <c r="AI110" s="1">
        <f t="shared" si="15"/>
        <v>846.7250429</v>
      </c>
      <c r="AJ110" s="1" t="str">
        <f t="shared" si="12"/>
        <v/>
      </c>
    </row>
    <row r="111">
      <c r="A111" s="5">
        <v>108.0</v>
      </c>
      <c r="B111" s="8">
        <f t="shared" si="4"/>
        <v>0.5813446693</v>
      </c>
      <c r="C111" s="4">
        <f t="shared" ref="C111:N111" si="226">IF(C$2="","",C$1-_xlfn.FLOOR.MATH(C$1*(180-MIN(180,$A111))/180))</f>
        <v>72</v>
      </c>
      <c r="D111" s="1" t="str">
        <f t="shared" si="226"/>
        <v/>
      </c>
      <c r="E111" s="1" t="str">
        <f t="shared" si="226"/>
        <v/>
      </c>
      <c r="F111" s="1" t="str">
        <f t="shared" si="226"/>
        <v/>
      </c>
      <c r="G111" s="1">
        <f t="shared" si="226"/>
        <v>180</v>
      </c>
      <c r="H111" s="1" t="str">
        <f t="shared" si="226"/>
        <v/>
      </c>
      <c r="I111" s="1" t="str">
        <f t="shared" si="226"/>
        <v/>
      </c>
      <c r="J111" s="1">
        <f t="shared" si="226"/>
        <v>1</v>
      </c>
      <c r="K111" s="1">
        <f t="shared" si="226"/>
        <v>4</v>
      </c>
      <c r="L111" s="1">
        <f t="shared" si="226"/>
        <v>5</v>
      </c>
      <c r="M111" s="1">
        <f t="shared" si="226"/>
        <v>8</v>
      </c>
      <c r="N111" s="1">
        <f t="shared" si="226"/>
        <v>5</v>
      </c>
      <c r="O111" s="1" t="str">
        <f t="shared" si="6"/>
        <v/>
      </c>
      <c r="P111" s="1">
        <f t="shared" ref="P111:AB111" si="227">if(C$2="","",C111*P$1)</f>
        <v>2808</v>
      </c>
      <c r="Q111" s="1" t="str">
        <f t="shared" si="227"/>
        <v/>
      </c>
      <c r="R111" s="1" t="str">
        <f t="shared" si="227"/>
        <v/>
      </c>
      <c r="S111" s="1" t="str">
        <f t="shared" si="227"/>
        <v/>
      </c>
      <c r="T111" s="1">
        <f t="shared" si="227"/>
        <v>30600</v>
      </c>
      <c r="U111" s="1" t="str">
        <f t="shared" si="227"/>
        <v/>
      </c>
      <c r="V111" s="1" t="str">
        <f t="shared" si="227"/>
        <v/>
      </c>
      <c r="W111" s="1">
        <f t="shared" si="227"/>
        <v>14760.70996</v>
      </c>
      <c r="X111" s="1">
        <f t="shared" si="227"/>
        <v>17600</v>
      </c>
      <c r="Y111" s="1">
        <f t="shared" si="227"/>
        <v>50500</v>
      </c>
      <c r="Z111" s="1">
        <f t="shared" si="227"/>
        <v>84000</v>
      </c>
      <c r="AA111" s="1">
        <f t="shared" si="227"/>
        <v>500737.0313</v>
      </c>
      <c r="AB111" s="1" t="str">
        <f t="shared" si="227"/>
        <v/>
      </c>
      <c r="AC111" s="1" t="str">
        <f>if(Calculator!$C$8,SUM(P111:AB111),"")</f>
        <v/>
      </c>
      <c r="AE111" s="1">
        <f t="shared" si="8"/>
        <v>4650.757354</v>
      </c>
      <c r="AF111" s="1">
        <f t="shared" si="9"/>
        <v>796932.8032</v>
      </c>
      <c r="AG111" s="1">
        <f t="shared" si="10"/>
        <v>7311.310121</v>
      </c>
      <c r="AH111" s="1">
        <f t="shared" si="11"/>
        <v>6431.245332</v>
      </c>
      <c r="AI111" s="1">
        <f t="shared" si="15"/>
        <v>880.0647889</v>
      </c>
      <c r="AJ111" s="1" t="str">
        <f t="shared" si="12"/>
        <v/>
      </c>
    </row>
    <row r="112">
      <c r="A112" s="5">
        <v>109.0</v>
      </c>
      <c r="B112" s="8">
        <f t="shared" si="4"/>
        <v>0.570210058</v>
      </c>
      <c r="C112" s="4">
        <f t="shared" ref="C112:N112" si="228">IF(C$2="","",C$1-_xlfn.FLOOR.MATH(C$1*(180-MIN(180,$A112))/180))</f>
        <v>73</v>
      </c>
      <c r="D112" s="1" t="str">
        <f t="shared" si="228"/>
        <v/>
      </c>
      <c r="E112" s="1" t="str">
        <f t="shared" si="228"/>
        <v/>
      </c>
      <c r="F112" s="1" t="str">
        <f t="shared" si="228"/>
        <v/>
      </c>
      <c r="G112" s="1">
        <f t="shared" si="228"/>
        <v>182</v>
      </c>
      <c r="H112" s="1" t="str">
        <f t="shared" si="228"/>
        <v/>
      </c>
      <c r="I112" s="1" t="str">
        <f t="shared" si="228"/>
        <v/>
      </c>
      <c r="J112" s="1">
        <f t="shared" si="228"/>
        <v>1</v>
      </c>
      <c r="K112" s="1">
        <f t="shared" si="228"/>
        <v>4</v>
      </c>
      <c r="L112" s="1">
        <f t="shared" si="228"/>
        <v>5</v>
      </c>
      <c r="M112" s="1">
        <f t="shared" si="228"/>
        <v>8</v>
      </c>
      <c r="N112" s="1">
        <f t="shared" si="228"/>
        <v>5</v>
      </c>
      <c r="O112" s="1" t="str">
        <f t="shared" si="6"/>
        <v/>
      </c>
      <c r="P112" s="1">
        <f t="shared" ref="P112:AB112" si="229">if(C$2="","",C112*P$1)</f>
        <v>2847</v>
      </c>
      <c r="Q112" s="1" t="str">
        <f t="shared" si="229"/>
        <v/>
      </c>
      <c r="R112" s="1" t="str">
        <f t="shared" si="229"/>
        <v/>
      </c>
      <c r="S112" s="1" t="str">
        <f t="shared" si="229"/>
        <v/>
      </c>
      <c r="T112" s="1">
        <f t="shared" si="229"/>
        <v>30940</v>
      </c>
      <c r="U112" s="1" t="str">
        <f t="shared" si="229"/>
        <v/>
      </c>
      <c r="V112" s="1" t="str">
        <f t="shared" si="229"/>
        <v/>
      </c>
      <c r="W112" s="1">
        <f t="shared" si="229"/>
        <v>14760.70996</v>
      </c>
      <c r="X112" s="1">
        <f t="shared" si="229"/>
        <v>17600</v>
      </c>
      <c r="Y112" s="1">
        <f t="shared" si="229"/>
        <v>50500</v>
      </c>
      <c r="Z112" s="1">
        <f t="shared" si="229"/>
        <v>84000</v>
      </c>
      <c r="AA112" s="1">
        <f t="shared" si="229"/>
        <v>500737.0313</v>
      </c>
      <c r="AB112" s="1" t="str">
        <f t="shared" si="229"/>
        <v/>
      </c>
      <c r="AC112" s="1" t="str">
        <f>if(Calculator!$C$8,SUM(P112:AB112),"")</f>
        <v/>
      </c>
      <c r="AE112" s="1">
        <f t="shared" si="8"/>
        <v>4561.680464</v>
      </c>
      <c r="AF112" s="1">
        <f t="shared" si="9"/>
        <v>801494.4837</v>
      </c>
      <c r="AG112" s="1">
        <f t="shared" si="10"/>
        <v>7286.313488</v>
      </c>
      <c r="AH112" s="1">
        <f t="shared" si="11"/>
        <v>6376.22492</v>
      </c>
      <c r="AI112" s="1">
        <f t="shared" si="15"/>
        <v>910.0885677</v>
      </c>
      <c r="AJ112" s="1" t="str">
        <f t="shared" si="12"/>
        <v/>
      </c>
    </row>
    <row r="113">
      <c r="A113" s="5">
        <v>110.0</v>
      </c>
      <c r="B113" s="8">
        <f t="shared" si="4"/>
        <v>0.5592985494</v>
      </c>
      <c r="C113" s="4">
        <f t="shared" ref="C113:N113" si="230">IF(C$2="","",C$1-_xlfn.FLOOR.MATH(C$1*(180-MIN(180,$A113))/180))</f>
        <v>74</v>
      </c>
      <c r="D113" s="1" t="str">
        <f t="shared" si="230"/>
        <v/>
      </c>
      <c r="E113" s="1" t="str">
        <f t="shared" si="230"/>
        <v/>
      </c>
      <c r="F113" s="1" t="str">
        <f t="shared" si="230"/>
        <v/>
      </c>
      <c r="G113" s="1">
        <f t="shared" si="230"/>
        <v>184</v>
      </c>
      <c r="H113" s="1" t="str">
        <f t="shared" si="230"/>
        <v/>
      </c>
      <c r="I113" s="1" t="str">
        <f t="shared" si="230"/>
        <v/>
      </c>
      <c r="J113" s="1">
        <f t="shared" si="230"/>
        <v>1</v>
      </c>
      <c r="K113" s="1">
        <f t="shared" si="230"/>
        <v>4</v>
      </c>
      <c r="L113" s="1">
        <f t="shared" si="230"/>
        <v>5</v>
      </c>
      <c r="M113" s="1">
        <f t="shared" si="230"/>
        <v>8</v>
      </c>
      <c r="N113" s="1">
        <f t="shared" si="230"/>
        <v>5</v>
      </c>
      <c r="O113" s="1" t="str">
        <f t="shared" si="6"/>
        <v/>
      </c>
      <c r="P113" s="1">
        <f t="shared" ref="P113:AB113" si="231">if(C$2="","",C113*P$1)</f>
        <v>2886</v>
      </c>
      <c r="Q113" s="1" t="str">
        <f t="shared" si="231"/>
        <v/>
      </c>
      <c r="R113" s="1" t="str">
        <f t="shared" si="231"/>
        <v/>
      </c>
      <c r="S113" s="1" t="str">
        <f t="shared" si="231"/>
        <v/>
      </c>
      <c r="T113" s="1">
        <f t="shared" si="231"/>
        <v>31280</v>
      </c>
      <c r="U113" s="1" t="str">
        <f t="shared" si="231"/>
        <v/>
      </c>
      <c r="V113" s="1" t="str">
        <f t="shared" si="231"/>
        <v/>
      </c>
      <c r="W113" s="1">
        <f t="shared" si="231"/>
        <v>14760.70996</v>
      </c>
      <c r="X113" s="1">
        <f t="shared" si="231"/>
        <v>17600</v>
      </c>
      <c r="Y113" s="1">
        <f t="shared" si="231"/>
        <v>50500</v>
      </c>
      <c r="Z113" s="1">
        <f t="shared" si="231"/>
        <v>84000</v>
      </c>
      <c r="AA113" s="1">
        <f t="shared" si="231"/>
        <v>500737.0313</v>
      </c>
      <c r="AB113" s="1" t="str">
        <f t="shared" si="231"/>
        <v/>
      </c>
      <c r="AC113" s="1" t="str">
        <f>if(Calculator!$C$8,SUM(P113:AB113),"")</f>
        <v/>
      </c>
      <c r="AE113" s="1">
        <f t="shared" si="8"/>
        <v>4474.388395</v>
      </c>
      <c r="AF113" s="1">
        <f t="shared" si="9"/>
        <v>805968.8721</v>
      </c>
      <c r="AG113" s="1">
        <f t="shared" si="10"/>
        <v>7260.980829</v>
      </c>
      <c r="AH113" s="1">
        <f t="shared" si="11"/>
        <v>6322.195867</v>
      </c>
      <c r="AI113" s="1">
        <f t="shared" si="15"/>
        <v>938.7849626</v>
      </c>
      <c r="AJ113" s="1" t="str">
        <f t="shared" si="12"/>
        <v/>
      </c>
    </row>
    <row r="114">
      <c r="A114" s="5">
        <v>111.0</v>
      </c>
      <c r="B114" s="8">
        <f t="shared" si="4"/>
        <v>0.5486305595</v>
      </c>
      <c r="C114" s="4">
        <f t="shared" ref="C114:N114" si="232">IF(C$2="","",C$1-_xlfn.FLOOR.MATH(C$1*(180-MIN(180,$A114))/180))</f>
        <v>74</v>
      </c>
      <c r="D114" s="1" t="str">
        <f t="shared" si="232"/>
        <v/>
      </c>
      <c r="E114" s="1" t="str">
        <f t="shared" si="232"/>
        <v/>
      </c>
      <c r="F114" s="1" t="str">
        <f t="shared" si="232"/>
        <v/>
      </c>
      <c r="G114" s="1">
        <f t="shared" si="232"/>
        <v>185</v>
      </c>
      <c r="H114" s="1" t="str">
        <f t="shared" si="232"/>
        <v/>
      </c>
      <c r="I114" s="1" t="str">
        <f t="shared" si="232"/>
        <v/>
      </c>
      <c r="J114" s="1">
        <f t="shared" si="232"/>
        <v>1</v>
      </c>
      <c r="K114" s="1">
        <f t="shared" si="232"/>
        <v>4</v>
      </c>
      <c r="L114" s="1">
        <f t="shared" si="232"/>
        <v>5</v>
      </c>
      <c r="M114" s="1">
        <f t="shared" si="232"/>
        <v>8</v>
      </c>
      <c r="N114" s="1">
        <f t="shared" si="232"/>
        <v>5</v>
      </c>
      <c r="O114" s="1" t="str">
        <f t="shared" si="6"/>
        <v/>
      </c>
      <c r="P114" s="1">
        <f t="shared" ref="P114:AB114" si="233">if(C$2="","",C114*P$1)</f>
        <v>2886</v>
      </c>
      <c r="Q114" s="1" t="str">
        <f t="shared" si="233"/>
        <v/>
      </c>
      <c r="R114" s="1" t="str">
        <f t="shared" si="233"/>
        <v/>
      </c>
      <c r="S114" s="1" t="str">
        <f t="shared" si="233"/>
        <v/>
      </c>
      <c r="T114" s="1">
        <f t="shared" si="233"/>
        <v>31450</v>
      </c>
      <c r="U114" s="1" t="str">
        <f t="shared" si="233"/>
        <v/>
      </c>
      <c r="V114" s="1" t="str">
        <f t="shared" si="233"/>
        <v/>
      </c>
      <c r="W114" s="1">
        <f t="shared" si="233"/>
        <v>14760.70996</v>
      </c>
      <c r="X114" s="1">
        <f t="shared" si="233"/>
        <v>17600</v>
      </c>
      <c r="Y114" s="1">
        <f t="shared" si="233"/>
        <v>50500</v>
      </c>
      <c r="Z114" s="1">
        <f t="shared" si="233"/>
        <v>84000</v>
      </c>
      <c r="AA114" s="1">
        <f t="shared" si="233"/>
        <v>500737.0313</v>
      </c>
      <c r="AB114" s="1" t="str">
        <f t="shared" si="233"/>
        <v/>
      </c>
      <c r="AC114" s="1" t="str">
        <f>if(Calculator!$C$8,SUM(P114:AB114),"")</f>
        <v/>
      </c>
      <c r="AE114" s="1">
        <f t="shared" si="8"/>
        <v>4389.044476</v>
      </c>
      <c r="AF114" s="1">
        <f t="shared" si="9"/>
        <v>810357.9165</v>
      </c>
      <c r="AG114" s="1">
        <f t="shared" si="10"/>
        <v>7235.33854</v>
      </c>
      <c r="AH114" s="1">
        <f t="shared" si="11"/>
        <v>6267.265547</v>
      </c>
      <c r="AI114" s="1">
        <f t="shared" si="15"/>
        <v>968.072994</v>
      </c>
      <c r="AJ114" s="1" t="str">
        <f t="shared" si="12"/>
        <v/>
      </c>
    </row>
    <row r="115">
      <c r="A115" s="5">
        <v>112.0</v>
      </c>
      <c r="B115" s="8">
        <f t="shared" si="4"/>
        <v>0.5382243877</v>
      </c>
      <c r="C115" s="4">
        <f t="shared" ref="C115:N115" si="234">IF(C$2="","",C$1-_xlfn.FLOOR.MATH(C$1*(180-MIN(180,$A115))/180))</f>
        <v>75</v>
      </c>
      <c r="D115" s="1" t="str">
        <f t="shared" si="234"/>
        <v/>
      </c>
      <c r="E115" s="1" t="str">
        <f t="shared" si="234"/>
        <v/>
      </c>
      <c r="F115" s="1" t="str">
        <f t="shared" si="234"/>
        <v/>
      </c>
      <c r="G115" s="1">
        <f t="shared" si="234"/>
        <v>187</v>
      </c>
      <c r="H115" s="1" t="str">
        <f t="shared" si="234"/>
        <v/>
      </c>
      <c r="I115" s="1" t="str">
        <f t="shared" si="234"/>
        <v/>
      </c>
      <c r="J115" s="1">
        <f t="shared" si="234"/>
        <v>1</v>
      </c>
      <c r="K115" s="1">
        <f t="shared" si="234"/>
        <v>4</v>
      </c>
      <c r="L115" s="1">
        <f t="shared" si="234"/>
        <v>5</v>
      </c>
      <c r="M115" s="1">
        <f t="shared" si="234"/>
        <v>8</v>
      </c>
      <c r="N115" s="1">
        <f t="shared" si="234"/>
        <v>5</v>
      </c>
      <c r="O115" s="1" t="str">
        <f t="shared" si="6"/>
        <v/>
      </c>
      <c r="P115" s="1">
        <f t="shared" ref="P115:AB115" si="235">if(C$2="","",C115*P$1)</f>
        <v>2925</v>
      </c>
      <c r="Q115" s="1" t="str">
        <f t="shared" si="235"/>
        <v/>
      </c>
      <c r="R115" s="1" t="str">
        <f t="shared" si="235"/>
        <v/>
      </c>
      <c r="S115" s="1" t="str">
        <f t="shared" si="235"/>
        <v/>
      </c>
      <c r="T115" s="1">
        <f t="shared" si="235"/>
        <v>31790</v>
      </c>
      <c r="U115" s="1" t="str">
        <f t="shared" si="235"/>
        <v/>
      </c>
      <c r="V115" s="1" t="str">
        <f t="shared" si="235"/>
        <v/>
      </c>
      <c r="W115" s="1">
        <f t="shared" si="235"/>
        <v>14760.70996</v>
      </c>
      <c r="X115" s="1">
        <f t="shared" si="235"/>
        <v>17600</v>
      </c>
      <c r="Y115" s="1">
        <f t="shared" si="235"/>
        <v>50500</v>
      </c>
      <c r="Z115" s="1">
        <f t="shared" si="235"/>
        <v>84000</v>
      </c>
      <c r="AA115" s="1">
        <f t="shared" si="235"/>
        <v>500737.0313</v>
      </c>
      <c r="AB115" s="1" t="str">
        <f t="shared" si="235"/>
        <v/>
      </c>
      <c r="AC115" s="1" t="str">
        <f>if(Calculator!$C$8,SUM(P115:AB115),"")</f>
        <v/>
      </c>
      <c r="AE115" s="1">
        <f t="shared" si="8"/>
        <v>4305.795102</v>
      </c>
      <c r="AF115" s="1">
        <f t="shared" si="9"/>
        <v>814663.7116</v>
      </c>
      <c r="AG115" s="1">
        <f t="shared" si="10"/>
        <v>7209.413377</v>
      </c>
      <c r="AH115" s="1">
        <f t="shared" si="11"/>
        <v>6215.157002</v>
      </c>
      <c r="AI115" s="1">
        <f t="shared" si="15"/>
        <v>994.2563754</v>
      </c>
      <c r="AJ115" s="1" t="str">
        <f t="shared" si="12"/>
        <v/>
      </c>
    </row>
    <row r="116">
      <c r="A116" s="5">
        <v>113.0</v>
      </c>
      <c r="B116" s="8">
        <f t="shared" si="4"/>
        <v>0.5280961414</v>
      </c>
      <c r="C116" s="4">
        <f t="shared" ref="C116:N116" si="236">IF(C$2="","",C$1-_xlfn.FLOOR.MATH(C$1*(180-MIN(180,$A116))/180))</f>
        <v>76</v>
      </c>
      <c r="D116" s="1" t="str">
        <f t="shared" si="236"/>
        <v/>
      </c>
      <c r="E116" s="1" t="str">
        <f t="shared" si="236"/>
        <v/>
      </c>
      <c r="F116" s="1" t="str">
        <f t="shared" si="236"/>
        <v/>
      </c>
      <c r="G116" s="1">
        <f t="shared" si="236"/>
        <v>189</v>
      </c>
      <c r="H116" s="1" t="str">
        <f t="shared" si="236"/>
        <v/>
      </c>
      <c r="I116" s="1" t="str">
        <f t="shared" si="236"/>
        <v/>
      </c>
      <c r="J116" s="1">
        <f t="shared" si="236"/>
        <v>1</v>
      </c>
      <c r="K116" s="1">
        <f t="shared" si="236"/>
        <v>4</v>
      </c>
      <c r="L116" s="1">
        <f t="shared" si="236"/>
        <v>6</v>
      </c>
      <c r="M116" s="1">
        <f t="shared" si="236"/>
        <v>8</v>
      </c>
      <c r="N116" s="1">
        <f t="shared" si="236"/>
        <v>6</v>
      </c>
      <c r="O116" s="1" t="str">
        <f t="shared" si="6"/>
        <v/>
      </c>
      <c r="P116" s="1">
        <f t="shared" ref="P116:AB116" si="237">if(C$2="","",C116*P$1)</f>
        <v>2964</v>
      </c>
      <c r="Q116" s="1" t="str">
        <f t="shared" si="237"/>
        <v/>
      </c>
      <c r="R116" s="1" t="str">
        <f t="shared" si="237"/>
        <v/>
      </c>
      <c r="S116" s="1" t="str">
        <f t="shared" si="237"/>
        <v/>
      </c>
      <c r="T116" s="1">
        <f t="shared" si="237"/>
        <v>32130</v>
      </c>
      <c r="U116" s="1" t="str">
        <f t="shared" si="237"/>
        <v/>
      </c>
      <c r="V116" s="1" t="str">
        <f t="shared" si="237"/>
        <v/>
      </c>
      <c r="W116" s="1">
        <f t="shared" si="237"/>
        <v>14760.70996</v>
      </c>
      <c r="X116" s="1">
        <f t="shared" si="237"/>
        <v>17600</v>
      </c>
      <c r="Y116" s="1">
        <f t="shared" si="237"/>
        <v>60600</v>
      </c>
      <c r="Z116" s="1">
        <f t="shared" si="237"/>
        <v>84000</v>
      </c>
      <c r="AA116" s="1">
        <f t="shared" si="237"/>
        <v>600884.4375</v>
      </c>
      <c r="AB116" s="1" t="str">
        <f t="shared" si="237"/>
        <v/>
      </c>
      <c r="AC116" s="1" t="str">
        <f>if(Calculator!$C$8,SUM(P116:AB116),"")</f>
        <v/>
      </c>
      <c r="AE116" s="1">
        <f t="shared" si="8"/>
        <v>4224.769131</v>
      </c>
      <c r="AF116" s="1">
        <f t="shared" si="9"/>
        <v>818888.4808</v>
      </c>
      <c r="AG116" s="1">
        <f t="shared" si="10"/>
        <v>7183.232287</v>
      </c>
      <c r="AH116" s="1">
        <f t="shared" si="11"/>
        <v>7131.045153</v>
      </c>
      <c r="AI116" s="1">
        <f t="shared" si="15"/>
        <v>52.18713426</v>
      </c>
      <c r="AJ116" s="1" t="str">
        <f t="shared" si="12"/>
        <v/>
      </c>
    </row>
    <row r="117">
      <c r="A117" s="5">
        <v>114.0</v>
      </c>
      <c r="B117" s="8">
        <f t="shared" si="4"/>
        <v>0.5182596972</v>
      </c>
      <c r="C117" s="4">
        <f t="shared" ref="C117:N117" si="238">IF(C$2="","",C$1-_xlfn.FLOOR.MATH(C$1*(180-MIN(180,$A117))/180))</f>
        <v>76</v>
      </c>
      <c r="D117" s="1" t="str">
        <f t="shared" si="238"/>
        <v/>
      </c>
      <c r="E117" s="1" t="str">
        <f t="shared" si="238"/>
        <v/>
      </c>
      <c r="F117" s="1" t="str">
        <f t="shared" si="238"/>
        <v/>
      </c>
      <c r="G117" s="1">
        <f t="shared" si="238"/>
        <v>190</v>
      </c>
      <c r="H117" s="1" t="str">
        <f t="shared" si="238"/>
        <v/>
      </c>
      <c r="I117" s="1" t="str">
        <f t="shared" si="238"/>
        <v/>
      </c>
      <c r="J117" s="1">
        <f t="shared" si="238"/>
        <v>1</v>
      </c>
      <c r="K117" s="1">
        <f t="shared" si="238"/>
        <v>4</v>
      </c>
      <c r="L117" s="1">
        <f t="shared" si="238"/>
        <v>6</v>
      </c>
      <c r="M117" s="1">
        <f t="shared" si="238"/>
        <v>8</v>
      </c>
      <c r="N117" s="1">
        <f t="shared" si="238"/>
        <v>6</v>
      </c>
      <c r="O117" s="1" t="str">
        <f t="shared" si="6"/>
        <v/>
      </c>
      <c r="P117" s="1">
        <f t="shared" ref="P117:AB117" si="239">if(C$2="","",C117*P$1)</f>
        <v>2964</v>
      </c>
      <c r="Q117" s="1" t="str">
        <f t="shared" si="239"/>
        <v/>
      </c>
      <c r="R117" s="1" t="str">
        <f t="shared" si="239"/>
        <v/>
      </c>
      <c r="S117" s="1" t="str">
        <f t="shared" si="239"/>
        <v/>
      </c>
      <c r="T117" s="1">
        <f t="shared" si="239"/>
        <v>32300</v>
      </c>
      <c r="U117" s="1" t="str">
        <f t="shared" si="239"/>
        <v/>
      </c>
      <c r="V117" s="1" t="str">
        <f t="shared" si="239"/>
        <v/>
      </c>
      <c r="W117" s="1">
        <f t="shared" si="239"/>
        <v>14760.70996</v>
      </c>
      <c r="X117" s="1">
        <f t="shared" si="239"/>
        <v>17600</v>
      </c>
      <c r="Y117" s="1">
        <f t="shared" si="239"/>
        <v>60600</v>
      </c>
      <c r="Z117" s="1">
        <f t="shared" si="239"/>
        <v>84000</v>
      </c>
      <c r="AA117" s="1">
        <f t="shared" si="239"/>
        <v>600884.4375</v>
      </c>
      <c r="AB117" s="1" t="str">
        <f t="shared" si="239"/>
        <v/>
      </c>
      <c r="AC117" s="1" t="str">
        <f>if(Calculator!$C$8,SUM(P117:AB117),"")</f>
        <v/>
      </c>
      <c r="AE117" s="1">
        <f t="shared" si="8"/>
        <v>4146.077578</v>
      </c>
      <c r="AF117" s="1">
        <f t="shared" si="9"/>
        <v>823034.5583</v>
      </c>
      <c r="AG117" s="1">
        <f t="shared" si="10"/>
        <v>7156.822246</v>
      </c>
      <c r="AH117" s="1">
        <f t="shared" si="11"/>
        <v>7070.514326</v>
      </c>
      <c r="AI117" s="1">
        <f t="shared" si="15"/>
        <v>86.30792073</v>
      </c>
      <c r="AJ117" s="1" t="str">
        <f t="shared" si="12"/>
        <v/>
      </c>
    </row>
    <row r="118">
      <c r="A118" s="5">
        <v>115.0</v>
      </c>
      <c r="B118" s="8">
        <f t="shared" si="4"/>
        <v>0.5087266959</v>
      </c>
      <c r="C118" s="4">
        <f t="shared" ref="C118:N118" si="240">IF(C$2="","",C$1-_xlfn.FLOOR.MATH(C$1*(180-MIN(180,$A118))/180))</f>
        <v>77</v>
      </c>
      <c r="D118" s="1" t="str">
        <f t="shared" si="240"/>
        <v/>
      </c>
      <c r="E118" s="1" t="str">
        <f t="shared" si="240"/>
        <v/>
      </c>
      <c r="F118" s="1" t="str">
        <f t="shared" si="240"/>
        <v/>
      </c>
      <c r="G118" s="1">
        <f t="shared" si="240"/>
        <v>192</v>
      </c>
      <c r="H118" s="1" t="str">
        <f t="shared" si="240"/>
        <v/>
      </c>
      <c r="I118" s="1" t="str">
        <f t="shared" si="240"/>
        <v/>
      </c>
      <c r="J118" s="1">
        <f t="shared" si="240"/>
        <v>1</v>
      </c>
      <c r="K118" s="1">
        <f t="shared" si="240"/>
        <v>4</v>
      </c>
      <c r="L118" s="1">
        <f t="shared" si="240"/>
        <v>6</v>
      </c>
      <c r="M118" s="1">
        <f t="shared" si="240"/>
        <v>8</v>
      </c>
      <c r="N118" s="1">
        <f t="shared" si="240"/>
        <v>6</v>
      </c>
      <c r="O118" s="1" t="str">
        <f t="shared" si="6"/>
        <v/>
      </c>
      <c r="P118" s="1">
        <f t="shared" ref="P118:AB118" si="241">if(C$2="","",C118*P$1)</f>
        <v>3003</v>
      </c>
      <c r="Q118" s="1" t="str">
        <f t="shared" si="241"/>
        <v/>
      </c>
      <c r="R118" s="1" t="str">
        <f t="shared" si="241"/>
        <v/>
      </c>
      <c r="S118" s="1" t="str">
        <f t="shared" si="241"/>
        <v/>
      </c>
      <c r="T118" s="1">
        <f t="shared" si="241"/>
        <v>32640</v>
      </c>
      <c r="U118" s="1" t="str">
        <f t="shared" si="241"/>
        <v/>
      </c>
      <c r="V118" s="1" t="str">
        <f t="shared" si="241"/>
        <v/>
      </c>
      <c r="W118" s="1">
        <f t="shared" si="241"/>
        <v>14760.70996</v>
      </c>
      <c r="X118" s="1">
        <f t="shared" si="241"/>
        <v>17600</v>
      </c>
      <c r="Y118" s="1">
        <f t="shared" si="241"/>
        <v>60600</v>
      </c>
      <c r="Z118" s="1">
        <f t="shared" si="241"/>
        <v>84000</v>
      </c>
      <c r="AA118" s="1">
        <f t="shared" si="241"/>
        <v>600884.4375</v>
      </c>
      <c r="AB118" s="1" t="str">
        <f t="shared" si="241"/>
        <v/>
      </c>
      <c r="AC118" s="1" t="str">
        <f>if(Calculator!$C$8,SUM(P118:AB118),"")</f>
        <v/>
      </c>
      <c r="AE118" s="1">
        <f t="shared" si="8"/>
        <v>4069.813567</v>
      </c>
      <c r="AF118" s="1">
        <f t="shared" si="9"/>
        <v>827104.3719</v>
      </c>
      <c r="AG118" s="1">
        <f t="shared" si="10"/>
        <v>7130.210103</v>
      </c>
      <c r="AH118" s="1">
        <f t="shared" si="11"/>
        <v>7012.828857</v>
      </c>
      <c r="AI118" s="1">
        <f t="shared" si="15"/>
        <v>117.3812453</v>
      </c>
      <c r="AJ118" s="1" t="str">
        <f t="shared" si="12"/>
        <v/>
      </c>
    </row>
    <row r="119">
      <c r="A119" s="5">
        <v>116.0</v>
      </c>
      <c r="B119" s="8">
        <f t="shared" si="4"/>
        <v>0.4995065681</v>
      </c>
      <c r="C119" s="4">
        <f t="shared" ref="C119:N119" si="242">IF(C$2="","",C$1-_xlfn.FLOOR.MATH(C$1*(180-MIN(180,$A119))/180))</f>
        <v>78</v>
      </c>
      <c r="D119" s="1" t="str">
        <f t="shared" si="242"/>
        <v/>
      </c>
      <c r="E119" s="1" t="str">
        <f t="shared" si="242"/>
        <v/>
      </c>
      <c r="F119" s="1" t="str">
        <f t="shared" si="242"/>
        <v/>
      </c>
      <c r="G119" s="1">
        <f t="shared" si="242"/>
        <v>194</v>
      </c>
      <c r="H119" s="1" t="str">
        <f t="shared" si="242"/>
        <v/>
      </c>
      <c r="I119" s="1" t="str">
        <f t="shared" si="242"/>
        <v/>
      </c>
      <c r="J119" s="1">
        <f t="shared" si="242"/>
        <v>1</v>
      </c>
      <c r="K119" s="1">
        <f t="shared" si="242"/>
        <v>4</v>
      </c>
      <c r="L119" s="1">
        <f t="shared" si="242"/>
        <v>6</v>
      </c>
      <c r="M119" s="1">
        <f t="shared" si="242"/>
        <v>8</v>
      </c>
      <c r="N119" s="1">
        <f t="shared" si="242"/>
        <v>6</v>
      </c>
      <c r="O119" s="1" t="str">
        <f t="shared" si="6"/>
        <v/>
      </c>
      <c r="P119" s="1">
        <f t="shared" ref="P119:AB119" si="243">if(C$2="","",C119*P$1)</f>
        <v>3042</v>
      </c>
      <c r="Q119" s="1" t="str">
        <f t="shared" si="243"/>
        <v/>
      </c>
      <c r="R119" s="1" t="str">
        <f t="shared" si="243"/>
        <v/>
      </c>
      <c r="S119" s="1" t="str">
        <f t="shared" si="243"/>
        <v/>
      </c>
      <c r="T119" s="1">
        <f t="shared" si="243"/>
        <v>32980</v>
      </c>
      <c r="U119" s="1" t="str">
        <f t="shared" si="243"/>
        <v/>
      </c>
      <c r="V119" s="1" t="str">
        <f t="shared" si="243"/>
        <v/>
      </c>
      <c r="W119" s="1">
        <f t="shared" si="243"/>
        <v>14760.70996</v>
      </c>
      <c r="X119" s="1">
        <f t="shared" si="243"/>
        <v>17600</v>
      </c>
      <c r="Y119" s="1">
        <f t="shared" si="243"/>
        <v>60600</v>
      </c>
      <c r="Z119" s="1">
        <f t="shared" si="243"/>
        <v>84000</v>
      </c>
      <c r="AA119" s="1">
        <f t="shared" si="243"/>
        <v>600884.4375</v>
      </c>
      <c r="AB119" s="1" t="str">
        <f t="shared" si="243"/>
        <v/>
      </c>
      <c r="AC119" s="1" t="str">
        <f>if(Calculator!$C$8,SUM(P119:AB119),"")</f>
        <v/>
      </c>
      <c r="AE119" s="1">
        <f t="shared" si="8"/>
        <v>3996.052544</v>
      </c>
      <c r="AF119" s="1">
        <f t="shared" si="9"/>
        <v>831100.4245</v>
      </c>
      <c r="AG119" s="1">
        <f t="shared" si="10"/>
        <v>7103.422431</v>
      </c>
      <c r="AH119" s="1">
        <f t="shared" si="11"/>
        <v>6956.129465</v>
      </c>
      <c r="AI119" s="1">
        <f t="shared" si="15"/>
        <v>147.2929658</v>
      </c>
      <c r="AJ119" s="1" t="str">
        <f t="shared" si="12"/>
        <v/>
      </c>
    </row>
    <row r="120">
      <c r="A120" s="5">
        <v>117.0</v>
      </c>
      <c r="B120" s="8">
        <f t="shared" si="4"/>
        <v>0.4906065889</v>
      </c>
      <c r="C120" s="4">
        <f t="shared" ref="C120:N120" si="244">IF(C$2="","",C$1-_xlfn.FLOOR.MATH(C$1*(180-MIN(180,$A120))/180))</f>
        <v>78</v>
      </c>
      <c r="D120" s="1" t="str">
        <f t="shared" si="244"/>
        <v/>
      </c>
      <c r="E120" s="1" t="str">
        <f t="shared" si="244"/>
        <v/>
      </c>
      <c r="F120" s="1" t="str">
        <f t="shared" si="244"/>
        <v/>
      </c>
      <c r="G120" s="1">
        <f t="shared" si="244"/>
        <v>195</v>
      </c>
      <c r="H120" s="1" t="str">
        <f t="shared" si="244"/>
        <v/>
      </c>
      <c r="I120" s="1" t="str">
        <f t="shared" si="244"/>
        <v/>
      </c>
      <c r="J120" s="1">
        <f t="shared" si="244"/>
        <v>1</v>
      </c>
      <c r="K120" s="1">
        <f t="shared" si="244"/>
        <v>4</v>
      </c>
      <c r="L120" s="1">
        <f t="shared" si="244"/>
        <v>6</v>
      </c>
      <c r="M120" s="1">
        <f t="shared" si="244"/>
        <v>8</v>
      </c>
      <c r="N120" s="1">
        <f t="shared" si="244"/>
        <v>6</v>
      </c>
      <c r="O120" s="1" t="str">
        <f t="shared" si="6"/>
        <v/>
      </c>
      <c r="P120" s="1">
        <f t="shared" ref="P120:AB120" si="245">if(C$2="","",C120*P$1)</f>
        <v>3042</v>
      </c>
      <c r="Q120" s="1" t="str">
        <f t="shared" si="245"/>
        <v/>
      </c>
      <c r="R120" s="1" t="str">
        <f t="shared" si="245"/>
        <v/>
      </c>
      <c r="S120" s="1" t="str">
        <f t="shared" si="245"/>
        <v/>
      </c>
      <c r="T120" s="1">
        <f t="shared" si="245"/>
        <v>33150</v>
      </c>
      <c r="U120" s="1" t="str">
        <f t="shared" si="245"/>
        <v/>
      </c>
      <c r="V120" s="1" t="str">
        <f t="shared" si="245"/>
        <v/>
      </c>
      <c r="W120" s="1">
        <f t="shared" si="245"/>
        <v>14760.70996</v>
      </c>
      <c r="X120" s="1">
        <f t="shared" si="245"/>
        <v>17600</v>
      </c>
      <c r="Y120" s="1">
        <f t="shared" si="245"/>
        <v>60600</v>
      </c>
      <c r="Z120" s="1">
        <f t="shared" si="245"/>
        <v>84000</v>
      </c>
      <c r="AA120" s="1">
        <f t="shared" si="245"/>
        <v>600884.4375</v>
      </c>
      <c r="AB120" s="1" t="str">
        <f t="shared" si="245"/>
        <v/>
      </c>
      <c r="AC120" s="1" t="str">
        <f>if(Calculator!$C$8,SUM(P120:AB120),"")</f>
        <v/>
      </c>
      <c r="AE120" s="1">
        <f t="shared" si="8"/>
        <v>3924.852712</v>
      </c>
      <c r="AF120" s="1">
        <f t="shared" si="9"/>
        <v>835025.2772</v>
      </c>
      <c r="AG120" s="1">
        <f t="shared" si="10"/>
        <v>7076.4854</v>
      </c>
      <c r="AH120" s="1">
        <f t="shared" si="11"/>
        <v>6898.619894</v>
      </c>
      <c r="AI120" s="1">
        <f t="shared" si="15"/>
        <v>177.865506</v>
      </c>
      <c r="AJ120" s="1" t="str">
        <f t="shared" si="12"/>
        <v/>
      </c>
    </row>
    <row r="121">
      <c r="A121" s="5">
        <v>118.0</v>
      </c>
      <c r="B121" s="8">
        <f t="shared" si="4"/>
        <v>0.4820319576</v>
      </c>
      <c r="C121" s="4">
        <f t="shared" ref="C121:N121" si="246">IF(C$2="","",C$1-_xlfn.FLOOR.MATH(C$1*(180-MIN(180,$A121))/180))</f>
        <v>79</v>
      </c>
      <c r="D121" s="1" t="str">
        <f t="shared" si="246"/>
        <v/>
      </c>
      <c r="E121" s="1" t="str">
        <f t="shared" si="246"/>
        <v/>
      </c>
      <c r="F121" s="1" t="str">
        <f t="shared" si="246"/>
        <v/>
      </c>
      <c r="G121" s="1">
        <f t="shared" si="246"/>
        <v>197</v>
      </c>
      <c r="H121" s="1" t="str">
        <f t="shared" si="246"/>
        <v/>
      </c>
      <c r="I121" s="1" t="str">
        <f t="shared" si="246"/>
        <v/>
      </c>
      <c r="J121" s="1">
        <f t="shared" si="246"/>
        <v>1</v>
      </c>
      <c r="K121" s="1">
        <f t="shared" si="246"/>
        <v>4</v>
      </c>
      <c r="L121" s="1">
        <f t="shared" si="246"/>
        <v>6</v>
      </c>
      <c r="M121" s="1">
        <f t="shared" si="246"/>
        <v>8</v>
      </c>
      <c r="N121" s="1">
        <f t="shared" si="246"/>
        <v>6</v>
      </c>
      <c r="O121" s="1" t="str">
        <f t="shared" si="6"/>
        <v/>
      </c>
      <c r="P121" s="1">
        <f t="shared" ref="P121:AB121" si="247">if(C$2="","",C121*P$1)</f>
        <v>3081</v>
      </c>
      <c r="Q121" s="1" t="str">
        <f t="shared" si="247"/>
        <v/>
      </c>
      <c r="R121" s="1" t="str">
        <f t="shared" si="247"/>
        <v/>
      </c>
      <c r="S121" s="1" t="str">
        <f t="shared" si="247"/>
        <v/>
      </c>
      <c r="T121" s="1">
        <f t="shared" si="247"/>
        <v>33490</v>
      </c>
      <c r="U121" s="1" t="str">
        <f t="shared" si="247"/>
        <v/>
      </c>
      <c r="V121" s="1" t="str">
        <f t="shared" si="247"/>
        <v/>
      </c>
      <c r="W121" s="1">
        <f t="shared" si="247"/>
        <v>14760.70996</v>
      </c>
      <c r="X121" s="1">
        <f t="shared" si="247"/>
        <v>17600</v>
      </c>
      <c r="Y121" s="1">
        <f t="shared" si="247"/>
        <v>60600</v>
      </c>
      <c r="Z121" s="1">
        <f t="shared" si="247"/>
        <v>84000</v>
      </c>
      <c r="AA121" s="1">
        <f t="shared" si="247"/>
        <v>600884.4375</v>
      </c>
      <c r="AB121" s="1" t="str">
        <f t="shared" si="247"/>
        <v/>
      </c>
      <c r="AC121" s="1" t="str">
        <f>if(Calculator!$C$8,SUM(P121:AB121),"")</f>
        <v/>
      </c>
      <c r="AE121" s="1">
        <f t="shared" si="8"/>
        <v>3856.255661</v>
      </c>
      <c r="AF121" s="1">
        <f t="shared" si="9"/>
        <v>838881.5328</v>
      </c>
      <c r="AG121" s="1">
        <f t="shared" si="10"/>
        <v>7049.424646</v>
      </c>
      <c r="AH121" s="1">
        <f t="shared" si="11"/>
        <v>6843.833172</v>
      </c>
      <c r="AI121" s="1">
        <f t="shared" si="15"/>
        <v>205.5914737</v>
      </c>
      <c r="AJ121" s="1" t="str">
        <f t="shared" si="12"/>
        <v/>
      </c>
    </row>
    <row r="122">
      <c r="A122" s="5">
        <v>119.0</v>
      </c>
      <c r="B122" s="8">
        <f t="shared" si="4"/>
        <v>0.4737858973</v>
      </c>
      <c r="C122" s="4">
        <f t="shared" ref="C122:N122" si="248">IF(C$2="","",C$1-_xlfn.FLOOR.MATH(C$1*(180-MIN(180,$A122))/180))</f>
        <v>80</v>
      </c>
      <c r="D122" s="1" t="str">
        <f t="shared" si="248"/>
        <v/>
      </c>
      <c r="E122" s="1" t="str">
        <f t="shared" si="248"/>
        <v/>
      </c>
      <c r="F122" s="1" t="str">
        <f t="shared" si="248"/>
        <v/>
      </c>
      <c r="G122" s="1">
        <f t="shared" si="248"/>
        <v>199</v>
      </c>
      <c r="H122" s="1" t="str">
        <f t="shared" si="248"/>
        <v/>
      </c>
      <c r="I122" s="1" t="str">
        <f t="shared" si="248"/>
        <v/>
      </c>
      <c r="J122" s="1">
        <f t="shared" si="248"/>
        <v>1</v>
      </c>
      <c r="K122" s="1">
        <f t="shared" si="248"/>
        <v>4</v>
      </c>
      <c r="L122" s="1">
        <f t="shared" si="248"/>
        <v>6</v>
      </c>
      <c r="M122" s="1">
        <f t="shared" si="248"/>
        <v>8</v>
      </c>
      <c r="N122" s="1">
        <f t="shared" si="248"/>
        <v>6</v>
      </c>
      <c r="O122" s="1" t="str">
        <f t="shared" si="6"/>
        <v/>
      </c>
      <c r="P122" s="1">
        <f t="shared" ref="P122:AB122" si="249">if(C$2="","",C122*P$1)</f>
        <v>3120</v>
      </c>
      <c r="Q122" s="1" t="str">
        <f t="shared" si="249"/>
        <v/>
      </c>
      <c r="R122" s="1" t="str">
        <f t="shared" si="249"/>
        <v/>
      </c>
      <c r="S122" s="1" t="str">
        <f t="shared" si="249"/>
        <v/>
      </c>
      <c r="T122" s="1">
        <f t="shared" si="249"/>
        <v>33830</v>
      </c>
      <c r="U122" s="1" t="str">
        <f t="shared" si="249"/>
        <v/>
      </c>
      <c r="V122" s="1" t="str">
        <f t="shared" si="249"/>
        <v/>
      </c>
      <c r="W122" s="1">
        <f t="shared" si="249"/>
        <v>14760.70996</v>
      </c>
      <c r="X122" s="1">
        <f t="shared" si="249"/>
        <v>17600</v>
      </c>
      <c r="Y122" s="1">
        <f t="shared" si="249"/>
        <v>60600</v>
      </c>
      <c r="Z122" s="1">
        <f t="shared" si="249"/>
        <v>84000</v>
      </c>
      <c r="AA122" s="1">
        <f t="shared" si="249"/>
        <v>600884.4375</v>
      </c>
      <c r="AB122" s="1" t="str">
        <f t="shared" si="249"/>
        <v/>
      </c>
      <c r="AC122" s="1" t="str">
        <f>if(Calculator!$C$8,SUM(P122:AB122),"")</f>
        <v/>
      </c>
      <c r="AE122" s="1">
        <f t="shared" si="8"/>
        <v>3790.287179</v>
      </c>
      <c r="AF122" s="1">
        <f t="shared" si="9"/>
        <v>842671.82</v>
      </c>
      <c r="AG122" s="1">
        <f t="shared" si="10"/>
        <v>7022.265167</v>
      </c>
      <c r="AH122" s="1">
        <f t="shared" si="11"/>
        <v>6789.959562</v>
      </c>
      <c r="AI122" s="1">
        <f t="shared" si="15"/>
        <v>232.3056046</v>
      </c>
      <c r="AJ122" s="1" t="str">
        <f t="shared" si="12"/>
        <v/>
      </c>
    </row>
    <row r="123">
      <c r="A123" s="5">
        <v>120.0</v>
      </c>
      <c r="B123" s="8">
        <f t="shared" si="4"/>
        <v>0.4658697735</v>
      </c>
      <c r="C123" s="4">
        <f t="shared" ref="C123:N123" si="250">IF(C$2="","",C$1-_xlfn.FLOOR.MATH(C$1*(180-MIN(180,$A123))/180))</f>
        <v>80</v>
      </c>
      <c r="D123" s="1" t="str">
        <f t="shared" si="250"/>
        <v/>
      </c>
      <c r="E123" s="1" t="str">
        <f t="shared" si="250"/>
        <v/>
      </c>
      <c r="F123" s="1" t="str">
        <f t="shared" si="250"/>
        <v/>
      </c>
      <c r="G123" s="1">
        <f t="shared" si="250"/>
        <v>200</v>
      </c>
      <c r="H123" s="1" t="str">
        <f t="shared" si="250"/>
        <v/>
      </c>
      <c r="I123" s="1" t="str">
        <f t="shared" si="250"/>
        <v/>
      </c>
      <c r="J123" s="1">
        <f t="shared" si="250"/>
        <v>1</v>
      </c>
      <c r="K123" s="1">
        <f t="shared" si="250"/>
        <v>4</v>
      </c>
      <c r="L123" s="1">
        <f t="shared" si="250"/>
        <v>6</v>
      </c>
      <c r="M123" s="1">
        <f t="shared" si="250"/>
        <v>8</v>
      </c>
      <c r="N123" s="1">
        <f t="shared" si="250"/>
        <v>6</v>
      </c>
      <c r="O123" s="1" t="str">
        <f t="shared" si="6"/>
        <v/>
      </c>
      <c r="P123" s="1">
        <f t="shared" ref="P123:AB123" si="251">if(C$2="","",C123*P$1)</f>
        <v>3120</v>
      </c>
      <c r="Q123" s="1" t="str">
        <f t="shared" si="251"/>
        <v/>
      </c>
      <c r="R123" s="1" t="str">
        <f t="shared" si="251"/>
        <v/>
      </c>
      <c r="S123" s="1" t="str">
        <f t="shared" si="251"/>
        <v/>
      </c>
      <c r="T123" s="1">
        <f t="shared" si="251"/>
        <v>34000</v>
      </c>
      <c r="U123" s="1" t="str">
        <f t="shared" si="251"/>
        <v/>
      </c>
      <c r="V123" s="1" t="str">
        <f t="shared" si="251"/>
        <v/>
      </c>
      <c r="W123" s="1">
        <f t="shared" si="251"/>
        <v>14760.70996</v>
      </c>
      <c r="X123" s="1">
        <f t="shared" si="251"/>
        <v>17600</v>
      </c>
      <c r="Y123" s="1">
        <f t="shared" si="251"/>
        <v>60600</v>
      </c>
      <c r="Z123" s="1">
        <f t="shared" si="251"/>
        <v>84000</v>
      </c>
      <c r="AA123" s="1">
        <f t="shared" si="251"/>
        <v>600884.4375</v>
      </c>
      <c r="AB123" s="1" t="str">
        <f t="shared" si="251"/>
        <v/>
      </c>
      <c r="AC123" s="1" t="str">
        <f>if(Calculator!$C$8,SUM(P123:AB123),"")</f>
        <v/>
      </c>
      <c r="AE123" s="1">
        <f t="shared" si="8"/>
        <v>3726.958188</v>
      </c>
      <c r="AF123" s="1">
        <f t="shared" si="9"/>
        <v>846398.7782</v>
      </c>
      <c r="AG123" s="1">
        <f t="shared" si="10"/>
        <v>6995.031225</v>
      </c>
      <c r="AH123" s="1">
        <f t="shared" si="11"/>
        <v>6735.249153</v>
      </c>
      <c r="AI123" s="1">
        <f t="shared" si="15"/>
        <v>259.7820722</v>
      </c>
      <c r="AJ123" s="1" t="str">
        <f t="shared" si="12"/>
        <v/>
      </c>
    </row>
    <row r="124">
      <c r="A124" s="5">
        <v>121.0</v>
      </c>
      <c r="B124" s="8">
        <f t="shared" si="4"/>
        <v>0.4582832244</v>
      </c>
      <c r="C124" s="4">
        <f t="shared" ref="C124:N124" si="252">IF(C$2="","",C$1-_xlfn.FLOOR.MATH(C$1*(180-MIN(180,$A124))/180))</f>
        <v>81</v>
      </c>
      <c r="D124" s="1" t="str">
        <f t="shared" si="252"/>
        <v/>
      </c>
      <c r="E124" s="1" t="str">
        <f t="shared" si="252"/>
        <v/>
      </c>
      <c r="F124" s="1" t="str">
        <f t="shared" si="252"/>
        <v/>
      </c>
      <c r="G124" s="1">
        <f t="shared" si="252"/>
        <v>202</v>
      </c>
      <c r="H124" s="1" t="str">
        <f t="shared" si="252"/>
        <v/>
      </c>
      <c r="I124" s="1" t="str">
        <f t="shared" si="252"/>
        <v/>
      </c>
      <c r="J124" s="1">
        <f t="shared" si="252"/>
        <v>1</v>
      </c>
      <c r="K124" s="1">
        <f t="shared" si="252"/>
        <v>5</v>
      </c>
      <c r="L124" s="1">
        <f t="shared" si="252"/>
        <v>6</v>
      </c>
      <c r="M124" s="1">
        <f t="shared" si="252"/>
        <v>9</v>
      </c>
      <c r="N124" s="1">
        <f t="shared" si="252"/>
        <v>6</v>
      </c>
      <c r="O124" s="1" t="str">
        <f t="shared" si="6"/>
        <v/>
      </c>
      <c r="P124" s="1">
        <f t="shared" ref="P124:AB124" si="253">if(C$2="","",C124*P$1)</f>
        <v>3159</v>
      </c>
      <c r="Q124" s="1" t="str">
        <f t="shared" si="253"/>
        <v/>
      </c>
      <c r="R124" s="1" t="str">
        <f t="shared" si="253"/>
        <v/>
      </c>
      <c r="S124" s="1" t="str">
        <f t="shared" si="253"/>
        <v/>
      </c>
      <c r="T124" s="1">
        <f t="shared" si="253"/>
        <v>34340</v>
      </c>
      <c r="U124" s="1" t="str">
        <f t="shared" si="253"/>
        <v/>
      </c>
      <c r="V124" s="1" t="str">
        <f t="shared" si="253"/>
        <v/>
      </c>
      <c r="W124" s="1">
        <f t="shared" si="253"/>
        <v>14760.70996</v>
      </c>
      <c r="X124" s="1">
        <f t="shared" si="253"/>
        <v>22000</v>
      </c>
      <c r="Y124" s="1">
        <f t="shared" si="253"/>
        <v>60600</v>
      </c>
      <c r="Z124" s="1">
        <f t="shared" si="253"/>
        <v>94500</v>
      </c>
      <c r="AA124" s="1">
        <f t="shared" si="253"/>
        <v>600884.4375</v>
      </c>
      <c r="AB124" s="1" t="str">
        <f t="shared" si="253"/>
        <v/>
      </c>
      <c r="AC124" s="1" t="str">
        <f>if(Calculator!$C$8,SUM(P124:AB124),"")</f>
        <v/>
      </c>
      <c r="AE124" s="1">
        <f t="shared" si="8"/>
        <v>3666.265796</v>
      </c>
      <c r="AF124" s="1">
        <f t="shared" si="9"/>
        <v>850065.044</v>
      </c>
      <c r="AG124" s="1">
        <f t="shared" si="10"/>
        <v>6967.746262</v>
      </c>
      <c r="AH124" s="1">
        <f t="shared" si="11"/>
        <v>6805.279897</v>
      </c>
      <c r="AI124" s="1">
        <f t="shared" si="15"/>
        <v>162.466365</v>
      </c>
      <c r="AJ124" s="1" t="str">
        <f t="shared" si="12"/>
        <v/>
      </c>
    </row>
    <row r="125">
      <c r="A125" s="5">
        <v>122.0</v>
      </c>
      <c r="B125" s="8">
        <f t="shared" si="4"/>
        <v>0.4510243026</v>
      </c>
      <c r="C125" s="4">
        <f t="shared" ref="C125:N125" si="254">IF(C$2="","",C$1-_xlfn.FLOOR.MATH(C$1*(180-MIN(180,$A125))/180))</f>
        <v>82</v>
      </c>
      <c r="D125" s="1" t="str">
        <f t="shared" si="254"/>
        <v/>
      </c>
      <c r="E125" s="1" t="str">
        <f t="shared" si="254"/>
        <v/>
      </c>
      <c r="F125" s="1" t="str">
        <f t="shared" si="254"/>
        <v/>
      </c>
      <c r="G125" s="1">
        <f t="shared" si="254"/>
        <v>204</v>
      </c>
      <c r="H125" s="1" t="str">
        <f t="shared" si="254"/>
        <v/>
      </c>
      <c r="I125" s="1" t="str">
        <f t="shared" si="254"/>
        <v/>
      </c>
      <c r="J125" s="1">
        <f t="shared" si="254"/>
        <v>1</v>
      </c>
      <c r="K125" s="1">
        <f t="shared" si="254"/>
        <v>5</v>
      </c>
      <c r="L125" s="1">
        <f t="shared" si="254"/>
        <v>6</v>
      </c>
      <c r="M125" s="1">
        <f t="shared" si="254"/>
        <v>9</v>
      </c>
      <c r="N125" s="1">
        <f t="shared" si="254"/>
        <v>6</v>
      </c>
      <c r="O125" s="1" t="str">
        <f t="shared" si="6"/>
        <v/>
      </c>
      <c r="P125" s="1">
        <f t="shared" ref="P125:AB125" si="255">if(C$2="","",C125*P$1)</f>
        <v>3198</v>
      </c>
      <c r="Q125" s="1" t="str">
        <f t="shared" si="255"/>
        <v/>
      </c>
      <c r="R125" s="1" t="str">
        <f t="shared" si="255"/>
        <v/>
      </c>
      <c r="S125" s="1" t="str">
        <f t="shared" si="255"/>
        <v/>
      </c>
      <c r="T125" s="1">
        <f t="shared" si="255"/>
        <v>34680</v>
      </c>
      <c r="U125" s="1" t="str">
        <f t="shared" si="255"/>
        <v/>
      </c>
      <c r="V125" s="1" t="str">
        <f t="shared" si="255"/>
        <v/>
      </c>
      <c r="W125" s="1">
        <f t="shared" si="255"/>
        <v>14760.70996</v>
      </c>
      <c r="X125" s="1">
        <f t="shared" si="255"/>
        <v>22000</v>
      </c>
      <c r="Y125" s="1">
        <f t="shared" si="255"/>
        <v>60600</v>
      </c>
      <c r="Z125" s="1">
        <f t="shared" si="255"/>
        <v>94500</v>
      </c>
      <c r="AA125" s="1">
        <f t="shared" si="255"/>
        <v>600884.4375</v>
      </c>
      <c r="AB125" s="1" t="str">
        <f t="shared" si="255"/>
        <v/>
      </c>
      <c r="AC125" s="1" t="str">
        <f>if(Calculator!$C$8,SUM(P125:AB125),"")</f>
        <v/>
      </c>
      <c r="AE125" s="1">
        <f t="shared" si="8"/>
        <v>3608.194421</v>
      </c>
      <c r="AF125" s="1">
        <f t="shared" si="9"/>
        <v>853673.2384</v>
      </c>
      <c r="AG125" s="1">
        <f t="shared" si="10"/>
        <v>6940.432833</v>
      </c>
      <c r="AH125" s="1">
        <f t="shared" si="11"/>
        <v>6753.033719</v>
      </c>
      <c r="AI125" s="1">
        <f t="shared" si="15"/>
        <v>187.3991134</v>
      </c>
      <c r="AJ125" s="1" t="str">
        <f t="shared" si="12"/>
        <v/>
      </c>
    </row>
    <row r="126">
      <c r="A126" s="5">
        <v>123.0</v>
      </c>
      <c r="B126" s="8">
        <f t="shared" si="4"/>
        <v>0.4440896214</v>
      </c>
      <c r="C126" s="4">
        <f t="shared" ref="C126:N126" si="256">IF(C$2="","",C$1-_xlfn.FLOOR.MATH(C$1*(180-MIN(180,$A126))/180))</f>
        <v>82</v>
      </c>
      <c r="D126" s="1" t="str">
        <f t="shared" si="256"/>
        <v/>
      </c>
      <c r="E126" s="1" t="str">
        <f t="shared" si="256"/>
        <v/>
      </c>
      <c r="F126" s="1" t="str">
        <f t="shared" si="256"/>
        <v/>
      </c>
      <c r="G126" s="1">
        <f t="shared" si="256"/>
        <v>205</v>
      </c>
      <c r="H126" s="1" t="str">
        <f t="shared" si="256"/>
        <v/>
      </c>
      <c r="I126" s="1" t="str">
        <f t="shared" si="256"/>
        <v/>
      </c>
      <c r="J126" s="1">
        <f t="shared" si="256"/>
        <v>1</v>
      </c>
      <c r="K126" s="1">
        <f t="shared" si="256"/>
        <v>5</v>
      </c>
      <c r="L126" s="1">
        <f t="shared" si="256"/>
        <v>6</v>
      </c>
      <c r="M126" s="1">
        <f t="shared" si="256"/>
        <v>9</v>
      </c>
      <c r="N126" s="1">
        <f t="shared" si="256"/>
        <v>6</v>
      </c>
      <c r="O126" s="1" t="str">
        <f t="shared" si="6"/>
        <v/>
      </c>
      <c r="P126" s="1">
        <f t="shared" ref="P126:AB126" si="257">if(C$2="","",C126*P$1)</f>
        <v>3198</v>
      </c>
      <c r="Q126" s="1" t="str">
        <f t="shared" si="257"/>
        <v/>
      </c>
      <c r="R126" s="1" t="str">
        <f t="shared" si="257"/>
        <v/>
      </c>
      <c r="S126" s="1" t="str">
        <f t="shared" si="257"/>
        <v/>
      </c>
      <c r="T126" s="1">
        <f t="shared" si="257"/>
        <v>34850</v>
      </c>
      <c r="U126" s="1" t="str">
        <f t="shared" si="257"/>
        <v/>
      </c>
      <c r="V126" s="1" t="str">
        <f t="shared" si="257"/>
        <v/>
      </c>
      <c r="W126" s="1">
        <f t="shared" si="257"/>
        <v>14760.70996</v>
      </c>
      <c r="X126" s="1">
        <f t="shared" si="257"/>
        <v>22000</v>
      </c>
      <c r="Y126" s="1">
        <f t="shared" si="257"/>
        <v>60600</v>
      </c>
      <c r="Z126" s="1">
        <f t="shared" si="257"/>
        <v>94500</v>
      </c>
      <c r="AA126" s="1">
        <f t="shared" si="257"/>
        <v>600884.4375</v>
      </c>
      <c r="AB126" s="1" t="str">
        <f t="shared" si="257"/>
        <v/>
      </c>
      <c r="AC126" s="1" t="str">
        <f>if(Calculator!$C$8,SUM(P126:AB126),"")</f>
        <v/>
      </c>
      <c r="AE126" s="1">
        <f t="shared" si="8"/>
        <v>3552.716971</v>
      </c>
      <c r="AF126" s="1">
        <f t="shared" si="9"/>
        <v>857225.9554</v>
      </c>
      <c r="AG126" s="1">
        <f t="shared" si="10"/>
        <v>6913.112543</v>
      </c>
      <c r="AH126" s="1">
        <f t="shared" si="11"/>
        <v>6699.944738</v>
      </c>
      <c r="AI126" s="1">
        <f t="shared" si="15"/>
        <v>213.1678058</v>
      </c>
      <c r="AJ126" s="1" t="str">
        <f t="shared" si="12"/>
        <v/>
      </c>
    </row>
    <row r="127">
      <c r="A127" s="5">
        <v>124.0</v>
      </c>
      <c r="B127" s="8">
        <f t="shared" si="4"/>
        <v>0.4374745051</v>
      </c>
      <c r="C127" s="4">
        <f t="shared" ref="C127:N127" si="258">IF(C$2="","",C$1-_xlfn.FLOOR.MATH(C$1*(180-MIN(180,$A127))/180))</f>
        <v>83</v>
      </c>
      <c r="D127" s="1" t="str">
        <f t="shared" si="258"/>
        <v/>
      </c>
      <c r="E127" s="1" t="str">
        <f t="shared" si="258"/>
        <v/>
      </c>
      <c r="F127" s="1" t="str">
        <f t="shared" si="258"/>
        <v/>
      </c>
      <c r="G127" s="1">
        <f t="shared" si="258"/>
        <v>207</v>
      </c>
      <c r="H127" s="1" t="str">
        <f t="shared" si="258"/>
        <v/>
      </c>
      <c r="I127" s="1" t="str">
        <f t="shared" si="258"/>
        <v/>
      </c>
      <c r="J127" s="1">
        <f t="shared" si="258"/>
        <v>1</v>
      </c>
      <c r="K127" s="1">
        <f t="shared" si="258"/>
        <v>5</v>
      </c>
      <c r="L127" s="1">
        <f t="shared" si="258"/>
        <v>6</v>
      </c>
      <c r="M127" s="1">
        <f t="shared" si="258"/>
        <v>9</v>
      </c>
      <c r="N127" s="1">
        <f t="shared" si="258"/>
        <v>6</v>
      </c>
      <c r="O127" s="1" t="str">
        <f t="shared" si="6"/>
        <v/>
      </c>
      <c r="P127" s="1">
        <f t="shared" ref="P127:AB127" si="259">if(C$2="","",C127*P$1)</f>
        <v>3237</v>
      </c>
      <c r="Q127" s="1" t="str">
        <f t="shared" si="259"/>
        <v/>
      </c>
      <c r="R127" s="1" t="str">
        <f t="shared" si="259"/>
        <v/>
      </c>
      <c r="S127" s="1" t="str">
        <f t="shared" si="259"/>
        <v/>
      </c>
      <c r="T127" s="1">
        <f t="shared" si="259"/>
        <v>35190</v>
      </c>
      <c r="U127" s="1" t="str">
        <f t="shared" si="259"/>
        <v/>
      </c>
      <c r="V127" s="1" t="str">
        <f t="shared" si="259"/>
        <v/>
      </c>
      <c r="W127" s="1">
        <f t="shared" si="259"/>
        <v>14760.70996</v>
      </c>
      <c r="X127" s="1">
        <f t="shared" si="259"/>
        <v>22000</v>
      </c>
      <c r="Y127" s="1">
        <f t="shared" si="259"/>
        <v>60600</v>
      </c>
      <c r="Z127" s="1">
        <f t="shared" si="259"/>
        <v>94500</v>
      </c>
      <c r="AA127" s="1">
        <f t="shared" si="259"/>
        <v>600884.4375</v>
      </c>
      <c r="AB127" s="1" t="str">
        <f t="shared" si="259"/>
        <v/>
      </c>
      <c r="AC127" s="1" t="str">
        <f>if(Calculator!$C$8,SUM(P127:AB127),"")</f>
        <v/>
      </c>
      <c r="AE127" s="1">
        <f t="shared" si="8"/>
        <v>3499.796041</v>
      </c>
      <c r="AF127" s="1">
        <f t="shared" si="9"/>
        <v>860725.7514</v>
      </c>
      <c r="AG127" s="1">
        <f t="shared" si="10"/>
        <v>6885.806011</v>
      </c>
      <c r="AH127" s="1">
        <f t="shared" si="11"/>
        <v>6649.37718</v>
      </c>
      <c r="AI127" s="1">
        <f t="shared" si="15"/>
        <v>236.4288317</v>
      </c>
      <c r="AJ127" s="1" t="str">
        <f t="shared" si="12"/>
        <v/>
      </c>
    </row>
    <row r="128">
      <c r="A128" s="5">
        <v>125.0</v>
      </c>
      <c r="B128" s="8">
        <f t="shared" si="4"/>
        <v>0.4311731394</v>
      </c>
      <c r="C128" s="4">
        <f t="shared" ref="C128:N128" si="260">IF(C$2="","",C$1-_xlfn.FLOOR.MATH(C$1*(180-MIN(180,$A128))/180))</f>
        <v>84</v>
      </c>
      <c r="D128" s="1" t="str">
        <f t="shared" si="260"/>
        <v/>
      </c>
      <c r="E128" s="1" t="str">
        <f t="shared" si="260"/>
        <v/>
      </c>
      <c r="F128" s="1" t="str">
        <f t="shared" si="260"/>
        <v/>
      </c>
      <c r="G128" s="1">
        <f t="shared" si="260"/>
        <v>209</v>
      </c>
      <c r="H128" s="1" t="str">
        <f t="shared" si="260"/>
        <v/>
      </c>
      <c r="I128" s="1" t="str">
        <f t="shared" si="260"/>
        <v/>
      </c>
      <c r="J128" s="1">
        <f t="shared" si="260"/>
        <v>1</v>
      </c>
      <c r="K128" s="1">
        <f t="shared" si="260"/>
        <v>5</v>
      </c>
      <c r="L128" s="1">
        <f t="shared" si="260"/>
        <v>6</v>
      </c>
      <c r="M128" s="1">
        <f t="shared" si="260"/>
        <v>9</v>
      </c>
      <c r="N128" s="1">
        <f t="shared" si="260"/>
        <v>6</v>
      </c>
      <c r="O128" s="1" t="str">
        <f t="shared" si="6"/>
        <v/>
      </c>
      <c r="P128" s="1">
        <f t="shared" ref="P128:AB128" si="261">if(C$2="","",C128*P$1)</f>
        <v>3276</v>
      </c>
      <c r="Q128" s="1" t="str">
        <f t="shared" si="261"/>
        <v/>
      </c>
      <c r="R128" s="1" t="str">
        <f t="shared" si="261"/>
        <v/>
      </c>
      <c r="S128" s="1" t="str">
        <f t="shared" si="261"/>
        <v/>
      </c>
      <c r="T128" s="1">
        <f t="shared" si="261"/>
        <v>35530</v>
      </c>
      <c r="U128" s="1" t="str">
        <f t="shared" si="261"/>
        <v/>
      </c>
      <c r="V128" s="1" t="str">
        <f t="shared" si="261"/>
        <v/>
      </c>
      <c r="W128" s="1">
        <f t="shared" si="261"/>
        <v>14760.70996</v>
      </c>
      <c r="X128" s="1">
        <f t="shared" si="261"/>
        <v>22000</v>
      </c>
      <c r="Y128" s="1">
        <f t="shared" si="261"/>
        <v>60600</v>
      </c>
      <c r="Z128" s="1">
        <f t="shared" si="261"/>
        <v>94500</v>
      </c>
      <c r="AA128" s="1">
        <f t="shared" si="261"/>
        <v>600884.4375</v>
      </c>
      <c r="AB128" s="1" t="str">
        <f t="shared" si="261"/>
        <v/>
      </c>
      <c r="AC128" s="1" t="str">
        <f>if(Calculator!$C$8,SUM(P128:AB128),"")</f>
        <v/>
      </c>
      <c r="AE128" s="1">
        <f t="shared" si="8"/>
        <v>3449.385115</v>
      </c>
      <c r="AF128" s="1">
        <f t="shared" si="9"/>
        <v>864175.1365</v>
      </c>
      <c r="AG128" s="1">
        <f t="shared" si="10"/>
        <v>6858.53283</v>
      </c>
      <c r="AH128" s="1">
        <f t="shared" si="11"/>
        <v>6599.612281</v>
      </c>
      <c r="AI128" s="1">
        <f t="shared" si="15"/>
        <v>258.9205482</v>
      </c>
      <c r="AJ128" s="1" t="str">
        <f t="shared" si="12"/>
        <v/>
      </c>
    </row>
    <row r="129">
      <c r="A129" s="5">
        <v>126.0</v>
      </c>
      <c r="B129" s="8">
        <f t="shared" si="4"/>
        <v>0.425178719</v>
      </c>
      <c r="C129" s="4">
        <f t="shared" ref="C129:N129" si="262">IF(C$2="","",C$1-_xlfn.FLOOR.MATH(C$1*(180-MIN(180,$A129))/180))</f>
        <v>84</v>
      </c>
      <c r="D129" s="1" t="str">
        <f t="shared" si="262"/>
        <v/>
      </c>
      <c r="E129" s="1" t="str">
        <f t="shared" si="262"/>
        <v/>
      </c>
      <c r="F129" s="1" t="str">
        <f t="shared" si="262"/>
        <v/>
      </c>
      <c r="G129" s="1">
        <f t="shared" si="262"/>
        <v>210</v>
      </c>
      <c r="H129" s="1" t="str">
        <f t="shared" si="262"/>
        <v/>
      </c>
      <c r="I129" s="1" t="str">
        <f t="shared" si="262"/>
        <v/>
      </c>
      <c r="J129" s="1">
        <f t="shared" si="262"/>
        <v>1</v>
      </c>
      <c r="K129" s="1">
        <f t="shared" si="262"/>
        <v>5</v>
      </c>
      <c r="L129" s="1">
        <f t="shared" si="262"/>
        <v>6</v>
      </c>
      <c r="M129" s="1">
        <f t="shared" si="262"/>
        <v>9</v>
      </c>
      <c r="N129" s="1">
        <f t="shared" si="262"/>
        <v>6</v>
      </c>
      <c r="O129" s="1" t="str">
        <f t="shared" si="6"/>
        <v/>
      </c>
      <c r="P129" s="1">
        <f t="shared" ref="P129:AB129" si="263">if(C$2="","",C129*P$1)</f>
        <v>3276</v>
      </c>
      <c r="Q129" s="1" t="str">
        <f t="shared" si="263"/>
        <v/>
      </c>
      <c r="R129" s="1" t="str">
        <f t="shared" si="263"/>
        <v/>
      </c>
      <c r="S129" s="1" t="str">
        <f t="shared" si="263"/>
        <v/>
      </c>
      <c r="T129" s="1">
        <f t="shared" si="263"/>
        <v>35700</v>
      </c>
      <c r="U129" s="1" t="str">
        <f t="shared" si="263"/>
        <v/>
      </c>
      <c r="V129" s="1" t="str">
        <f t="shared" si="263"/>
        <v/>
      </c>
      <c r="W129" s="1">
        <f t="shared" si="263"/>
        <v>14760.70996</v>
      </c>
      <c r="X129" s="1">
        <f t="shared" si="263"/>
        <v>22000</v>
      </c>
      <c r="Y129" s="1">
        <f t="shared" si="263"/>
        <v>60600</v>
      </c>
      <c r="Z129" s="1">
        <f t="shared" si="263"/>
        <v>94500</v>
      </c>
      <c r="AA129" s="1">
        <f t="shared" si="263"/>
        <v>600884.4375</v>
      </c>
      <c r="AB129" s="1" t="str">
        <f t="shared" si="263"/>
        <v/>
      </c>
      <c r="AC129" s="1" t="str">
        <f>if(Calculator!$C$8,SUM(P129:AB129),"")</f>
        <v/>
      </c>
      <c r="AE129" s="1">
        <f t="shared" si="8"/>
        <v>3401.429752</v>
      </c>
      <c r="AF129" s="1">
        <f t="shared" si="9"/>
        <v>867576.5663</v>
      </c>
      <c r="AG129" s="1">
        <f t="shared" si="10"/>
        <v>6831.311546</v>
      </c>
      <c r="AH129" s="1">
        <f t="shared" si="11"/>
        <v>6548.985413</v>
      </c>
      <c r="AI129" s="1">
        <f t="shared" si="15"/>
        <v>282.3261325</v>
      </c>
      <c r="AJ129" s="1" t="str">
        <f t="shared" si="12"/>
        <v/>
      </c>
    </row>
    <row r="130">
      <c r="A130" s="5">
        <v>127.0</v>
      </c>
      <c r="B130" s="8">
        <f t="shared" si="4"/>
        <v>0.419483591</v>
      </c>
      <c r="C130" s="4">
        <f t="shared" ref="C130:N130" si="264">IF(C$2="","",C$1-_xlfn.FLOOR.MATH(C$1*(180-MIN(180,$A130))/180))</f>
        <v>85</v>
      </c>
      <c r="D130" s="1" t="str">
        <f t="shared" si="264"/>
        <v/>
      </c>
      <c r="E130" s="1" t="str">
        <f t="shared" si="264"/>
        <v/>
      </c>
      <c r="F130" s="1" t="str">
        <f t="shared" si="264"/>
        <v/>
      </c>
      <c r="G130" s="1">
        <f t="shared" si="264"/>
        <v>212</v>
      </c>
      <c r="H130" s="1" t="str">
        <f t="shared" si="264"/>
        <v/>
      </c>
      <c r="I130" s="1" t="str">
        <f t="shared" si="264"/>
        <v/>
      </c>
      <c r="J130" s="1">
        <f t="shared" si="264"/>
        <v>1</v>
      </c>
      <c r="K130" s="1">
        <f t="shared" si="264"/>
        <v>5</v>
      </c>
      <c r="L130" s="1">
        <f t="shared" si="264"/>
        <v>6</v>
      </c>
      <c r="M130" s="1">
        <f t="shared" si="264"/>
        <v>9</v>
      </c>
      <c r="N130" s="1">
        <f t="shared" si="264"/>
        <v>6</v>
      </c>
      <c r="O130" s="1" t="str">
        <f t="shared" si="6"/>
        <v/>
      </c>
      <c r="P130" s="1">
        <f t="shared" ref="P130:AB130" si="265">if(C$2="","",C130*P$1)</f>
        <v>3315</v>
      </c>
      <c r="Q130" s="1" t="str">
        <f t="shared" si="265"/>
        <v/>
      </c>
      <c r="R130" s="1" t="str">
        <f t="shared" si="265"/>
        <v/>
      </c>
      <c r="S130" s="1" t="str">
        <f t="shared" si="265"/>
        <v/>
      </c>
      <c r="T130" s="1">
        <f t="shared" si="265"/>
        <v>36040</v>
      </c>
      <c r="U130" s="1" t="str">
        <f t="shared" si="265"/>
        <v/>
      </c>
      <c r="V130" s="1" t="str">
        <f t="shared" si="265"/>
        <v/>
      </c>
      <c r="W130" s="1">
        <f t="shared" si="265"/>
        <v>14760.70996</v>
      </c>
      <c r="X130" s="1">
        <f t="shared" si="265"/>
        <v>22000</v>
      </c>
      <c r="Y130" s="1">
        <f t="shared" si="265"/>
        <v>60600</v>
      </c>
      <c r="Z130" s="1">
        <f t="shared" si="265"/>
        <v>94500</v>
      </c>
      <c r="AA130" s="1">
        <f t="shared" si="265"/>
        <v>600884.4375</v>
      </c>
      <c r="AB130" s="1" t="str">
        <f t="shared" si="265"/>
        <v/>
      </c>
      <c r="AC130" s="1" t="str">
        <f>if(Calculator!$C$8,SUM(P130:AB130),"")</f>
        <v/>
      </c>
      <c r="AE130" s="1">
        <f t="shared" si="8"/>
        <v>3355.868728</v>
      </c>
      <c r="AF130" s="1">
        <f t="shared" si="9"/>
        <v>870932.435</v>
      </c>
      <c r="AG130" s="1">
        <f t="shared" si="10"/>
        <v>6804.159649</v>
      </c>
      <c r="AH130" s="1">
        <f t="shared" si="11"/>
        <v>6500.782402</v>
      </c>
      <c r="AI130" s="1">
        <f t="shared" si="15"/>
        <v>303.3772465</v>
      </c>
      <c r="AJ130" s="1" t="str">
        <f t="shared" si="12"/>
        <v/>
      </c>
    </row>
    <row r="131">
      <c r="A131" s="5">
        <v>128.0</v>
      </c>
      <c r="B131" s="8">
        <f t="shared" si="4"/>
        <v>0.4140793923</v>
      </c>
      <c r="C131" s="4">
        <f t="shared" ref="C131:N131" si="266">IF(C$2="","",C$1-_xlfn.FLOOR.MATH(C$1*(180-MIN(180,$A131))/180))</f>
        <v>86</v>
      </c>
      <c r="D131" s="1" t="str">
        <f t="shared" si="266"/>
        <v/>
      </c>
      <c r="E131" s="1" t="str">
        <f t="shared" si="266"/>
        <v/>
      </c>
      <c r="F131" s="1" t="str">
        <f t="shared" si="266"/>
        <v/>
      </c>
      <c r="G131" s="1">
        <f t="shared" si="266"/>
        <v>214</v>
      </c>
      <c r="H131" s="1" t="str">
        <f t="shared" si="266"/>
        <v/>
      </c>
      <c r="I131" s="1" t="str">
        <f t="shared" si="266"/>
        <v/>
      </c>
      <c r="J131" s="1">
        <f t="shared" si="266"/>
        <v>1</v>
      </c>
      <c r="K131" s="1">
        <f t="shared" si="266"/>
        <v>5</v>
      </c>
      <c r="L131" s="1">
        <f t="shared" si="266"/>
        <v>6</v>
      </c>
      <c r="M131" s="1">
        <f t="shared" si="266"/>
        <v>9</v>
      </c>
      <c r="N131" s="1">
        <f t="shared" si="266"/>
        <v>6</v>
      </c>
      <c r="O131" s="1" t="str">
        <f t="shared" si="6"/>
        <v/>
      </c>
      <c r="P131" s="1">
        <f t="shared" ref="P131:AB131" si="267">if(C$2="","",C131*P$1)</f>
        <v>3354</v>
      </c>
      <c r="Q131" s="1" t="str">
        <f t="shared" si="267"/>
        <v/>
      </c>
      <c r="R131" s="1" t="str">
        <f t="shared" si="267"/>
        <v/>
      </c>
      <c r="S131" s="1" t="str">
        <f t="shared" si="267"/>
        <v/>
      </c>
      <c r="T131" s="1">
        <f t="shared" si="267"/>
        <v>36380</v>
      </c>
      <c r="U131" s="1" t="str">
        <f t="shared" si="267"/>
        <v/>
      </c>
      <c r="V131" s="1" t="str">
        <f t="shared" si="267"/>
        <v/>
      </c>
      <c r="W131" s="1">
        <f t="shared" si="267"/>
        <v>14760.70996</v>
      </c>
      <c r="X131" s="1">
        <f t="shared" si="267"/>
        <v>22000</v>
      </c>
      <c r="Y131" s="1">
        <f t="shared" si="267"/>
        <v>60600</v>
      </c>
      <c r="Z131" s="1">
        <f t="shared" si="267"/>
        <v>94500</v>
      </c>
      <c r="AA131" s="1">
        <f t="shared" si="267"/>
        <v>600884.4375</v>
      </c>
      <c r="AB131" s="1" t="str">
        <f t="shared" si="267"/>
        <v/>
      </c>
      <c r="AC131" s="1" t="str">
        <f>if(Calculator!$C$8,SUM(P131:AB131),"")</f>
        <v/>
      </c>
      <c r="AE131" s="1">
        <f t="shared" si="8"/>
        <v>3312.635138</v>
      </c>
      <c r="AF131" s="1">
        <f t="shared" si="9"/>
        <v>874245.0702</v>
      </c>
      <c r="AG131" s="1">
        <f t="shared" si="10"/>
        <v>6777.093567</v>
      </c>
      <c r="AH131" s="1">
        <f t="shared" si="11"/>
        <v>6453.326725</v>
      </c>
      <c r="AI131" s="1">
        <f t="shared" si="15"/>
        <v>323.7668426</v>
      </c>
      <c r="AJ131" s="1" t="str">
        <f t="shared" si="12"/>
        <v/>
      </c>
    </row>
    <row r="132">
      <c r="A132" s="5">
        <v>129.0</v>
      </c>
      <c r="B132" s="8">
        <f t="shared" si="4"/>
        <v>0.4089571792</v>
      </c>
      <c r="C132" s="4">
        <f t="shared" ref="C132:N132" si="268">IF(C$2="","",C$1-_xlfn.FLOOR.MATH(C$1*(180-MIN(180,$A132))/180))</f>
        <v>86</v>
      </c>
      <c r="D132" s="1" t="str">
        <f t="shared" si="268"/>
        <v/>
      </c>
      <c r="E132" s="1" t="str">
        <f t="shared" si="268"/>
        <v/>
      </c>
      <c r="F132" s="1" t="str">
        <f t="shared" si="268"/>
        <v/>
      </c>
      <c r="G132" s="1">
        <f t="shared" si="268"/>
        <v>215</v>
      </c>
      <c r="H132" s="1" t="str">
        <f t="shared" si="268"/>
        <v/>
      </c>
      <c r="I132" s="1" t="str">
        <f t="shared" si="268"/>
        <v/>
      </c>
      <c r="J132" s="1">
        <f t="shared" si="268"/>
        <v>1</v>
      </c>
      <c r="K132" s="1">
        <f t="shared" si="268"/>
        <v>5</v>
      </c>
      <c r="L132" s="1">
        <f t="shared" si="268"/>
        <v>6</v>
      </c>
      <c r="M132" s="1">
        <f t="shared" si="268"/>
        <v>9</v>
      </c>
      <c r="N132" s="1">
        <f t="shared" si="268"/>
        <v>6</v>
      </c>
      <c r="O132" s="1" t="str">
        <f t="shared" si="6"/>
        <v/>
      </c>
      <c r="P132" s="1">
        <f t="shared" ref="P132:AB132" si="269">if(C$2="","",C132*P$1)</f>
        <v>3354</v>
      </c>
      <c r="Q132" s="1" t="str">
        <f t="shared" si="269"/>
        <v/>
      </c>
      <c r="R132" s="1" t="str">
        <f t="shared" si="269"/>
        <v/>
      </c>
      <c r="S132" s="1" t="str">
        <f t="shared" si="269"/>
        <v/>
      </c>
      <c r="T132" s="1">
        <f t="shared" si="269"/>
        <v>36550</v>
      </c>
      <c r="U132" s="1" t="str">
        <f t="shared" si="269"/>
        <v/>
      </c>
      <c r="V132" s="1" t="str">
        <f t="shared" si="269"/>
        <v/>
      </c>
      <c r="W132" s="1">
        <f t="shared" si="269"/>
        <v>14760.70996</v>
      </c>
      <c r="X132" s="1">
        <f t="shared" si="269"/>
        <v>22000</v>
      </c>
      <c r="Y132" s="1">
        <f t="shared" si="269"/>
        <v>60600</v>
      </c>
      <c r="Z132" s="1">
        <f t="shared" si="269"/>
        <v>94500</v>
      </c>
      <c r="AA132" s="1">
        <f t="shared" si="269"/>
        <v>600884.4375</v>
      </c>
      <c r="AB132" s="1" t="str">
        <f t="shared" si="269"/>
        <v/>
      </c>
      <c r="AC132" s="1" t="str">
        <f>if(Calculator!$C$8,SUM(P132:AB132),"")</f>
        <v/>
      </c>
      <c r="AE132" s="1">
        <f t="shared" si="8"/>
        <v>3271.657433</v>
      </c>
      <c r="AF132" s="1">
        <f t="shared" si="9"/>
        <v>877516.7276</v>
      </c>
      <c r="AG132" s="1">
        <f t="shared" si="10"/>
        <v>6750.128674</v>
      </c>
      <c r="AH132" s="1">
        <f t="shared" si="11"/>
        <v>6404.993442</v>
      </c>
      <c r="AI132" s="1">
        <f t="shared" si="15"/>
        <v>345.1352318</v>
      </c>
      <c r="AJ132" s="1" t="str">
        <f t="shared" si="12"/>
        <v/>
      </c>
    </row>
    <row r="133">
      <c r="A133" s="5">
        <v>130.0</v>
      </c>
      <c r="B133" s="8">
        <f t="shared" si="4"/>
        <v>0.4041075488</v>
      </c>
      <c r="C133" s="4">
        <f t="shared" ref="C133:N133" si="270">IF(C$2="","",C$1-_xlfn.FLOOR.MATH(C$1*(180-MIN(180,$A133))/180))</f>
        <v>87</v>
      </c>
      <c r="D133" s="1" t="str">
        <f t="shared" si="270"/>
        <v/>
      </c>
      <c r="E133" s="1" t="str">
        <f t="shared" si="270"/>
        <v/>
      </c>
      <c r="F133" s="1" t="str">
        <f t="shared" si="270"/>
        <v/>
      </c>
      <c r="G133" s="1">
        <f t="shared" si="270"/>
        <v>217</v>
      </c>
      <c r="H133" s="1" t="str">
        <f t="shared" si="270"/>
        <v/>
      </c>
      <c r="I133" s="1" t="str">
        <f t="shared" si="270"/>
        <v/>
      </c>
      <c r="J133" s="1">
        <f t="shared" si="270"/>
        <v>1</v>
      </c>
      <c r="K133" s="1">
        <f t="shared" si="270"/>
        <v>5</v>
      </c>
      <c r="L133" s="1">
        <f t="shared" si="270"/>
        <v>6</v>
      </c>
      <c r="M133" s="1">
        <f t="shared" si="270"/>
        <v>9</v>
      </c>
      <c r="N133" s="1">
        <f t="shared" si="270"/>
        <v>6</v>
      </c>
      <c r="O133" s="1" t="str">
        <f t="shared" si="6"/>
        <v/>
      </c>
      <c r="P133" s="1">
        <f t="shared" ref="P133:AB133" si="271">if(C$2="","",C133*P$1)</f>
        <v>3393</v>
      </c>
      <c r="Q133" s="1" t="str">
        <f t="shared" si="271"/>
        <v/>
      </c>
      <c r="R133" s="1" t="str">
        <f t="shared" si="271"/>
        <v/>
      </c>
      <c r="S133" s="1" t="str">
        <f t="shared" si="271"/>
        <v/>
      </c>
      <c r="T133" s="1">
        <f t="shared" si="271"/>
        <v>36890</v>
      </c>
      <c r="U133" s="1" t="str">
        <f t="shared" si="271"/>
        <v/>
      </c>
      <c r="V133" s="1" t="str">
        <f t="shared" si="271"/>
        <v/>
      </c>
      <c r="W133" s="1">
        <f t="shared" si="271"/>
        <v>14760.70996</v>
      </c>
      <c r="X133" s="1">
        <f t="shared" si="271"/>
        <v>22000</v>
      </c>
      <c r="Y133" s="1">
        <f t="shared" si="271"/>
        <v>60600</v>
      </c>
      <c r="Z133" s="1">
        <f t="shared" si="271"/>
        <v>94500</v>
      </c>
      <c r="AA133" s="1">
        <f t="shared" si="271"/>
        <v>600884.4375</v>
      </c>
      <c r="AB133" s="1" t="str">
        <f t="shared" si="271"/>
        <v/>
      </c>
      <c r="AC133" s="1" t="str">
        <f>if(Calculator!$C$8,SUM(P133:AB133),"")</f>
        <v/>
      </c>
      <c r="AE133" s="1">
        <f t="shared" si="8"/>
        <v>3232.86039</v>
      </c>
      <c r="AF133" s="1">
        <f t="shared" si="9"/>
        <v>880749.588</v>
      </c>
      <c r="AG133" s="1">
        <f t="shared" si="10"/>
        <v>6723.279298</v>
      </c>
      <c r="AH133" s="1">
        <f t="shared" si="11"/>
        <v>6358.993492</v>
      </c>
      <c r="AI133" s="1">
        <f t="shared" si="15"/>
        <v>364.2858055</v>
      </c>
      <c r="AJ133" s="1" t="str">
        <f t="shared" si="12"/>
        <v/>
      </c>
    </row>
    <row r="134">
      <c r="A134" s="5">
        <v>131.0</v>
      </c>
      <c r="B134" s="8">
        <f t="shared" si="4"/>
        <v>0.3995207511</v>
      </c>
      <c r="C134" s="4">
        <f t="shared" ref="C134:N134" si="272">IF(C$2="","",C$1-_xlfn.FLOOR.MATH(C$1*(180-MIN(180,$A134))/180))</f>
        <v>88</v>
      </c>
      <c r="D134" s="1" t="str">
        <f t="shared" si="272"/>
        <v/>
      </c>
      <c r="E134" s="1" t="str">
        <f t="shared" si="272"/>
        <v/>
      </c>
      <c r="F134" s="1" t="str">
        <f t="shared" si="272"/>
        <v/>
      </c>
      <c r="G134" s="1">
        <f t="shared" si="272"/>
        <v>219</v>
      </c>
      <c r="H134" s="1" t="str">
        <f t="shared" si="272"/>
        <v/>
      </c>
      <c r="I134" s="1" t="str">
        <f t="shared" si="272"/>
        <v/>
      </c>
      <c r="J134" s="1">
        <f t="shared" si="272"/>
        <v>1</v>
      </c>
      <c r="K134" s="1">
        <f t="shared" si="272"/>
        <v>5</v>
      </c>
      <c r="L134" s="1">
        <f t="shared" si="272"/>
        <v>6</v>
      </c>
      <c r="M134" s="1">
        <f t="shared" si="272"/>
        <v>9</v>
      </c>
      <c r="N134" s="1">
        <f t="shared" si="272"/>
        <v>6</v>
      </c>
      <c r="O134" s="1" t="str">
        <f t="shared" si="6"/>
        <v/>
      </c>
      <c r="P134" s="1">
        <f t="shared" ref="P134:AB134" si="273">if(C$2="","",C134*P$1)</f>
        <v>3432</v>
      </c>
      <c r="Q134" s="1" t="str">
        <f t="shared" si="273"/>
        <v/>
      </c>
      <c r="R134" s="1" t="str">
        <f t="shared" si="273"/>
        <v/>
      </c>
      <c r="S134" s="1" t="str">
        <f t="shared" si="273"/>
        <v/>
      </c>
      <c r="T134" s="1">
        <f t="shared" si="273"/>
        <v>37230</v>
      </c>
      <c r="U134" s="1" t="str">
        <f t="shared" si="273"/>
        <v/>
      </c>
      <c r="V134" s="1" t="str">
        <f t="shared" si="273"/>
        <v/>
      </c>
      <c r="W134" s="1">
        <f t="shared" si="273"/>
        <v>14760.70996</v>
      </c>
      <c r="X134" s="1">
        <f t="shared" si="273"/>
        <v>22000</v>
      </c>
      <c r="Y134" s="1">
        <f t="shared" si="273"/>
        <v>60600</v>
      </c>
      <c r="Z134" s="1">
        <f t="shared" si="273"/>
        <v>94500</v>
      </c>
      <c r="AA134" s="1">
        <f t="shared" si="273"/>
        <v>600884.4375</v>
      </c>
      <c r="AB134" s="1" t="str">
        <f t="shared" si="273"/>
        <v/>
      </c>
      <c r="AC134" s="1" t="str">
        <f>if(Calculator!$C$8,SUM(P134:AB134),"")</f>
        <v/>
      </c>
      <c r="AE134" s="1">
        <f t="shared" si="8"/>
        <v>3196.166009</v>
      </c>
      <c r="AF134" s="1">
        <f t="shared" si="9"/>
        <v>883945.754</v>
      </c>
      <c r="AG134" s="1">
        <f t="shared" si="10"/>
        <v>6696.558742</v>
      </c>
      <c r="AH134" s="1">
        <f t="shared" si="11"/>
        <v>6313.690511</v>
      </c>
      <c r="AI134" s="1">
        <f t="shared" si="15"/>
        <v>382.8682313</v>
      </c>
      <c r="AJ134" s="1" t="str">
        <f t="shared" si="12"/>
        <v/>
      </c>
    </row>
    <row r="135">
      <c r="A135" s="5">
        <v>132.0</v>
      </c>
      <c r="B135" s="8">
        <f t="shared" si="4"/>
        <v>0.3951867915</v>
      </c>
      <c r="C135" s="4">
        <f t="shared" ref="C135:N135" si="274">IF(C$2="","",C$1-_xlfn.FLOOR.MATH(C$1*(180-MIN(180,$A135))/180))</f>
        <v>88</v>
      </c>
      <c r="D135" s="1" t="str">
        <f t="shared" si="274"/>
        <v/>
      </c>
      <c r="E135" s="1" t="str">
        <f t="shared" si="274"/>
        <v/>
      </c>
      <c r="F135" s="1" t="str">
        <f t="shared" si="274"/>
        <v/>
      </c>
      <c r="G135" s="1">
        <f t="shared" si="274"/>
        <v>220</v>
      </c>
      <c r="H135" s="1" t="str">
        <f t="shared" si="274"/>
        <v/>
      </c>
      <c r="I135" s="1" t="str">
        <f t="shared" si="274"/>
        <v/>
      </c>
      <c r="J135" s="1">
        <f t="shared" si="274"/>
        <v>1</v>
      </c>
      <c r="K135" s="1">
        <f t="shared" si="274"/>
        <v>5</v>
      </c>
      <c r="L135" s="1">
        <f t="shared" si="274"/>
        <v>6</v>
      </c>
      <c r="M135" s="1">
        <f t="shared" si="274"/>
        <v>9</v>
      </c>
      <c r="N135" s="1">
        <f t="shared" si="274"/>
        <v>6</v>
      </c>
      <c r="O135" s="1" t="str">
        <f t="shared" si="6"/>
        <v/>
      </c>
      <c r="P135" s="1">
        <f t="shared" ref="P135:AB135" si="275">if(C$2="","",C135*P$1)</f>
        <v>3432</v>
      </c>
      <c r="Q135" s="1" t="str">
        <f t="shared" si="275"/>
        <v/>
      </c>
      <c r="R135" s="1" t="str">
        <f t="shared" si="275"/>
        <v/>
      </c>
      <c r="S135" s="1" t="str">
        <f t="shared" si="275"/>
        <v/>
      </c>
      <c r="T135" s="1">
        <f t="shared" si="275"/>
        <v>37400</v>
      </c>
      <c r="U135" s="1" t="str">
        <f t="shared" si="275"/>
        <v/>
      </c>
      <c r="V135" s="1" t="str">
        <f t="shared" si="275"/>
        <v/>
      </c>
      <c r="W135" s="1">
        <f t="shared" si="275"/>
        <v>14760.70996</v>
      </c>
      <c r="X135" s="1">
        <f t="shared" si="275"/>
        <v>22000</v>
      </c>
      <c r="Y135" s="1">
        <f t="shared" si="275"/>
        <v>60600</v>
      </c>
      <c r="Z135" s="1">
        <f t="shared" si="275"/>
        <v>94500</v>
      </c>
      <c r="AA135" s="1">
        <f t="shared" si="275"/>
        <v>600884.4375</v>
      </c>
      <c r="AB135" s="1" t="str">
        <f t="shared" si="275"/>
        <v/>
      </c>
      <c r="AC135" s="1" t="str">
        <f>if(Calculator!$C$8,SUM(P135:AB135),"")</f>
        <v/>
      </c>
      <c r="AE135" s="1">
        <f t="shared" si="8"/>
        <v>3161.494332</v>
      </c>
      <c r="AF135" s="1">
        <f t="shared" si="9"/>
        <v>887107.2483</v>
      </c>
      <c r="AG135" s="1">
        <f t="shared" si="10"/>
        <v>6669.979311</v>
      </c>
      <c r="AH135" s="1">
        <f t="shared" si="11"/>
        <v>6267.497349</v>
      </c>
      <c r="AI135" s="1">
        <f t="shared" si="15"/>
        <v>402.4819614</v>
      </c>
      <c r="AJ135" s="1" t="str">
        <f t="shared" si="12"/>
        <v/>
      </c>
    </row>
    <row r="136">
      <c r="A136" s="5">
        <v>133.0</v>
      </c>
      <c r="B136" s="8">
        <f t="shared" si="4"/>
        <v>0.3910955237</v>
      </c>
      <c r="C136" s="4">
        <f t="shared" ref="C136:N136" si="276">IF(C$2="","",C$1-_xlfn.FLOOR.MATH(C$1*(180-MIN(180,$A136))/180))</f>
        <v>89</v>
      </c>
      <c r="D136" s="1" t="str">
        <f t="shared" si="276"/>
        <v/>
      </c>
      <c r="E136" s="1" t="str">
        <f t="shared" si="276"/>
        <v/>
      </c>
      <c r="F136" s="1" t="str">
        <f t="shared" si="276"/>
        <v/>
      </c>
      <c r="G136" s="1">
        <f t="shared" si="276"/>
        <v>222</v>
      </c>
      <c r="H136" s="1" t="str">
        <f t="shared" si="276"/>
        <v/>
      </c>
      <c r="I136" s="1" t="str">
        <f t="shared" si="276"/>
        <v/>
      </c>
      <c r="J136" s="1">
        <f t="shared" si="276"/>
        <v>1</v>
      </c>
      <c r="K136" s="1">
        <f t="shared" si="276"/>
        <v>5</v>
      </c>
      <c r="L136" s="1">
        <f t="shared" si="276"/>
        <v>6</v>
      </c>
      <c r="M136" s="1">
        <f t="shared" si="276"/>
        <v>9</v>
      </c>
      <c r="N136" s="1">
        <f t="shared" si="276"/>
        <v>6</v>
      </c>
      <c r="O136" s="1" t="str">
        <f t="shared" si="6"/>
        <v/>
      </c>
      <c r="P136" s="1">
        <f t="shared" ref="P136:AB136" si="277">if(C$2="","",C136*P$1)</f>
        <v>3471</v>
      </c>
      <c r="Q136" s="1" t="str">
        <f t="shared" si="277"/>
        <v/>
      </c>
      <c r="R136" s="1" t="str">
        <f t="shared" si="277"/>
        <v/>
      </c>
      <c r="S136" s="1" t="str">
        <f t="shared" si="277"/>
        <v/>
      </c>
      <c r="T136" s="1">
        <f t="shared" si="277"/>
        <v>37740</v>
      </c>
      <c r="U136" s="1" t="str">
        <f t="shared" si="277"/>
        <v/>
      </c>
      <c r="V136" s="1" t="str">
        <f t="shared" si="277"/>
        <v/>
      </c>
      <c r="W136" s="1">
        <f t="shared" si="277"/>
        <v>14760.70996</v>
      </c>
      <c r="X136" s="1">
        <f t="shared" si="277"/>
        <v>22000</v>
      </c>
      <c r="Y136" s="1">
        <f t="shared" si="277"/>
        <v>60600</v>
      </c>
      <c r="Z136" s="1">
        <f t="shared" si="277"/>
        <v>94500</v>
      </c>
      <c r="AA136" s="1">
        <f t="shared" si="277"/>
        <v>600884.4375</v>
      </c>
      <c r="AB136" s="1" t="str">
        <f t="shared" si="277"/>
        <v/>
      </c>
      <c r="AC136" s="1" t="str">
        <f>if(Calculator!$C$8,SUM(P136:AB136),"")</f>
        <v/>
      </c>
      <c r="AE136" s="1">
        <f t="shared" si="8"/>
        <v>3128.76419</v>
      </c>
      <c r="AF136" s="1">
        <f t="shared" si="9"/>
        <v>890236.0125</v>
      </c>
      <c r="AG136" s="1">
        <f t="shared" si="10"/>
        <v>6643.552332</v>
      </c>
      <c r="AH136" s="1">
        <f t="shared" si="11"/>
        <v>6223.553339</v>
      </c>
      <c r="AI136" s="1">
        <f t="shared" si="15"/>
        <v>419.9989929</v>
      </c>
      <c r="AJ136" s="1" t="str">
        <f t="shared" si="12"/>
        <v/>
      </c>
    </row>
    <row r="137">
      <c r="A137" s="5">
        <v>134.0</v>
      </c>
      <c r="B137" s="8">
        <f t="shared" si="4"/>
        <v>0.3872367328</v>
      </c>
      <c r="C137" s="4">
        <f t="shared" ref="C137:N137" si="278">IF(C$2="","",C$1-_xlfn.FLOOR.MATH(C$1*(180-MIN(180,$A137))/180))</f>
        <v>90</v>
      </c>
      <c r="D137" s="1" t="str">
        <f t="shared" si="278"/>
        <v/>
      </c>
      <c r="E137" s="1" t="str">
        <f t="shared" si="278"/>
        <v/>
      </c>
      <c r="F137" s="1" t="str">
        <f t="shared" si="278"/>
        <v/>
      </c>
      <c r="G137" s="1">
        <f t="shared" si="278"/>
        <v>224</v>
      </c>
      <c r="H137" s="1" t="str">
        <f t="shared" si="278"/>
        <v/>
      </c>
      <c r="I137" s="1" t="str">
        <f t="shared" si="278"/>
        <v/>
      </c>
      <c r="J137" s="1">
        <f t="shared" si="278"/>
        <v>1</v>
      </c>
      <c r="K137" s="1">
        <f t="shared" si="278"/>
        <v>5</v>
      </c>
      <c r="L137" s="1">
        <f t="shared" si="278"/>
        <v>6</v>
      </c>
      <c r="M137" s="1">
        <f t="shared" si="278"/>
        <v>9</v>
      </c>
      <c r="N137" s="1">
        <f t="shared" si="278"/>
        <v>6</v>
      </c>
      <c r="O137" s="1" t="str">
        <f t="shared" si="6"/>
        <v/>
      </c>
      <c r="P137" s="1">
        <f t="shared" ref="P137:AB137" si="279">if(C$2="","",C137*P$1)</f>
        <v>3510</v>
      </c>
      <c r="Q137" s="1" t="str">
        <f t="shared" si="279"/>
        <v/>
      </c>
      <c r="R137" s="1" t="str">
        <f t="shared" si="279"/>
        <v/>
      </c>
      <c r="S137" s="1" t="str">
        <f t="shared" si="279"/>
        <v/>
      </c>
      <c r="T137" s="1">
        <f t="shared" si="279"/>
        <v>38080</v>
      </c>
      <c r="U137" s="1" t="str">
        <f t="shared" si="279"/>
        <v/>
      </c>
      <c r="V137" s="1" t="str">
        <f t="shared" si="279"/>
        <v/>
      </c>
      <c r="W137" s="1">
        <f t="shared" si="279"/>
        <v>14760.70996</v>
      </c>
      <c r="X137" s="1">
        <f t="shared" si="279"/>
        <v>22000</v>
      </c>
      <c r="Y137" s="1">
        <f t="shared" si="279"/>
        <v>60600</v>
      </c>
      <c r="Z137" s="1">
        <f t="shared" si="279"/>
        <v>94500</v>
      </c>
      <c r="AA137" s="1">
        <f t="shared" si="279"/>
        <v>600884.4375</v>
      </c>
      <c r="AB137" s="1" t="str">
        <f t="shared" si="279"/>
        <v/>
      </c>
      <c r="AC137" s="1" t="str">
        <f>if(Calculator!$C$8,SUM(P137:AB137),"")</f>
        <v/>
      </c>
      <c r="AE137" s="1">
        <f t="shared" si="8"/>
        <v>3097.893862</v>
      </c>
      <c r="AF137" s="1">
        <f t="shared" si="9"/>
        <v>893333.9064</v>
      </c>
      <c r="AG137" s="1">
        <f t="shared" si="10"/>
        <v>6617.288195</v>
      </c>
      <c r="AH137" s="1">
        <f t="shared" si="11"/>
        <v>6180.260352</v>
      </c>
      <c r="AI137" s="1">
        <f t="shared" si="15"/>
        <v>437.0278438</v>
      </c>
      <c r="AJ137" s="1" t="str">
        <f t="shared" si="12"/>
        <v/>
      </c>
    </row>
    <row r="138">
      <c r="A138" s="5">
        <v>135.0</v>
      </c>
      <c r="B138" s="8">
        <f t="shared" si="4"/>
        <v>0.3836002089</v>
      </c>
      <c r="C138" s="4">
        <f t="shared" ref="C138:N138" si="280">IF(C$2="","",C$1-_xlfn.FLOOR.MATH(C$1*(180-MIN(180,$A138))/180))</f>
        <v>90</v>
      </c>
      <c r="D138" s="1" t="str">
        <f t="shared" si="280"/>
        <v/>
      </c>
      <c r="E138" s="1" t="str">
        <f t="shared" si="280"/>
        <v/>
      </c>
      <c r="F138" s="1" t="str">
        <f t="shared" si="280"/>
        <v/>
      </c>
      <c r="G138" s="1">
        <f t="shared" si="280"/>
        <v>225</v>
      </c>
      <c r="H138" s="1" t="str">
        <f t="shared" si="280"/>
        <v/>
      </c>
      <c r="I138" s="1" t="str">
        <f t="shared" si="280"/>
        <v/>
      </c>
      <c r="J138" s="1">
        <f t="shared" si="280"/>
        <v>1</v>
      </c>
      <c r="K138" s="1">
        <f t="shared" si="280"/>
        <v>5</v>
      </c>
      <c r="L138" s="1">
        <f t="shared" si="280"/>
        <v>6</v>
      </c>
      <c r="M138" s="1">
        <f t="shared" si="280"/>
        <v>9</v>
      </c>
      <c r="N138" s="1">
        <f t="shared" si="280"/>
        <v>6</v>
      </c>
      <c r="O138" s="1" t="str">
        <f t="shared" si="6"/>
        <v/>
      </c>
      <c r="P138" s="1">
        <f t="shared" ref="P138:AB138" si="281">if(C$2="","",C138*P$1)</f>
        <v>3510</v>
      </c>
      <c r="Q138" s="1" t="str">
        <f t="shared" si="281"/>
        <v/>
      </c>
      <c r="R138" s="1" t="str">
        <f t="shared" si="281"/>
        <v/>
      </c>
      <c r="S138" s="1" t="str">
        <f t="shared" si="281"/>
        <v/>
      </c>
      <c r="T138" s="1">
        <f t="shared" si="281"/>
        <v>38250</v>
      </c>
      <c r="U138" s="1" t="str">
        <f t="shared" si="281"/>
        <v/>
      </c>
      <c r="V138" s="1" t="str">
        <f t="shared" si="281"/>
        <v/>
      </c>
      <c r="W138" s="1">
        <f t="shared" si="281"/>
        <v>14760.70996</v>
      </c>
      <c r="X138" s="1">
        <f t="shared" si="281"/>
        <v>22000</v>
      </c>
      <c r="Y138" s="1">
        <f t="shared" si="281"/>
        <v>60600</v>
      </c>
      <c r="Z138" s="1">
        <f t="shared" si="281"/>
        <v>94500</v>
      </c>
      <c r="AA138" s="1">
        <f t="shared" si="281"/>
        <v>600884.4375</v>
      </c>
      <c r="AB138" s="1" t="str">
        <f t="shared" si="281"/>
        <v/>
      </c>
      <c r="AC138" s="1" t="str">
        <f>if(Calculator!$C$8,SUM(P138:AB138),"")</f>
        <v/>
      </c>
      <c r="AE138" s="1">
        <f t="shared" si="8"/>
        <v>3068.801671</v>
      </c>
      <c r="AF138" s="1">
        <f t="shared" si="9"/>
        <v>896402.708</v>
      </c>
      <c r="AG138" s="1">
        <f t="shared" si="10"/>
        <v>6591.196383</v>
      </c>
      <c r="AH138" s="1">
        <f t="shared" si="11"/>
        <v>6136.067261</v>
      </c>
      <c r="AI138" s="1">
        <f t="shared" si="15"/>
        <v>455.1291219</v>
      </c>
      <c r="AJ138" s="1" t="str">
        <f t="shared" si="12"/>
        <v/>
      </c>
    </row>
    <row r="139">
      <c r="A139" s="5">
        <v>136.0</v>
      </c>
      <c r="B139" s="8">
        <f t="shared" si="4"/>
        <v>0.3801758116</v>
      </c>
      <c r="C139" s="4">
        <f t="shared" ref="C139:N139" si="282">IF(C$2="","",C$1-_xlfn.FLOOR.MATH(C$1*(180-MIN(180,$A139))/180))</f>
        <v>91</v>
      </c>
      <c r="D139" s="1" t="str">
        <f t="shared" si="282"/>
        <v/>
      </c>
      <c r="E139" s="1" t="str">
        <f t="shared" si="282"/>
        <v/>
      </c>
      <c r="F139" s="1" t="str">
        <f t="shared" si="282"/>
        <v/>
      </c>
      <c r="G139" s="1">
        <f t="shared" si="282"/>
        <v>227</v>
      </c>
      <c r="H139" s="1" t="str">
        <f t="shared" si="282"/>
        <v/>
      </c>
      <c r="I139" s="1" t="str">
        <f t="shared" si="282"/>
        <v/>
      </c>
      <c r="J139" s="1">
        <f t="shared" si="282"/>
        <v>1</v>
      </c>
      <c r="K139" s="1">
        <f t="shared" si="282"/>
        <v>5</v>
      </c>
      <c r="L139" s="1">
        <f t="shared" si="282"/>
        <v>7</v>
      </c>
      <c r="M139" s="1">
        <f t="shared" si="282"/>
        <v>10</v>
      </c>
      <c r="N139" s="1">
        <f t="shared" si="282"/>
        <v>7</v>
      </c>
      <c r="O139" s="1" t="str">
        <f t="shared" si="6"/>
        <v/>
      </c>
      <c r="P139" s="1">
        <f t="shared" ref="P139:AB139" si="283">if(C$2="","",C139*P$1)</f>
        <v>3549</v>
      </c>
      <c r="Q139" s="1" t="str">
        <f t="shared" si="283"/>
        <v/>
      </c>
      <c r="R139" s="1" t="str">
        <f t="shared" si="283"/>
        <v/>
      </c>
      <c r="S139" s="1" t="str">
        <f t="shared" si="283"/>
        <v/>
      </c>
      <c r="T139" s="1">
        <f t="shared" si="283"/>
        <v>38590</v>
      </c>
      <c r="U139" s="1" t="str">
        <f t="shared" si="283"/>
        <v/>
      </c>
      <c r="V139" s="1" t="str">
        <f t="shared" si="283"/>
        <v/>
      </c>
      <c r="W139" s="1">
        <f t="shared" si="283"/>
        <v>14760.70996</v>
      </c>
      <c r="X139" s="1">
        <f t="shared" si="283"/>
        <v>22000</v>
      </c>
      <c r="Y139" s="1">
        <f t="shared" si="283"/>
        <v>70700</v>
      </c>
      <c r="Z139" s="1">
        <f t="shared" si="283"/>
        <v>105000</v>
      </c>
      <c r="AA139" s="1">
        <f t="shared" si="283"/>
        <v>701031.8438</v>
      </c>
      <c r="AB139" s="1" t="str">
        <f t="shared" si="283"/>
        <v/>
      </c>
      <c r="AC139" s="1" t="str">
        <f>if(Calculator!$C$8,SUM(P139:AB139),"")</f>
        <v/>
      </c>
      <c r="AE139" s="1">
        <f t="shared" si="8"/>
        <v>3041.406493</v>
      </c>
      <c r="AF139" s="1">
        <f t="shared" si="9"/>
        <v>899444.1145</v>
      </c>
      <c r="AG139" s="1">
        <f t="shared" si="10"/>
        <v>6565.285508</v>
      </c>
      <c r="AH139" s="1">
        <f t="shared" si="11"/>
        <v>6975.412801</v>
      </c>
      <c r="AI139" s="1">
        <f t="shared" si="15"/>
        <v>-410.1272932</v>
      </c>
      <c r="AJ139" s="1" t="str">
        <f t="shared" si="12"/>
        <v/>
      </c>
    </row>
    <row r="140">
      <c r="A140" s="5">
        <v>137.0</v>
      </c>
      <c r="B140" s="8">
        <f t="shared" si="4"/>
        <v>0.3769535264</v>
      </c>
      <c r="C140" s="4">
        <f t="shared" ref="C140:N140" si="284">IF(C$2="","",C$1-_xlfn.FLOOR.MATH(C$1*(180-MIN(180,$A140))/180))</f>
        <v>92</v>
      </c>
      <c r="D140" s="1" t="str">
        <f t="shared" si="284"/>
        <v/>
      </c>
      <c r="E140" s="1" t="str">
        <f t="shared" si="284"/>
        <v/>
      </c>
      <c r="F140" s="1" t="str">
        <f t="shared" si="284"/>
        <v/>
      </c>
      <c r="G140" s="1">
        <f t="shared" si="284"/>
        <v>229</v>
      </c>
      <c r="H140" s="1" t="str">
        <f t="shared" si="284"/>
        <v/>
      </c>
      <c r="I140" s="1" t="str">
        <f t="shared" si="284"/>
        <v/>
      </c>
      <c r="J140" s="1">
        <f t="shared" si="284"/>
        <v>1</v>
      </c>
      <c r="K140" s="1">
        <f t="shared" si="284"/>
        <v>5</v>
      </c>
      <c r="L140" s="1">
        <f t="shared" si="284"/>
        <v>7</v>
      </c>
      <c r="M140" s="1">
        <f t="shared" si="284"/>
        <v>10</v>
      </c>
      <c r="N140" s="1">
        <f t="shared" si="284"/>
        <v>7</v>
      </c>
      <c r="O140" s="1" t="str">
        <f t="shared" si="6"/>
        <v/>
      </c>
      <c r="P140" s="1">
        <f t="shared" ref="P140:AB140" si="285">if(C$2="","",C140*P$1)</f>
        <v>3588</v>
      </c>
      <c r="Q140" s="1" t="str">
        <f t="shared" si="285"/>
        <v/>
      </c>
      <c r="R140" s="1" t="str">
        <f t="shared" si="285"/>
        <v/>
      </c>
      <c r="S140" s="1" t="str">
        <f t="shared" si="285"/>
        <v/>
      </c>
      <c r="T140" s="1">
        <f t="shared" si="285"/>
        <v>38930</v>
      </c>
      <c r="U140" s="1" t="str">
        <f t="shared" si="285"/>
        <v/>
      </c>
      <c r="V140" s="1" t="str">
        <f t="shared" si="285"/>
        <v/>
      </c>
      <c r="W140" s="1">
        <f t="shared" si="285"/>
        <v>14760.70996</v>
      </c>
      <c r="X140" s="1">
        <f t="shared" si="285"/>
        <v>22000</v>
      </c>
      <c r="Y140" s="1">
        <f t="shared" si="285"/>
        <v>70700</v>
      </c>
      <c r="Z140" s="1">
        <f t="shared" si="285"/>
        <v>105000</v>
      </c>
      <c r="AA140" s="1">
        <f t="shared" si="285"/>
        <v>701031.8438</v>
      </c>
      <c r="AB140" s="1" t="str">
        <f t="shared" si="285"/>
        <v/>
      </c>
      <c r="AC140" s="1" t="str">
        <f>if(Calculator!$C$8,SUM(P140:AB140),"")</f>
        <v/>
      </c>
      <c r="AE140" s="1">
        <f t="shared" si="8"/>
        <v>3015.628211</v>
      </c>
      <c r="AF140" s="1">
        <f t="shared" si="9"/>
        <v>902459.7427</v>
      </c>
      <c r="AG140" s="1">
        <f t="shared" si="10"/>
        <v>6539.563353</v>
      </c>
      <c r="AH140" s="1">
        <f t="shared" si="11"/>
        <v>6927.612708</v>
      </c>
      <c r="AI140" s="1">
        <f t="shared" si="15"/>
        <v>-388.0493548</v>
      </c>
      <c r="AJ140" s="1" t="str">
        <f t="shared" si="12"/>
        <v/>
      </c>
    </row>
    <row r="141">
      <c r="A141" s="5">
        <v>138.0</v>
      </c>
      <c r="B141" s="8">
        <f t="shared" si="4"/>
        <v>0.3739235116</v>
      </c>
      <c r="C141" s="4">
        <f t="shared" ref="C141:N141" si="286">IF(C$2="","",C$1-_xlfn.FLOOR.MATH(C$1*(180-MIN(180,$A141))/180))</f>
        <v>92</v>
      </c>
      <c r="D141" s="1" t="str">
        <f t="shared" si="286"/>
        <v/>
      </c>
      <c r="E141" s="1" t="str">
        <f t="shared" si="286"/>
        <v/>
      </c>
      <c r="F141" s="1" t="str">
        <f t="shared" si="286"/>
        <v/>
      </c>
      <c r="G141" s="1">
        <f t="shared" si="286"/>
        <v>230</v>
      </c>
      <c r="H141" s="1" t="str">
        <f t="shared" si="286"/>
        <v/>
      </c>
      <c r="I141" s="1" t="str">
        <f t="shared" si="286"/>
        <v/>
      </c>
      <c r="J141" s="1">
        <f t="shared" si="286"/>
        <v>1</v>
      </c>
      <c r="K141" s="1">
        <f t="shared" si="286"/>
        <v>5</v>
      </c>
      <c r="L141" s="1">
        <f t="shared" si="286"/>
        <v>7</v>
      </c>
      <c r="M141" s="1">
        <f t="shared" si="286"/>
        <v>10</v>
      </c>
      <c r="N141" s="1">
        <f t="shared" si="286"/>
        <v>7</v>
      </c>
      <c r="O141" s="1" t="str">
        <f t="shared" si="6"/>
        <v/>
      </c>
      <c r="P141" s="1">
        <f t="shared" ref="P141:AB141" si="287">if(C$2="","",C141*P$1)</f>
        <v>3588</v>
      </c>
      <c r="Q141" s="1" t="str">
        <f t="shared" si="287"/>
        <v/>
      </c>
      <c r="R141" s="1" t="str">
        <f t="shared" si="287"/>
        <v/>
      </c>
      <c r="S141" s="1" t="str">
        <f t="shared" si="287"/>
        <v/>
      </c>
      <c r="T141" s="1">
        <f t="shared" si="287"/>
        <v>39100</v>
      </c>
      <c r="U141" s="1" t="str">
        <f t="shared" si="287"/>
        <v/>
      </c>
      <c r="V141" s="1" t="str">
        <f t="shared" si="287"/>
        <v/>
      </c>
      <c r="W141" s="1">
        <f t="shared" si="287"/>
        <v>14760.70996</v>
      </c>
      <c r="X141" s="1">
        <f t="shared" si="287"/>
        <v>22000</v>
      </c>
      <c r="Y141" s="1">
        <f t="shared" si="287"/>
        <v>70700</v>
      </c>
      <c r="Z141" s="1">
        <f t="shared" si="287"/>
        <v>105000</v>
      </c>
      <c r="AA141" s="1">
        <f t="shared" si="287"/>
        <v>701031.8438</v>
      </c>
      <c r="AB141" s="1" t="str">
        <f t="shared" si="287"/>
        <v/>
      </c>
      <c r="AC141" s="1" t="str">
        <f>if(Calculator!$C$8,SUM(P141:AB141),"")</f>
        <v/>
      </c>
      <c r="AE141" s="1">
        <f t="shared" si="8"/>
        <v>2991.388093</v>
      </c>
      <c r="AF141" s="1">
        <f t="shared" si="9"/>
        <v>905451.1308</v>
      </c>
      <c r="AG141" s="1">
        <f t="shared" si="10"/>
        <v>6514.036913</v>
      </c>
      <c r="AH141" s="1">
        <f t="shared" si="11"/>
        <v>6878.996789</v>
      </c>
      <c r="AI141" s="1">
        <f t="shared" si="15"/>
        <v>-364.9598768</v>
      </c>
      <c r="AJ141" s="1" t="str">
        <f t="shared" si="12"/>
        <v/>
      </c>
    </row>
    <row r="142">
      <c r="A142" s="5">
        <v>139.0</v>
      </c>
      <c r="B142" s="8">
        <f t="shared" si="4"/>
        <v>0.3710761393</v>
      </c>
      <c r="C142" s="4">
        <f t="shared" ref="C142:N142" si="288">IF(C$2="","",C$1-_xlfn.FLOOR.MATH(C$1*(180-MIN(180,$A142))/180))</f>
        <v>93</v>
      </c>
      <c r="D142" s="1" t="str">
        <f t="shared" si="288"/>
        <v/>
      </c>
      <c r="E142" s="1" t="str">
        <f t="shared" si="288"/>
        <v/>
      </c>
      <c r="F142" s="1" t="str">
        <f t="shared" si="288"/>
        <v/>
      </c>
      <c r="G142" s="1">
        <f t="shared" si="288"/>
        <v>232</v>
      </c>
      <c r="H142" s="1" t="str">
        <f t="shared" si="288"/>
        <v/>
      </c>
      <c r="I142" s="1" t="str">
        <f t="shared" si="288"/>
        <v/>
      </c>
      <c r="J142" s="1">
        <f t="shared" si="288"/>
        <v>1</v>
      </c>
      <c r="K142" s="1">
        <f t="shared" si="288"/>
        <v>5</v>
      </c>
      <c r="L142" s="1">
        <f t="shared" si="288"/>
        <v>7</v>
      </c>
      <c r="M142" s="1">
        <f t="shared" si="288"/>
        <v>10</v>
      </c>
      <c r="N142" s="1">
        <f t="shared" si="288"/>
        <v>7</v>
      </c>
      <c r="O142" s="1" t="str">
        <f t="shared" si="6"/>
        <v/>
      </c>
      <c r="P142" s="1">
        <f t="shared" ref="P142:AB142" si="289">if(C$2="","",C142*P$1)</f>
        <v>3627</v>
      </c>
      <c r="Q142" s="1" t="str">
        <f t="shared" si="289"/>
        <v/>
      </c>
      <c r="R142" s="1" t="str">
        <f t="shared" si="289"/>
        <v/>
      </c>
      <c r="S142" s="1" t="str">
        <f t="shared" si="289"/>
        <v/>
      </c>
      <c r="T142" s="1">
        <f t="shared" si="289"/>
        <v>39440</v>
      </c>
      <c r="U142" s="1" t="str">
        <f t="shared" si="289"/>
        <v/>
      </c>
      <c r="V142" s="1" t="str">
        <f t="shared" si="289"/>
        <v/>
      </c>
      <c r="W142" s="1">
        <f t="shared" si="289"/>
        <v>14760.70996</v>
      </c>
      <c r="X142" s="1">
        <f t="shared" si="289"/>
        <v>22000</v>
      </c>
      <c r="Y142" s="1">
        <f t="shared" si="289"/>
        <v>70700</v>
      </c>
      <c r="Z142" s="1">
        <f t="shared" si="289"/>
        <v>105000</v>
      </c>
      <c r="AA142" s="1">
        <f t="shared" si="289"/>
        <v>701031.8438</v>
      </c>
      <c r="AB142" s="1" t="str">
        <f t="shared" si="289"/>
        <v/>
      </c>
      <c r="AC142" s="1" t="str">
        <f>if(Calculator!$C$8,SUM(P142:AB142),"")</f>
        <v/>
      </c>
      <c r="AE142" s="1">
        <f t="shared" si="8"/>
        <v>2968.609115</v>
      </c>
      <c r="AF142" s="1">
        <f t="shared" si="9"/>
        <v>908419.74</v>
      </c>
      <c r="AG142" s="1">
        <f t="shared" si="10"/>
        <v>6488.712428</v>
      </c>
      <c r="AH142" s="1">
        <f t="shared" si="11"/>
        <v>6832.568241</v>
      </c>
      <c r="AI142" s="1">
        <f t="shared" si="15"/>
        <v>-343.8558125</v>
      </c>
      <c r="AJ142" s="1" t="str">
        <f t="shared" si="12"/>
        <v/>
      </c>
    </row>
    <row r="143">
      <c r="A143" s="5">
        <v>140.0</v>
      </c>
      <c r="B143" s="8">
        <f t="shared" si="4"/>
        <v>0.368402028</v>
      </c>
      <c r="C143" s="4">
        <f t="shared" ref="C143:N143" si="290">IF(C$2="","",C$1-_xlfn.FLOOR.MATH(C$1*(180-MIN(180,$A143))/180))</f>
        <v>94</v>
      </c>
      <c r="D143" s="1" t="str">
        <f t="shared" si="290"/>
        <v/>
      </c>
      <c r="E143" s="1" t="str">
        <f t="shared" si="290"/>
        <v/>
      </c>
      <c r="F143" s="1" t="str">
        <f t="shared" si="290"/>
        <v/>
      </c>
      <c r="G143" s="1">
        <f t="shared" si="290"/>
        <v>234</v>
      </c>
      <c r="H143" s="1" t="str">
        <f t="shared" si="290"/>
        <v/>
      </c>
      <c r="I143" s="1" t="str">
        <f t="shared" si="290"/>
        <v/>
      </c>
      <c r="J143" s="1">
        <f t="shared" si="290"/>
        <v>1</v>
      </c>
      <c r="K143" s="1">
        <f t="shared" si="290"/>
        <v>5</v>
      </c>
      <c r="L143" s="1">
        <f t="shared" si="290"/>
        <v>7</v>
      </c>
      <c r="M143" s="1">
        <f t="shared" si="290"/>
        <v>10</v>
      </c>
      <c r="N143" s="1">
        <f t="shared" si="290"/>
        <v>7</v>
      </c>
      <c r="O143" s="1" t="str">
        <f t="shared" si="6"/>
        <v/>
      </c>
      <c r="P143" s="1">
        <f t="shared" ref="P143:AB143" si="291">if(C$2="","",C143*P$1)</f>
        <v>3666</v>
      </c>
      <c r="Q143" s="1" t="str">
        <f t="shared" si="291"/>
        <v/>
      </c>
      <c r="R143" s="1" t="str">
        <f t="shared" si="291"/>
        <v/>
      </c>
      <c r="S143" s="1" t="str">
        <f t="shared" si="291"/>
        <v/>
      </c>
      <c r="T143" s="1">
        <f t="shared" si="291"/>
        <v>39780</v>
      </c>
      <c r="U143" s="1" t="str">
        <f t="shared" si="291"/>
        <v/>
      </c>
      <c r="V143" s="1" t="str">
        <f t="shared" si="291"/>
        <v/>
      </c>
      <c r="W143" s="1">
        <f t="shared" si="291"/>
        <v>14760.70996</v>
      </c>
      <c r="X143" s="1">
        <f t="shared" si="291"/>
        <v>22000</v>
      </c>
      <c r="Y143" s="1">
        <f t="shared" si="291"/>
        <v>70700</v>
      </c>
      <c r="Z143" s="1">
        <f t="shared" si="291"/>
        <v>105000</v>
      </c>
      <c r="AA143" s="1">
        <f t="shared" si="291"/>
        <v>701031.8438</v>
      </c>
      <c r="AB143" s="1" t="str">
        <f t="shared" si="291"/>
        <v/>
      </c>
      <c r="AC143" s="1" t="str">
        <f>if(Calculator!$C$8,SUM(P143:AB143),"")</f>
        <v/>
      </c>
      <c r="AE143" s="1">
        <f t="shared" si="8"/>
        <v>2947.216224</v>
      </c>
      <c r="AF143" s="1">
        <f t="shared" si="9"/>
        <v>911366.9562</v>
      </c>
      <c r="AG143" s="1">
        <f t="shared" si="10"/>
        <v>6463.595434</v>
      </c>
      <c r="AH143" s="1">
        <f t="shared" si="11"/>
        <v>6786.798253</v>
      </c>
      <c r="AI143" s="1">
        <f t="shared" si="15"/>
        <v>-323.2028194</v>
      </c>
      <c r="AJ143" s="1" t="str">
        <f t="shared" si="12"/>
        <v/>
      </c>
    </row>
    <row r="144">
      <c r="A144" s="5">
        <v>141.0</v>
      </c>
      <c r="B144" s="8">
        <f t="shared" si="4"/>
        <v>0.3658920699</v>
      </c>
      <c r="C144" s="4">
        <f t="shared" ref="C144:N144" si="292">IF(C$2="","",C$1-_xlfn.FLOOR.MATH(C$1*(180-MIN(180,$A144))/180))</f>
        <v>94</v>
      </c>
      <c r="D144" s="1" t="str">
        <f t="shared" si="292"/>
        <v/>
      </c>
      <c r="E144" s="1" t="str">
        <f t="shared" si="292"/>
        <v/>
      </c>
      <c r="F144" s="1" t="str">
        <f t="shared" si="292"/>
        <v/>
      </c>
      <c r="G144" s="1">
        <f t="shared" si="292"/>
        <v>235</v>
      </c>
      <c r="H144" s="1" t="str">
        <f t="shared" si="292"/>
        <v/>
      </c>
      <c r="I144" s="1" t="str">
        <f t="shared" si="292"/>
        <v/>
      </c>
      <c r="J144" s="1">
        <f t="shared" si="292"/>
        <v>1</v>
      </c>
      <c r="K144" s="1">
        <f t="shared" si="292"/>
        <v>5</v>
      </c>
      <c r="L144" s="1">
        <f t="shared" si="292"/>
        <v>7</v>
      </c>
      <c r="M144" s="1">
        <f t="shared" si="292"/>
        <v>10</v>
      </c>
      <c r="N144" s="1">
        <f t="shared" si="292"/>
        <v>7</v>
      </c>
      <c r="O144" s="1" t="str">
        <f t="shared" si="6"/>
        <v/>
      </c>
      <c r="P144" s="1">
        <f t="shared" ref="P144:AB144" si="293">if(C$2="","",C144*P$1)</f>
        <v>3666</v>
      </c>
      <c r="Q144" s="1" t="str">
        <f t="shared" si="293"/>
        <v/>
      </c>
      <c r="R144" s="1" t="str">
        <f t="shared" si="293"/>
        <v/>
      </c>
      <c r="S144" s="1" t="str">
        <f t="shared" si="293"/>
        <v/>
      </c>
      <c r="T144" s="1">
        <f t="shared" si="293"/>
        <v>39950</v>
      </c>
      <c r="U144" s="1" t="str">
        <f t="shared" si="293"/>
        <v/>
      </c>
      <c r="V144" s="1" t="str">
        <f t="shared" si="293"/>
        <v/>
      </c>
      <c r="W144" s="1">
        <f t="shared" si="293"/>
        <v>14760.70996</v>
      </c>
      <c r="X144" s="1">
        <f t="shared" si="293"/>
        <v>22000</v>
      </c>
      <c r="Y144" s="1">
        <f t="shared" si="293"/>
        <v>70700</v>
      </c>
      <c r="Z144" s="1">
        <f t="shared" si="293"/>
        <v>105000</v>
      </c>
      <c r="AA144" s="1">
        <f t="shared" si="293"/>
        <v>701031.8438</v>
      </c>
      <c r="AB144" s="1" t="str">
        <f t="shared" si="293"/>
        <v/>
      </c>
      <c r="AC144" s="1" t="str">
        <f>if(Calculator!$C$8,SUM(P144:AB144),"")</f>
        <v/>
      </c>
      <c r="AE144" s="1">
        <f t="shared" si="8"/>
        <v>2927.136559</v>
      </c>
      <c r="AF144" s="1">
        <f t="shared" si="9"/>
        <v>914294.0927</v>
      </c>
      <c r="AG144" s="1">
        <f t="shared" si="10"/>
        <v>6438.690794</v>
      </c>
      <c r="AH144" s="1">
        <f t="shared" si="11"/>
        <v>6740.201082</v>
      </c>
      <c r="AI144" s="1">
        <f t="shared" si="15"/>
        <v>-301.5102885</v>
      </c>
      <c r="AJ144" s="1" t="str">
        <f t="shared" si="12"/>
        <v/>
      </c>
    </row>
    <row r="145">
      <c r="A145" s="5">
        <v>142.0</v>
      </c>
      <c r="B145" s="8">
        <f t="shared" si="4"/>
        <v>0.3635374517</v>
      </c>
      <c r="C145" s="4">
        <f t="shared" ref="C145:N145" si="294">IF(C$2="","",C$1-_xlfn.FLOOR.MATH(C$1*(180-MIN(180,$A145))/180))</f>
        <v>95</v>
      </c>
      <c r="D145" s="1" t="str">
        <f t="shared" si="294"/>
        <v/>
      </c>
      <c r="E145" s="1" t="str">
        <f t="shared" si="294"/>
        <v/>
      </c>
      <c r="F145" s="1" t="str">
        <f t="shared" si="294"/>
        <v/>
      </c>
      <c r="G145" s="1">
        <f t="shared" si="294"/>
        <v>237</v>
      </c>
      <c r="H145" s="1" t="str">
        <f t="shared" si="294"/>
        <v/>
      </c>
      <c r="I145" s="1" t="str">
        <f t="shared" si="294"/>
        <v/>
      </c>
      <c r="J145" s="1">
        <f t="shared" si="294"/>
        <v>1</v>
      </c>
      <c r="K145" s="1">
        <f t="shared" si="294"/>
        <v>5</v>
      </c>
      <c r="L145" s="1">
        <f t="shared" si="294"/>
        <v>7</v>
      </c>
      <c r="M145" s="1">
        <f t="shared" si="294"/>
        <v>10</v>
      </c>
      <c r="N145" s="1">
        <f t="shared" si="294"/>
        <v>7</v>
      </c>
      <c r="O145" s="1" t="str">
        <f t="shared" si="6"/>
        <v/>
      </c>
      <c r="P145" s="1">
        <f t="shared" ref="P145:AB145" si="295">if(C$2="","",C145*P$1)</f>
        <v>3705</v>
      </c>
      <c r="Q145" s="1" t="str">
        <f t="shared" si="295"/>
        <v/>
      </c>
      <c r="R145" s="1" t="str">
        <f t="shared" si="295"/>
        <v/>
      </c>
      <c r="S145" s="1" t="str">
        <f t="shared" si="295"/>
        <v/>
      </c>
      <c r="T145" s="1">
        <f t="shared" si="295"/>
        <v>40290</v>
      </c>
      <c r="U145" s="1" t="str">
        <f t="shared" si="295"/>
        <v/>
      </c>
      <c r="V145" s="1" t="str">
        <f t="shared" si="295"/>
        <v/>
      </c>
      <c r="W145" s="1">
        <f t="shared" si="295"/>
        <v>14760.70996</v>
      </c>
      <c r="X145" s="1">
        <f t="shared" si="295"/>
        <v>22000</v>
      </c>
      <c r="Y145" s="1">
        <f t="shared" si="295"/>
        <v>70700</v>
      </c>
      <c r="Z145" s="1">
        <f t="shared" si="295"/>
        <v>105000</v>
      </c>
      <c r="AA145" s="1">
        <f t="shared" si="295"/>
        <v>701031.8438</v>
      </c>
      <c r="AB145" s="1" t="str">
        <f t="shared" si="295"/>
        <v/>
      </c>
      <c r="AC145" s="1" t="str">
        <f>if(Calculator!$C$8,SUM(P145:AB145),"")</f>
        <v/>
      </c>
      <c r="AE145" s="1">
        <f t="shared" si="8"/>
        <v>2908.299614</v>
      </c>
      <c r="AF145" s="1">
        <f t="shared" si="9"/>
        <v>917202.3924</v>
      </c>
      <c r="AG145" s="1">
        <f t="shared" si="10"/>
        <v>6414.002744</v>
      </c>
      <c r="AH145" s="1">
        <f t="shared" si="11"/>
        <v>6695.717159</v>
      </c>
      <c r="AI145" s="1">
        <f t="shared" si="15"/>
        <v>-281.7144151</v>
      </c>
      <c r="AJ145" s="1" t="str">
        <f t="shared" si="12"/>
        <v/>
      </c>
    </row>
    <row r="146">
      <c r="A146" s="5">
        <v>143.0</v>
      </c>
      <c r="B146" s="8">
        <f t="shared" si="4"/>
        <v>0.361329671</v>
      </c>
      <c r="C146" s="4">
        <f t="shared" ref="C146:N146" si="296">IF(C$2="","",C$1-_xlfn.FLOOR.MATH(C$1*(180-MIN(180,$A146))/180))</f>
        <v>96</v>
      </c>
      <c r="D146" s="1" t="str">
        <f t="shared" si="296"/>
        <v/>
      </c>
      <c r="E146" s="1" t="str">
        <f t="shared" si="296"/>
        <v/>
      </c>
      <c r="F146" s="1" t="str">
        <f t="shared" si="296"/>
        <v/>
      </c>
      <c r="G146" s="1">
        <f t="shared" si="296"/>
        <v>239</v>
      </c>
      <c r="H146" s="1" t="str">
        <f t="shared" si="296"/>
        <v/>
      </c>
      <c r="I146" s="1" t="str">
        <f t="shared" si="296"/>
        <v/>
      </c>
      <c r="J146" s="1">
        <f t="shared" si="296"/>
        <v>1</v>
      </c>
      <c r="K146" s="1">
        <f t="shared" si="296"/>
        <v>5</v>
      </c>
      <c r="L146" s="1">
        <f t="shared" si="296"/>
        <v>7</v>
      </c>
      <c r="M146" s="1">
        <f t="shared" si="296"/>
        <v>10</v>
      </c>
      <c r="N146" s="1">
        <f t="shared" si="296"/>
        <v>7</v>
      </c>
      <c r="O146" s="1" t="str">
        <f t="shared" si="6"/>
        <v/>
      </c>
      <c r="P146" s="1">
        <f t="shared" ref="P146:AB146" si="297">if(C$2="","",C146*P$1)</f>
        <v>3744</v>
      </c>
      <c r="Q146" s="1" t="str">
        <f t="shared" si="297"/>
        <v/>
      </c>
      <c r="R146" s="1" t="str">
        <f t="shared" si="297"/>
        <v/>
      </c>
      <c r="S146" s="1" t="str">
        <f t="shared" si="297"/>
        <v/>
      </c>
      <c r="T146" s="1">
        <f t="shared" si="297"/>
        <v>40630</v>
      </c>
      <c r="U146" s="1" t="str">
        <f t="shared" si="297"/>
        <v/>
      </c>
      <c r="V146" s="1" t="str">
        <f t="shared" si="297"/>
        <v/>
      </c>
      <c r="W146" s="1">
        <f t="shared" si="297"/>
        <v>14760.70996</v>
      </c>
      <c r="X146" s="1">
        <f t="shared" si="297"/>
        <v>22000</v>
      </c>
      <c r="Y146" s="1">
        <f t="shared" si="297"/>
        <v>70700</v>
      </c>
      <c r="Z146" s="1">
        <f t="shared" si="297"/>
        <v>105000</v>
      </c>
      <c r="AA146" s="1">
        <f t="shared" si="297"/>
        <v>701031.8438</v>
      </c>
      <c r="AB146" s="1" t="str">
        <f t="shared" si="297"/>
        <v/>
      </c>
      <c r="AC146" s="1" t="str">
        <f>if(Calculator!$C$8,SUM(P146:AB146),"")</f>
        <v/>
      </c>
      <c r="AE146" s="1">
        <f t="shared" si="8"/>
        <v>2890.637368</v>
      </c>
      <c r="AF146" s="1">
        <f t="shared" si="9"/>
        <v>920093.0297</v>
      </c>
      <c r="AG146" s="1">
        <f t="shared" si="10"/>
        <v>6389.534929</v>
      </c>
      <c r="AH146" s="1">
        <f t="shared" si="11"/>
        <v>6651.851067</v>
      </c>
      <c r="AI146" s="1">
        <f t="shared" si="15"/>
        <v>-262.3161388</v>
      </c>
      <c r="AJ146" s="1" t="str">
        <f t="shared" si="12"/>
        <v/>
      </c>
    </row>
    <row r="147">
      <c r="A147" s="5">
        <v>144.0</v>
      </c>
      <c r="B147" s="8">
        <f t="shared" si="4"/>
        <v>0.3592605474</v>
      </c>
      <c r="C147" s="4">
        <f t="shared" ref="C147:N147" si="298">IF(C$2="","",C$1-_xlfn.FLOOR.MATH(C$1*(180-MIN(180,$A147))/180))</f>
        <v>96</v>
      </c>
      <c r="D147" s="1" t="str">
        <f t="shared" si="298"/>
        <v/>
      </c>
      <c r="E147" s="1" t="str">
        <f t="shared" si="298"/>
        <v/>
      </c>
      <c r="F147" s="1" t="str">
        <f t="shared" si="298"/>
        <v/>
      </c>
      <c r="G147" s="1">
        <f t="shared" si="298"/>
        <v>240</v>
      </c>
      <c r="H147" s="1" t="str">
        <f t="shared" si="298"/>
        <v/>
      </c>
      <c r="I147" s="1" t="str">
        <f t="shared" si="298"/>
        <v/>
      </c>
      <c r="J147" s="1">
        <f t="shared" si="298"/>
        <v>1</v>
      </c>
      <c r="K147" s="1">
        <f t="shared" si="298"/>
        <v>5</v>
      </c>
      <c r="L147" s="1">
        <f t="shared" si="298"/>
        <v>7</v>
      </c>
      <c r="M147" s="1">
        <f t="shared" si="298"/>
        <v>10</v>
      </c>
      <c r="N147" s="1">
        <f t="shared" si="298"/>
        <v>7</v>
      </c>
      <c r="O147" s="1" t="str">
        <f t="shared" si="6"/>
        <v/>
      </c>
      <c r="P147" s="1">
        <f t="shared" ref="P147:AB147" si="299">if(C$2="","",C147*P$1)</f>
        <v>3744</v>
      </c>
      <c r="Q147" s="1" t="str">
        <f t="shared" si="299"/>
        <v/>
      </c>
      <c r="R147" s="1" t="str">
        <f t="shared" si="299"/>
        <v/>
      </c>
      <c r="S147" s="1" t="str">
        <f t="shared" si="299"/>
        <v/>
      </c>
      <c r="T147" s="1">
        <f t="shared" si="299"/>
        <v>40800</v>
      </c>
      <c r="U147" s="1" t="str">
        <f t="shared" si="299"/>
        <v/>
      </c>
      <c r="V147" s="1" t="str">
        <f t="shared" si="299"/>
        <v/>
      </c>
      <c r="W147" s="1">
        <f t="shared" si="299"/>
        <v>14760.70996</v>
      </c>
      <c r="X147" s="1">
        <f t="shared" si="299"/>
        <v>22000</v>
      </c>
      <c r="Y147" s="1">
        <f t="shared" si="299"/>
        <v>70700</v>
      </c>
      <c r="Z147" s="1">
        <f t="shared" si="299"/>
        <v>105000</v>
      </c>
      <c r="AA147" s="1">
        <f t="shared" si="299"/>
        <v>701031.8438</v>
      </c>
      <c r="AB147" s="1" t="str">
        <f t="shared" si="299"/>
        <v/>
      </c>
      <c r="AC147" s="1" t="str">
        <f>if(Calculator!$C$8,SUM(P147:AB147),"")</f>
        <v/>
      </c>
      <c r="AE147" s="1">
        <f t="shared" si="8"/>
        <v>2874.084379</v>
      </c>
      <c r="AF147" s="1">
        <f t="shared" si="9"/>
        <v>922967.1141</v>
      </c>
      <c r="AG147" s="1">
        <f t="shared" si="10"/>
        <v>6365.290442</v>
      </c>
      <c r="AH147" s="1">
        <f t="shared" si="11"/>
        <v>6607.148646</v>
      </c>
      <c r="AI147" s="1">
        <f t="shared" si="15"/>
        <v>-241.8582042</v>
      </c>
      <c r="AJ147" s="1" t="str">
        <f t="shared" si="12"/>
        <v/>
      </c>
    </row>
    <row r="148">
      <c r="A148" s="5">
        <v>145.0</v>
      </c>
      <c r="B148" s="8">
        <f t="shared" si="4"/>
        <v>0.3573222302</v>
      </c>
      <c r="C148" s="4">
        <f t="shared" ref="C148:N148" si="300">IF(C$2="","",C$1-_xlfn.FLOOR.MATH(C$1*(180-MIN(180,$A148))/180))</f>
        <v>97</v>
      </c>
      <c r="D148" s="1" t="str">
        <f t="shared" si="300"/>
        <v/>
      </c>
      <c r="E148" s="1" t="str">
        <f t="shared" si="300"/>
        <v/>
      </c>
      <c r="F148" s="1" t="str">
        <f t="shared" si="300"/>
        <v/>
      </c>
      <c r="G148" s="1">
        <f t="shared" si="300"/>
        <v>242</v>
      </c>
      <c r="H148" s="1" t="str">
        <f t="shared" si="300"/>
        <v/>
      </c>
      <c r="I148" s="1" t="str">
        <f t="shared" si="300"/>
        <v/>
      </c>
      <c r="J148" s="1">
        <f t="shared" si="300"/>
        <v>1</v>
      </c>
      <c r="K148" s="1">
        <f t="shared" si="300"/>
        <v>5</v>
      </c>
      <c r="L148" s="1">
        <f t="shared" si="300"/>
        <v>7</v>
      </c>
      <c r="M148" s="1">
        <f t="shared" si="300"/>
        <v>10</v>
      </c>
      <c r="N148" s="1">
        <f t="shared" si="300"/>
        <v>7</v>
      </c>
      <c r="O148" s="1" t="str">
        <f t="shared" si="6"/>
        <v/>
      </c>
      <c r="P148" s="1">
        <f t="shared" ref="P148:AB148" si="301">if(C$2="","",C148*P$1)</f>
        <v>3783</v>
      </c>
      <c r="Q148" s="1" t="str">
        <f t="shared" si="301"/>
        <v/>
      </c>
      <c r="R148" s="1" t="str">
        <f t="shared" si="301"/>
        <v/>
      </c>
      <c r="S148" s="1" t="str">
        <f t="shared" si="301"/>
        <v/>
      </c>
      <c r="T148" s="1">
        <f t="shared" si="301"/>
        <v>41140</v>
      </c>
      <c r="U148" s="1" t="str">
        <f t="shared" si="301"/>
        <v/>
      </c>
      <c r="V148" s="1" t="str">
        <f t="shared" si="301"/>
        <v/>
      </c>
      <c r="W148" s="1">
        <f t="shared" si="301"/>
        <v>14760.70996</v>
      </c>
      <c r="X148" s="1">
        <f t="shared" si="301"/>
        <v>22000</v>
      </c>
      <c r="Y148" s="1">
        <f t="shared" si="301"/>
        <v>70700</v>
      </c>
      <c r="Z148" s="1">
        <f t="shared" si="301"/>
        <v>105000</v>
      </c>
      <c r="AA148" s="1">
        <f t="shared" si="301"/>
        <v>701031.8438</v>
      </c>
      <c r="AB148" s="1" t="str">
        <f t="shared" si="301"/>
        <v/>
      </c>
      <c r="AC148" s="1" t="str">
        <f>if(Calculator!$C$8,SUM(P148:AB148),"")</f>
        <v/>
      </c>
      <c r="AE148" s="1">
        <f t="shared" si="8"/>
        <v>2858.577841</v>
      </c>
      <c r="AF148" s="1">
        <f t="shared" si="9"/>
        <v>925825.6919</v>
      </c>
      <c r="AG148" s="1">
        <f t="shared" si="10"/>
        <v>6341.271863</v>
      </c>
      <c r="AH148" s="1">
        <f t="shared" si="11"/>
        <v>6564.490094</v>
      </c>
      <c r="AI148" s="1">
        <f t="shared" si="15"/>
        <v>-223.2182313</v>
      </c>
      <c r="AJ148" s="1" t="str">
        <f t="shared" si="12"/>
        <v/>
      </c>
    </row>
    <row r="149">
      <c r="A149" s="5">
        <v>146.0</v>
      </c>
      <c r="B149" s="8">
        <f t="shared" si="4"/>
        <v>0.3555072021</v>
      </c>
      <c r="C149" s="4">
        <f t="shared" ref="C149:N149" si="302">IF(C$2="","",C$1-_xlfn.FLOOR.MATH(C$1*(180-MIN(180,$A149))/180))</f>
        <v>98</v>
      </c>
      <c r="D149" s="1" t="str">
        <f t="shared" si="302"/>
        <v/>
      </c>
      <c r="E149" s="1" t="str">
        <f t="shared" si="302"/>
        <v/>
      </c>
      <c r="F149" s="1" t="str">
        <f t="shared" si="302"/>
        <v/>
      </c>
      <c r="G149" s="1">
        <f t="shared" si="302"/>
        <v>244</v>
      </c>
      <c r="H149" s="1" t="str">
        <f t="shared" si="302"/>
        <v/>
      </c>
      <c r="I149" s="1" t="str">
        <f t="shared" si="302"/>
        <v/>
      </c>
      <c r="J149" s="1">
        <f t="shared" si="302"/>
        <v>1</v>
      </c>
      <c r="K149" s="1">
        <f t="shared" si="302"/>
        <v>5</v>
      </c>
      <c r="L149" s="1">
        <f t="shared" si="302"/>
        <v>7</v>
      </c>
      <c r="M149" s="1">
        <f t="shared" si="302"/>
        <v>10</v>
      </c>
      <c r="N149" s="1">
        <f t="shared" si="302"/>
        <v>7</v>
      </c>
      <c r="O149" s="1" t="str">
        <f t="shared" si="6"/>
        <v/>
      </c>
      <c r="P149" s="1">
        <f t="shared" ref="P149:AB149" si="303">if(C$2="","",C149*P$1)</f>
        <v>3822</v>
      </c>
      <c r="Q149" s="1" t="str">
        <f t="shared" si="303"/>
        <v/>
      </c>
      <c r="R149" s="1" t="str">
        <f t="shared" si="303"/>
        <v/>
      </c>
      <c r="S149" s="1" t="str">
        <f t="shared" si="303"/>
        <v/>
      </c>
      <c r="T149" s="1">
        <f t="shared" si="303"/>
        <v>41480</v>
      </c>
      <c r="U149" s="1" t="str">
        <f t="shared" si="303"/>
        <v/>
      </c>
      <c r="V149" s="1" t="str">
        <f t="shared" si="303"/>
        <v/>
      </c>
      <c r="W149" s="1">
        <f t="shared" si="303"/>
        <v>14760.70996</v>
      </c>
      <c r="X149" s="1">
        <f t="shared" si="303"/>
        <v>22000</v>
      </c>
      <c r="Y149" s="1">
        <f t="shared" si="303"/>
        <v>70700</v>
      </c>
      <c r="Z149" s="1">
        <f t="shared" si="303"/>
        <v>105000</v>
      </c>
      <c r="AA149" s="1">
        <f t="shared" si="303"/>
        <v>701031.8438</v>
      </c>
      <c r="AB149" s="1" t="str">
        <f t="shared" si="303"/>
        <v/>
      </c>
      <c r="AC149" s="1" t="str">
        <f>if(Calculator!$C$8,SUM(P149:AB149),"")</f>
        <v/>
      </c>
      <c r="AE149" s="1">
        <f t="shared" si="8"/>
        <v>2844.057617</v>
      </c>
      <c r="AF149" s="1">
        <f t="shared" si="9"/>
        <v>928669.7496</v>
      </c>
      <c r="AG149" s="1">
        <f t="shared" si="10"/>
        <v>6317.48129</v>
      </c>
      <c r="AH149" s="1">
        <f t="shared" si="11"/>
        <v>6522.41193</v>
      </c>
      <c r="AI149" s="1">
        <f t="shared" si="15"/>
        <v>-204.9306405</v>
      </c>
      <c r="AJ149" s="1" t="str">
        <f t="shared" si="12"/>
        <v/>
      </c>
    </row>
    <row r="150">
      <c r="A150" s="5">
        <v>147.0</v>
      </c>
      <c r="B150" s="8">
        <f t="shared" si="4"/>
        <v>0.3538082805</v>
      </c>
      <c r="C150" s="4">
        <f t="shared" ref="C150:N150" si="304">IF(C$2="","",C$1-_xlfn.FLOOR.MATH(C$1*(180-MIN(180,$A150))/180))</f>
        <v>98</v>
      </c>
      <c r="D150" s="1" t="str">
        <f t="shared" si="304"/>
        <v/>
      </c>
      <c r="E150" s="1" t="str">
        <f t="shared" si="304"/>
        <v/>
      </c>
      <c r="F150" s="1" t="str">
        <f t="shared" si="304"/>
        <v/>
      </c>
      <c r="G150" s="1">
        <f t="shared" si="304"/>
        <v>245</v>
      </c>
      <c r="H150" s="1" t="str">
        <f t="shared" si="304"/>
        <v/>
      </c>
      <c r="I150" s="1" t="str">
        <f t="shared" si="304"/>
        <v/>
      </c>
      <c r="J150" s="1">
        <f t="shared" si="304"/>
        <v>1</v>
      </c>
      <c r="K150" s="1">
        <f t="shared" si="304"/>
        <v>5</v>
      </c>
      <c r="L150" s="1">
        <f t="shared" si="304"/>
        <v>7</v>
      </c>
      <c r="M150" s="1">
        <f t="shared" si="304"/>
        <v>10</v>
      </c>
      <c r="N150" s="1">
        <f t="shared" si="304"/>
        <v>7</v>
      </c>
      <c r="O150" s="1" t="str">
        <f t="shared" si="6"/>
        <v/>
      </c>
      <c r="P150" s="1">
        <f t="shared" ref="P150:AB150" si="305">if(C$2="","",C150*P$1)</f>
        <v>3822</v>
      </c>
      <c r="Q150" s="1" t="str">
        <f t="shared" si="305"/>
        <v/>
      </c>
      <c r="R150" s="1" t="str">
        <f t="shared" si="305"/>
        <v/>
      </c>
      <c r="S150" s="1" t="str">
        <f t="shared" si="305"/>
        <v/>
      </c>
      <c r="T150" s="1">
        <f t="shared" si="305"/>
        <v>41650</v>
      </c>
      <c r="U150" s="1" t="str">
        <f t="shared" si="305"/>
        <v/>
      </c>
      <c r="V150" s="1" t="str">
        <f t="shared" si="305"/>
        <v/>
      </c>
      <c r="W150" s="1">
        <f t="shared" si="305"/>
        <v>14760.70996</v>
      </c>
      <c r="X150" s="1">
        <f t="shared" si="305"/>
        <v>22000</v>
      </c>
      <c r="Y150" s="1">
        <f t="shared" si="305"/>
        <v>70700</v>
      </c>
      <c r="Z150" s="1">
        <f t="shared" si="305"/>
        <v>105000</v>
      </c>
      <c r="AA150" s="1">
        <f t="shared" si="305"/>
        <v>701031.8438</v>
      </c>
      <c r="AB150" s="1" t="str">
        <f t="shared" si="305"/>
        <v/>
      </c>
      <c r="AC150" s="1" t="str">
        <f>if(Calculator!$C$8,SUM(P150:AB150),"")</f>
        <v/>
      </c>
      <c r="AE150" s="1">
        <f t="shared" si="8"/>
        <v>2830.466244</v>
      </c>
      <c r="AF150" s="1">
        <f t="shared" si="9"/>
        <v>931500.2158</v>
      </c>
      <c r="AG150" s="1">
        <f t="shared" si="10"/>
        <v>6293.920377</v>
      </c>
      <c r="AH150" s="1">
        <f t="shared" si="11"/>
        <v>6479.490228</v>
      </c>
      <c r="AI150" s="1">
        <f t="shared" si="15"/>
        <v>-185.5698507</v>
      </c>
      <c r="AJ150" s="1" t="str">
        <f t="shared" si="12"/>
        <v/>
      </c>
    </row>
    <row r="151">
      <c r="A151" s="5">
        <v>148.0</v>
      </c>
      <c r="B151" s="8">
        <f t="shared" si="4"/>
        <v>0.3522186154</v>
      </c>
      <c r="C151" s="4">
        <f t="shared" ref="C151:N151" si="306">IF(C$2="","",C$1-_xlfn.FLOOR.MATH(C$1*(180-MIN(180,$A151))/180))</f>
        <v>99</v>
      </c>
      <c r="D151" s="1" t="str">
        <f t="shared" si="306"/>
        <v/>
      </c>
      <c r="E151" s="1" t="str">
        <f t="shared" si="306"/>
        <v/>
      </c>
      <c r="F151" s="1" t="str">
        <f t="shared" si="306"/>
        <v/>
      </c>
      <c r="G151" s="1">
        <f t="shared" si="306"/>
        <v>247</v>
      </c>
      <c r="H151" s="1" t="str">
        <f t="shared" si="306"/>
        <v/>
      </c>
      <c r="I151" s="1" t="str">
        <f t="shared" si="306"/>
        <v/>
      </c>
      <c r="J151" s="1">
        <f t="shared" si="306"/>
        <v>1</v>
      </c>
      <c r="K151" s="1">
        <f t="shared" si="306"/>
        <v>5</v>
      </c>
      <c r="L151" s="1">
        <f t="shared" si="306"/>
        <v>7</v>
      </c>
      <c r="M151" s="1">
        <f t="shared" si="306"/>
        <v>10</v>
      </c>
      <c r="N151" s="1">
        <f t="shared" si="306"/>
        <v>7</v>
      </c>
      <c r="O151" s="1" t="str">
        <f t="shared" si="6"/>
        <v/>
      </c>
      <c r="P151" s="1">
        <f t="shared" ref="P151:AB151" si="307">if(C$2="","",C151*P$1)</f>
        <v>3861</v>
      </c>
      <c r="Q151" s="1" t="str">
        <f t="shared" si="307"/>
        <v/>
      </c>
      <c r="R151" s="1" t="str">
        <f t="shared" si="307"/>
        <v/>
      </c>
      <c r="S151" s="1" t="str">
        <f t="shared" si="307"/>
        <v/>
      </c>
      <c r="T151" s="1">
        <f t="shared" si="307"/>
        <v>41990</v>
      </c>
      <c r="U151" s="1" t="str">
        <f t="shared" si="307"/>
        <v/>
      </c>
      <c r="V151" s="1" t="str">
        <f t="shared" si="307"/>
        <v/>
      </c>
      <c r="W151" s="1">
        <f t="shared" si="307"/>
        <v>14760.70996</v>
      </c>
      <c r="X151" s="1">
        <f t="shared" si="307"/>
        <v>22000</v>
      </c>
      <c r="Y151" s="1">
        <f t="shared" si="307"/>
        <v>70700</v>
      </c>
      <c r="Z151" s="1">
        <f t="shared" si="307"/>
        <v>105000</v>
      </c>
      <c r="AA151" s="1">
        <f t="shared" si="307"/>
        <v>701031.8438</v>
      </c>
      <c r="AB151" s="1" t="str">
        <f t="shared" si="307"/>
        <v/>
      </c>
      <c r="AC151" s="1" t="str">
        <f>if(Calculator!$C$8,SUM(P151:AB151),"")</f>
        <v/>
      </c>
      <c r="AE151" s="1">
        <f t="shared" si="8"/>
        <v>2817.748923</v>
      </c>
      <c r="AF151" s="1">
        <f t="shared" si="9"/>
        <v>934317.9647</v>
      </c>
      <c r="AG151" s="1">
        <f t="shared" si="10"/>
        <v>6270.590367</v>
      </c>
      <c r="AH151" s="1">
        <f t="shared" si="11"/>
        <v>6438.54734</v>
      </c>
      <c r="AI151" s="1">
        <f t="shared" si="15"/>
        <v>-167.9569731</v>
      </c>
      <c r="AJ151" s="1" t="str">
        <f t="shared" si="12"/>
        <v/>
      </c>
    </row>
    <row r="152">
      <c r="A152" s="5">
        <v>149.0</v>
      </c>
      <c r="B152" s="8">
        <f t="shared" si="4"/>
        <v>0.3507316861</v>
      </c>
      <c r="C152" s="4">
        <f t="shared" ref="C152:N152" si="308">IF(C$2="","",C$1-_xlfn.FLOOR.MATH(C$1*(180-MIN(180,$A152))/180))</f>
        <v>100</v>
      </c>
      <c r="D152" s="1" t="str">
        <f t="shared" si="308"/>
        <v/>
      </c>
      <c r="E152" s="1" t="str">
        <f t="shared" si="308"/>
        <v/>
      </c>
      <c r="F152" s="1" t="str">
        <f t="shared" si="308"/>
        <v/>
      </c>
      <c r="G152" s="1">
        <f t="shared" si="308"/>
        <v>249</v>
      </c>
      <c r="H152" s="1" t="str">
        <f t="shared" si="308"/>
        <v/>
      </c>
      <c r="I152" s="1" t="str">
        <f t="shared" si="308"/>
        <v/>
      </c>
      <c r="J152" s="1">
        <f t="shared" si="308"/>
        <v>1</v>
      </c>
      <c r="K152" s="1">
        <f t="shared" si="308"/>
        <v>5</v>
      </c>
      <c r="L152" s="1">
        <f t="shared" si="308"/>
        <v>7</v>
      </c>
      <c r="M152" s="1">
        <f t="shared" si="308"/>
        <v>10</v>
      </c>
      <c r="N152" s="1">
        <f t="shared" si="308"/>
        <v>7</v>
      </c>
      <c r="O152" s="1" t="str">
        <f t="shared" si="6"/>
        <v/>
      </c>
      <c r="P152" s="1">
        <f t="shared" ref="P152:AB152" si="309">if(C$2="","",C152*P$1)</f>
        <v>3900</v>
      </c>
      <c r="Q152" s="1" t="str">
        <f t="shared" si="309"/>
        <v/>
      </c>
      <c r="R152" s="1" t="str">
        <f t="shared" si="309"/>
        <v/>
      </c>
      <c r="S152" s="1" t="str">
        <f t="shared" si="309"/>
        <v/>
      </c>
      <c r="T152" s="1">
        <f t="shared" si="309"/>
        <v>42330</v>
      </c>
      <c r="U152" s="1" t="str">
        <f t="shared" si="309"/>
        <v/>
      </c>
      <c r="V152" s="1" t="str">
        <f t="shared" si="309"/>
        <v/>
      </c>
      <c r="W152" s="1">
        <f t="shared" si="309"/>
        <v>14760.70996</v>
      </c>
      <c r="X152" s="1">
        <f t="shared" si="309"/>
        <v>22000</v>
      </c>
      <c r="Y152" s="1">
        <f t="shared" si="309"/>
        <v>70700</v>
      </c>
      <c r="Z152" s="1">
        <f t="shared" si="309"/>
        <v>105000</v>
      </c>
      <c r="AA152" s="1">
        <f t="shared" si="309"/>
        <v>701031.8438</v>
      </c>
      <c r="AB152" s="1" t="str">
        <f t="shared" si="309"/>
        <v/>
      </c>
      <c r="AC152" s="1" t="str">
        <f>if(Calculator!$C$8,SUM(P152:AB152),"")</f>
        <v/>
      </c>
      <c r="AE152" s="1">
        <f t="shared" si="8"/>
        <v>2805.853489</v>
      </c>
      <c r="AF152" s="1">
        <f t="shared" si="9"/>
        <v>937123.8182</v>
      </c>
      <c r="AG152" s="1">
        <f t="shared" si="10"/>
        <v>6247.492121</v>
      </c>
      <c r="AH152" s="1">
        <f t="shared" si="11"/>
        <v>6398.150358</v>
      </c>
      <c r="AI152" s="1">
        <f t="shared" si="15"/>
        <v>-150.6582366</v>
      </c>
      <c r="AJ152" s="1" t="str">
        <f t="shared" si="12"/>
        <v/>
      </c>
    </row>
    <row r="153">
      <c r="A153" s="5">
        <v>150.0</v>
      </c>
      <c r="B153" s="8">
        <f t="shared" si="4"/>
        <v>0.3493412949</v>
      </c>
      <c r="C153" s="4">
        <f t="shared" ref="C153:N153" si="310">IF(C$2="","",C$1-_xlfn.FLOOR.MATH(C$1*(180-MIN(180,$A153))/180))</f>
        <v>100</v>
      </c>
      <c r="D153" s="1" t="str">
        <f t="shared" si="310"/>
        <v/>
      </c>
      <c r="E153" s="1" t="str">
        <f t="shared" si="310"/>
        <v/>
      </c>
      <c r="F153" s="1" t="str">
        <f t="shared" si="310"/>
        <v/>
      </c>
      <c r="G153" s="1">
        <f t="shared" si="310"/>
        <v>250</v>
      </c>
      <c r="H153" s="1" t="str">
        <f t="shared" si="310"/>
        <v/>
      </c>
      <c r="I153" s="1" t="str">
        <f t="shared" si="310"/>
        <v/>
      </c>
      <c r="J153" s="1">
        <f t="shared" si="310"/>
        <v>1</v>
      </c>
      <c r="K153" s="1">
        <f t="shared" si="310"/>
        <v>5</v>
      </c>
      <c r="L153" s="1">
        <f t="shared" si="310"/>
        <v>7</v>
      </c>
      <c r="M153" s="1">
        <f t="shared" si="310"/>
        <v>10</v>
      </c>
      <c r="N153" s="1">
        <f t="shared" si="310"/>
        <v>7</v>
      </c>
      <c r="O153" s="1" t="str">
        <f t="shared" si="6"/>
        <v/>
      </c>
      <c r="P153" s="1">
        <f t="shared" ref="P153:AB153" si="311">if(C$2="","",C153*P$1)</f>
        <v>3900</v>
      </c>
      <c r="Q153" s="1" t="str">
        <f t="shared" si="311"/>
        <v/>
      </c>
      <c r="R153" s="1" t="str">
        <f t="shared" si="311"/>
        <v/>
      </c>
      <c r="S153" s="1" t="str">
        <f t="shared" si="311"/>
        <v/>
      </c>
      <c r="T153" s="1">
        <f t="shared" si="311"/>
        <v>42500</v>
      </c>
      <c r="U153" s="1" t="str">
        <f t="shared" si="311"/>
        <v/>
      </c>
      <c r="V153" s="1" t="str">
        <f t="shared" si="311"/>
        <v/>
      </c>
      <c r="W153" s="1">
        <f t="shared" si="311"/>
        <v>14760.70996</v>
      </c>
      <c r="X153" s="1">
        <f t="shared" si="311"/>
        <v>22000</v>
      </c>
      <c r="Y153" s="1">
        <f t="shared" si="311"/>
        <v>70700</v>
      </c>
      <c r="Z153" s="1">
        <f t="shared" si="311"/>
        <v>105000</v>
      </c>
      <c r="AA153" s="1">
        <f t="shared" si="311"/>
        <v>701031.8438</v>
      </c>
      <c r="AB153" s="1" t="str">
        <f t="shared" si="311"/>
        <v/>
      </c>
      <c r="AC153" s="1" t="str">
        <f>if(Calculator!$C$8,SUM(P153:AB153),"")</f>
        <v/>
      </c>
      <c r="AE153" s="1">
        <f t="shared" si="8"/>
        <v>2794.730359</v>
      </c>
      <c r="AF153" s="1">
        <f t="shared" si="9"/>
        <v>939918.5486</v>
      </c>
      <c r="AG153" s="1">
        <f t="shared" si="10"/>
        <v>6224.626149</v>
      </c>
      <c r="AH153" s="1">
        <f t="shared" si="11"/>
        <v>6356.904329</v>
      </c>
      <c r="AI153" s="1">
        <f t="shared" si="15"/>
        <v>-132.2781797</v>
      </c>
      <c r="AJ153" s="1" t="str">
        <f t="shared" si="12"/>
        <v/>
      </c>
    </row>
    <row r="154">
      <c r="A154" s="5">
        <v>151.0</v>
      </c>
      <c r="B154" s="8">
        <f t="shared" si="4"/>
        <v>0.3480415606</v>
      </c>
      <c r="C154" s="4">
        <f t="shared" ref="C154:N154" si="312">IF(C$2="","",C$1-_xlfn.FLOOR.MATH(C$1*(180-MIN(180,$A154))/180))</f>
        <v>101</v>
      </c>
      <c r="D154" s="1" t="str">
        <f t="shared" si="312"/>
        <v/>
      </c>
      <c r="E154" s="1" t="str">
        <f t="shared" si="312"/>
        <v/>
      </c>
      <c r="F154" s="1" t="str">
        <f t="shared" si="312"/>
        <v/>
      </c>
      <c r="G154" s="1">
        <f t="shared" si="312"/>
        <v>252</v>
      </c>
      <c r="H154" s="1" t="str">
        <f t="shared" si="312"/>
        <v/>
      </c>
      <c r="I154" s="1" t="str">
        <f t="shared" si="312"/>
        <v/>
      </c>
      <c r="J154" s="1">
        <f t="shared" si="312"/>
        <v>1</v>
      </c>
      <c r="K154" s="1">
        <f t="shared" si="312"/>
        <v>6</v>
      </c>
      <c r="L154" s="1">
        <f t="shared" si="312"/>
        <v>7</v>
      </c>
      <c r="M154" s="1">
        <f t="shared" si="312"/>
        <v>11</v>
      </c>
      <c r="N154" s="1">
        <f t="shared" si="312"/>
        <v>7</v>
      </c>
      <c r="O154" s="1" t="str">
        <f t="shared" si="6"/>
        <v/>
      </c>
      <c r="P154" s="1">
        <f t="shared" ref="P154:AB154" si="313">if(C$2="","",C154*P$1)</f>
        <v>3939</v>
      </c>
      <c r="Q154" s="1" t="str">
        <f t="shared" si="313"/>
        <v/>
      </c>
      <c r="R154" s="1" t="str">
        <f t="shared" si="313"/>
        <v/>
      </c>
      <c r="S154" s="1" t="str">
        <f t="shared" si="313"/>
        <v/>
      </c>
      <c r="T154" s="1">
        <f t="shared" si="313"/>
        <v>42840</v>
      </c>
      <c r="U154" s="1" t="str">
        <f t="shared" si="313"/>
        <v/>
      </c>
      <c r="V154" s="1" t="str">
        <f t="shared" si="313"/>
        <v/>
      </c>
      <c r="W154" s="1">
        <f t="shared" si="313"/>
        <v>14760.70996</v>
      </c>
      <c r="X154" s="1">
        <f t="shared" si="313"/>
        <v>26400</v>
      </c>
      <c r="Y154" s="1">
        <f t="shared" si="313"/>
        <v>70700</v>
      </c>
      <c r="Z154" s="1">
        <f t="shared" si="313"/>
        <v>115500</v>
      </c>
      <c r="AA154" s="1">
        <f t="shared" si="313"/>
        <v>701031.8438</v>
      </c>
      <c r="AB154" s="1" t="str">
        <f t="shared" si="313"/>
        <v/>
      </c>
      <c r="AC154" s="1" t="str">
        <f>if(Calculator!$C$8,SUM(P154:AB154),"")</f>
        <v/>
      </c>
      <c r="AE154" s="1">
        <f t="shared" si="8"/>
        <v>2784.332485</v>
      </c>
      <c r="AF154" s="1">
        <f t="shared" si="9"/>
        <v>942702.8811</v>
      </c>
      <c r="AG154" s="1">
        <f t="shared" si="10"/>
        <v>6201.992639</v>
      </c>
      <c r="AH154" s="1">
        <f t="shared" si="11"/>
        <v>6415.602327</v>
      </c>
      <c r="AI154" s="1">
        <f t="shared" si="15"/>
        <v>-213.6096885</v>
      </c>
      <c r="AJ154" s="1" t="str">
        <f t="shared" si="12"/>
        <v/>
      </c>
    </row>
    <row r="155">
      <c r="A155" s="5">
        <v>152.0</v>
      </c>
      <c r="B155" s="8">
        <f t="shared" si="4"/>
        <v>0.3468269095</v>
      </c>
      <c r="C155" s="4">
        <f t="shared" ref="C155:N155" si="314">IF(C$2="","",C$1-_xlfn.FLOOR.MATH(C$1*(180-MIN(180,$A155))/180))</f>
        <v>102</v>
      </c>
      <c r="D155" s="1" t="str">
        <f t="shared" si="314"/>
        <v/>
      </c>
      <c r="E155" s="1" t="str">
        <f t="shared" si="314"/>
        <v/>
      </c>
      <c r="F155" s="1" t="str">
        <f t="shared" si="314"/>
        <v/>
      </c>
      <c r="G155" s="1">
        <f t="shared" si="314"/>
        <v>254</v>
      </c>
      <c r="H155" s="1" t="str">
        <f t="shared" si="314"/>
        <v/>
      </c>
      <c r="I155" s="1" t="str">
        <f t="shared" si="314"/>
        <v/>
      </c>
      <c r="J155" s="1">
        <f t="shared" si="314"/>
        <v>1</v>
      </c>
      <c r="K155" s="1">
        <f t="shared" si="314"/>
        <v>6</v>
      </c>
      <c r="L155" s="1">
        <f t="shared" si="314"/>
        <v>7</v>
      </c>
      <c r="M155" s="1">
        <f t="shared" si="314"/>
        <v>11</v>
      </c>
      <c r="N155" s="1">
        <f t="shared" si="314"/>
        <v>7</v>
      </c>
      <c r="O155" s="1" t="str">
        <f t="shared" si="6"/>
        <v/>
      </c>
      <c r="P155" s="1">
        <f t="shared" ref="P155:AB155" si="315">if(C$2="","",C155*P$1)</f>
        <v>3978</v>
      </c>
      <c r="Q155" s="1" t="str">
        <f t="shared" si="315"/>
        <v/>
      </c>
      <c r="R155" s="1" t="str">
        <f t="shared" si="315"/>
        <v/>
      </c>
      <c r="S155" s="1" t="str">
        <f t="shared" si="315"/>
        <v/>
      </c>
      <c r="T155" s="1">
        <f t="shared" si="315"/>
        <v>43180</v>
      </c>
      <c r="U155" s="1" t="str">
        <f t="shared" si="315"/>
        <v/>
      </c>
      <c r="V155" s="1" t="str">
        <f t="shared" si="315"/>
        <v/>
      </c>
      <c r="W155" s="1">
        <f t="shared" si="315"/>
        <v>14760.70996</v>
      </c>
      <c r="X155" s="1">
        <f t="shared" si="315"/>
        <v>26400</v>
      </c>
      <c r="Y155" s="1">
        <f t="shared" si="315"/>
        <v>70700</v>
      </c>
      <c r="Z155" s="1">
        <f t="shared" si="315"/>
        <v>115500</v>
      </c>
      <c r="AA155" s="1">
        <f t="shared" si="315"/>
        <v>701031.8438</v>
      </c>
      <c r="AB155" s="1" t="str">
        <f t="shared" si="315"/>
        <v/>
      </c>
      <c r="AC155" s="1" t="str">
        <f>if(Calculator!$C$8,SUM(P155:AB155),"")</f>
        <v/>
      </c>
      <c r="AE155" s="1">
        <f t="shared" si="8"/>
        <v>2774.615276</v>
      </c>
      <c r="AF155" s="1">
        <f t="shared" si="9"/>
        <v>945477.4963</v>
      </c>
      <c r="AG155" s="1">
        <f t="shared" si="10"/>
        <v>6179.591479</v>
      </c>
      <c r="AH155" s="1">
        <f t="shared" si="11"/>
        <v>6376.14741</v>
      </c>
      <c r="AI155" s="1">
        <f t="shared" si="15"/>
        <v>-196.5559306</v>
      </c>
      <c r="AJ155" s="1" t="str">
        <f t="shared" si="12"/>
        <v/>
      </c>
    </row>
    <row r="156">
      <c r="A156" s="5">
        <v>153.0</v>
      </c>
      <c r="B156" s="8">
        <f t="shared" si="4"/>
        <v>0.3456920668</v>
      </c>
      <c r="C156" s="4">
        <f t="shared" ref="C156:N156" si="316">IF(C$2="","",C$1-_xlfn.FLOOR.MATH(C$1*(180-MIN(180,$A156))/180))</f>
        <v>102</v>
      </c>
      <c r="D156" s="1" t="str">
        <f t="shared" si="316"/>
        <v/>
      </c>
      <c r="E156" s="1" t="str">
        <f t="shared" si="316"/>
        <v/>
      </c>
      <c r="F156" s="1" t="str">
        <f t="shared" si="316"/>
        <v/>
      </c>
      <c r="G156" s="1">
        <f t="shared" si="316"/>
        <v>255</v>
      </c>
      <c r="H156" s="1" t="str">
        <f t="shared" si="316"/>
        <v/>
      </c>
      <c r="I156" s="1" t="str">
        <f t="shared" si="316"/>
        <v/>
      </c>
      <c r="J156" s="1">
        <f t="shared" si="316"/>
        <v>1</v>
      </c>
      <c r="K156" s="1">
        <f t="shared" si="316"/>
        <v>6</v>
      </c>
      <c r="L156" s="1">
        <f t="shared" si="316"/>
        <v>7</v>
      </c>
      <c r="M156" s="1">
        <f t="shared" si="316"/>
        <v>11</v>
      </c>
      <c r="N156" s="1">
        <f t="shared" si="316"/>
        <v>7</v>
      </c>
      <c r="O156" s="1" t="str">
        <f t="shared" si="6"/>
        <v/>
      </c>
      <c r="P156" s="1">
        <f t="shared" ref="P156:AB156" si="317">if(C$2="","",C156*P$1)</f>
        <v>3978</v>
      </c>
      <c r="Q156" s="1" t="str">
        <f t="shared" si="317"/>
        <v/>
      </c>
      <c r="R156" s="1" t="str">
        <f t="shared" si="317"/>
        <v/>
      </c>
      <c r="S156" s="1" t="str">
        <f t="shared" si="317"/>
        <v/>
      </c>
      <c r="T156" s="1">
        <f t="shared" si="317"/>
        <v>43350</v>
      </c>
      <c r="U156" s="1" t="str">
        <f t="shared" si="317"/>
        <v/>
      </c>
      <c r="V156" s="1" t="str">
        <f t="shared" si="317"/>
        <v/>
      </c>
      <c r="W156" s="1">
        <f t="shared" si="317"/>
        <v>14760.70996</v>
      </c>
      <c r="X156" s="1">
        <f t="shared" si="317"/>
        <v>26400</v>
      </c>
      <c r="Y156" s="1">
        <f t="shared" si="317"/>
        <v>70700</v>
      </c>
      <c r="Z156" s="1">
        <f t="shared" si="317"/>
        <v>115500</v>
      </c>
      <c r="AA156" s="1">
        <f t="shared" si="317"/>
        <v>701031.8438</v>
      </c>
      <c r="AB156" s="1" t="str">
        <f t="shared" si="317"/>
        <v/>
      </c>
      <c r="AC156" s="1" t="str">
        <f>if(Calculator!$C$8,SUM(P156:AB156),"")</f>
        <v/>
      </c>
      <c r="AE156" s="1">
        <f t="shared" si="8"/>
        <v>2765.536535</v>
      </c>
      <c r="AF156" s="1">
        <f t="shared" si="9"/>
        <v>948243.0329</v>
      </c>
      <c r="AG156" s="1">
        <f t="shared" si="10"/>
        <v>6157.422291</v>
      </c>
      <c r="AH156" s="1">
        <f t="shared" si="11"/>
        <v>6335.847751</v>
      </c>
      <c r="AI156" s="1">
        <f t="shared" si="15"/>
        <v>-178.42546</v>
      </c>
      <c r="AJ156" s="1" t="str">
        <f t="shared" si="12"/>
        <v/>
      </c>
    </row>
    <row r="157">
      <c r="A157" s="5">
        <v>154.0</v>
      </c>
      <c r="B157" s="8">
        <f t="shared" si="4"/>
        <v>0.3446320458</v>
      </c>
      <c r="C157" s="4">
        <f t="shared" ref="C157:N157" si="318">IF(C$2="","",C$1-_xlfn.FLOOR.MATH(C$1*(180-MIN(180,$A157))/180))</f>
        <v>103</v>
      </c>
      <c r="D157" s="1" t="str">
        <f t="shared" si="318"/>
        <v/>
      </c>
      <c r="E157" s="1" t="str">
        <f t="shared" si="318"/>
        <v/>
      </c>
      <c r="F157" s="1" t="str">
        <f t="shared" si="318"/>
        <v/>
      </c>
      <c r="G157" s="1">
        <f t="shared" si="318"/>
        <v>257</v>
      </c>
      <c r="H157" s="1" t="str">
        <f t="shared" si="318"/>
        <v/>
      </c>
      <c r="I157" s="1" t="str">
        <f t="shared" si="318"/>
        <v/>
      </c>
      <c r="J157" s="1">
        <f t="shared" si="318"/>
        <v>1</v>
      </c>
      <c r="K157" s="1">
        <f t="shared" si="318"/>
        <v>6</v>
      </c>
      <c r="L157" s="1">
        <f t="shared" si="318"/>
        <v>7</v>
      </c>
      <c r="M157" s="1">
        <f t="shared" si="318"/>
        <v>11</v>
      </c>
      <c r="N157" s="1">
        <f t="shared" si="318"/>
        <v>7</v>
      </c>
      <c r="O157" s="1" t="str">
        <f t="shared" si="6"/>
        <v/>
      </c>
      <c r="P157" s="1">
        <f t="shared" ref="P157:AB157" si="319">if(C$2="","",C157*P$1)</f>
        <v>4017</v>
      </c>
      <c r="Q157" s="1" t="str">
        <f t="shared" si="319"/>
        <v/>
      </c>
      <c r="R157" s="1" t="str">
        <f t="shared" si="319"/>
        <v/>
      </c>
      <c r="S157" s="1" t="str">
        <f t="shared" si="319"/>
        <v/>
      </c>
      <c r="T157" s="1">
        <f t="shared" si="319"/>
        <v>43690</v>
      </c>
      <c r="U157" s="1" t="str">
        <f t="shared" si="319"/>
        <v/>
      </c>
      <c r="V157" s="1" t="str">
        <f t="shared" si="319"/>
        <v/>
      </c>
      <c r="W157" s="1">
        <f t="shared" si="319"/>
        <v>14760.70996</v>
      </c>
      <c r="X157" s="1">
        <f t="shared" si="319"/>
        <v>26400</v>
      </c>
      <c r="Y157" s="1">
        <f t="shared" si="319"/>
        <v>70700</v>
      </c>
      <c r="Z157" s="1">
        <f t="shared" si="319"/>
        <v>115500</v>
      </c>
      <c r="AA157" s="1">
        <f t="shared" si="319"/>
        <v>701031.8438</v>
      </c>
      <c r="AB157" s="1" t="str">
        <f t="shared" si="319"/>
        <v/>
      </c>
      <c r="AC157" s="1" t="str">
        <f>if(Calculator!$C$8,SUM(P157:AB157),"")</f>
        <v/>
      </c>
      <c r="AE157" s="1">
        <f t="shared" si="8"/>
        <v>2757.056366</v>
      </c>
      <c r="AF157" s="1">
        <f t="shared" si="9"/>
        <v>951000.0892</v>
      </c>
      <c r="AG157" s="1">
        <f t="shared" si="10"/>
        <v>6135.484447</v>
      </c>
      <c r="AH157" s="1">
        <f t="shared" si="11"/>
        <v>6297.416476</v>
      </c>
      <c r="AI157" s="1">
        <f t="shared" si="15"/>
        <v>-161.9320289</v>
      </c>
      <c r="AJ157" s="1" t="str">
        <f t="shared" si="12"/>
        <v/>
      </c>
    </row>
    <row r="158">
      <c r="A158" s="5">
        <v>155.0</v>
      </c>
      <c r="B158" s="8">
        <f t="shared" si="4"/>
        <v>0.3436421377</v>
      </c>
      <c r="C158" s="4">
        <f t="shared" ref="C158:N158" si="320">IF(C$2="","",C$1-_xlfn.FLOOR.MATH(C$1*(180-MIN(180,$A158))/180))</f>
        <v>104</v>
      </c>
      <c r="D158" s="1" t="str">
        <f t="shared" si="320"/>
        <v/>
      </c>
      <c r="E158" s="1" t="str">
        <f t="shared" si="320"/>
        <v/>
      </c>
      <c r="F158" s="1" t="str">
        <f t="shared" si="320"/>
        <v/>
      </c>
      <c r="G158" s="1">
        <f t="shared" si="320"/>
        <v>259</v>
      </c>
      <c r="H158" s="1" t="str">
        <f t="shared" si="320"/>
        <v/>
      </c>
      <c r="I158" s="1" t="str">
        <f t="shared" si="320"/>
        <v/>
      </c>
      <c r="J158" s="1">
        <f t="shared" si="320"/>
        <v>1</v>
      </c>
      <c r="K158" s="1">
        <f t="shared" si="320"/>
        <v>6</v>
      </c>
      <c r="L158" s="1">
        <f t="shared" si="320"/>
        <v>7</v>
      </c>
      <c r="M158" s="1">
        <f t="shared" si="320"/>
        <v>11</v>
      </c>
      <c r="N158" s="1">
        <f t="shared" si="320"/>
        <v>7</v>
      </c>
      <c r="O158" s="1" t="str">
        <f t="shared" si="6"/>
        <v/>
      </c>
      <c r="P158" s="1">
        <f t="shared" ref="P158:AB158" si="321">if(C$2="","",C158*P$1)</f>
        <v>4056</v>
      </c>
      <c r="Q158" s="1" t="str">
        <f t="shared" si="321"/>
        <v/>
      </c>
      <c r="R158" s="1" t="str">
        <f t="shared" si="321"/>
        <v/>
      </c>
      <c r="S158" s="1" t="str">
        <f t="shared" si="321"/>
        <v/>
      </c>
      <c r="T158" s="1">
        <f t="shared" si="321"/>
        <v>44030</v>
      </c>
      <c r="U158" s="1" t="str">
        <f t="shared" si="321"/>
        <v/>
      </c>
      <c r="V158" s="1" t="str">
        <f t="shared" si="321"/>
        <v/>
      </c>
      <c r="W158" s="1">
        <f t="shared" si="321"/>
        <v>14760.70996</v>
      </c>
      <c r="X158" s="1">
        <f t="shared" si="321"/>
        <v>26400</v>
      </c>
      <c r="Y158" s="1">
        <f t="shared" si="321"/>
        <v>70700</v>
      </c>
      <c r="Z158" s="1">
        <f t="shared" si="321"/>
        <v>115500</v>
      </c>
      <c r="AA158" s="1">
        <f t="shared" si="321"/>
        <v>701031.8438</v>
      </c>
      <c r="AB158" s="1" t="str">
        <f t="shared" si="321"/>
        <v/>
      </c>
      <c r="AC158" s="1" t="str">
        <f>if(Calculator!$C$8,SUM(P158:AB158),"")</f>
        <v/>
      </c>
      <c r="AE158" s="1">
        <f t="shared" si="8"/>
        <v>2749.137101</v>
      </c>
      <c r="AF158" s="1">
        <f t="shared" si="9"/>
        <v>953749.2263</v>
      </c>
      <c r="AG158" s="1">
        <f t="shared" si="10"/>
        <v>6113.777092</v>
      </c>
      <c r="AH158" s="1">
        <f t="shared" si="11"/>
        <v>6259.477908</v>
      </c>
      <c r="AI158" s="1">
        <f t="shared" si="15"/>
        <v>-145.7008165</v>
      </c>
      <c r="AJ158" s="1" t="str">
        <f t="shared" si="12"/>
        <v/>
      </c>
    </row>
    <row r="159">
      <c r="A159" s="5">
        <v>156.0</v>
      </c>
      <c r="B159" s="8">
        <f t="shared" si="4"/>
        <v>0.3427179007</v>
      </c>
      <c r="C159" s="4">
        <f t="shared" ref="C159:N159" si="322">IF(C$2="","",C$1-_xlfn.FLOOR.MATH(C$1*(180-MIN(180,$A159))/180))</f>
        <v>104</v>
      </c>
      <c r="D159" s="1" t="str">
        <f t="shared" si="322"/>
        <v/>
      </c>
      <c r="E159" s="1" t="str">
        <f t="shared" si="322"/>
        <v/>
      </c>
      <c r="F159" s="1" t="str">
        <f t="shared" si="322"/>
        <v/>
      </c>
      <c r="G159" s="1">
        <f t="shared" si="322"/>
        <v>260</v>
      </c>
      <c r="H159" s="1" t="str">
        <f t="shared" si="322"/>
        <v/>
      </c>
      <c r="I159" s="1" t="str">
        <f t="shared" si="322"/>
        <v/>
      </c>
      <c r="J159" s="1">
        <f t="shared" si="322"/>
        <v>1</v>
      </c>
      <c r="K159" s="1">
        <f t="shared" si="322"/>
        <v>6</v>
      </c>
      <c r="L159" s="1">
        <f t="shared" si="322"/>
        <v>7</v>
      </c>
      <c r="M159" s="1">
        <f t="shared" si="322"/>
        <v>11</v>
      </c>
      <c r="N159" s="1">
        <f t="shared" si="322"/>
        <v>7</v>
      </c>
      <c r="O159" s="1" t="str">
        <f t="shared" si="6"/>
        <v/>
      </c>
      <c r="P159" s="1">
        <f t="shared" ref="P159:AB159" si="323">if(C$2="","",C159*P$1)</f>
        <v>4056</v>
      </c>
      <c r="Q159" s="1" t="str">
        <f t="shared" si="323"/>
        <v/>
      </c>
      <c r="R159" s="1" t="str">
        <f t="shared" si="323"/>
        <v/>
      </c>
      <c r="S159" s="1" t="str">
        <f t="shared" si="323"/>
        <v/>
      </c>
      <c r="T159" s="1">
        <f t="shared" si="323"/>
        <v>44200</v>
      </c>
      <c r="U159" s="1" t="str">
        <f t="shared" si="323"/>
        <v/>
      </c>
      <c r="V159" s="1" t="str">
        <f t="shared" si="323"/>
        <v/>
      </c>
      <c r="W159" s="1">
        <f t="shared" si="323"/>
        <v>14760.70996</v>
      </c>
      <c r="X159" s="1">
        <f t="shared" si="323"/>
        <v>26400</v>
      </c>
      <c r="Y159" s="1">
        <f t="shared" si="323"/>
        <v>70700</v>
      </c>
      <c r="Z159" s="1">
        <f t="shared" si="323"/>
        <v>115500</v>
      </c>
      <c r="AA159" s="1">
        <f t="shared" si="323"/>
        <v>701031.8438</v>
      </c>
      <c r="AB159" s="1" t="str">
        <f t="shared" si="323"/>
        <v/>
      </c>
      <c r="AC159" s="1" t="str">
        <f>if(Calculator!$C$8,SUM(P159:AB159),"")</f>
        <v/>
      </c>
      <c r="AE159" s="1">
        <f t="shared" si="8"/>
        <v>2741.743205</v>
      </c>
      <c r="AF159" s="1">
        <f t="shared" si="9"/>
        <v>956490.9695</v>
      </c>
      <c r="AG159" s="1">
        <f t="shared" si="10"/>
        <v>6092.299169</v>
      </c>
      <c r="AH159" s="1">
        <f t="shared" si="11"/>
        <v>6220.691425</v>
      </c>
      <c r="AI159" s="1">
        <f t="shared" si="15"/>
        <v>-128.3922559</v>
      </c>
      <c r="AJ159" s="1" t="str">
        <f t="shared" si="12"/>
        <v/>
      </c>
    </row>
    <row r="160">
      <c r="A160" s="5">
        <v>157.0</v>
      </c>
      <c r="B160" s="8">
        <f t="shared" si="4"/>
        <v>0.3418551485</v>
      </c>
      <c r="C160" s="4">
        <f t="shared" ref="C160:N160" si="324">IF(C$2="","",C$1-_xlfn.FLOOR.MATH(C$1*(180-MIN(180,$A160))/180))</f>
        <v>105</v>
      </c>
      <c r="D160" s="1" t="str">
        <f t="shared" si="324"/>
        <v/>
      </c>
      <c r="E160" s="1" t="str">
        <f t="shared" si="324"/>
        <v/>
      </c>
      <c r="F160" s="1" t="str">
        <f t="shared" si="324"/>
        <v/>
      </c>
      <c r="G160" s="1">
        <f t="shared" si="324"/>
        <v>262</v>
      </c>
      <c r="H160" s="1" t="str">
        <f t="shared" si="324"/>
        <v/>
      </c>
      <c r="I160" s="1" t="str">
        <f t="shared" si="324"/>
        <v/>
      </c>
      <c r="J160" s="1">
        <f t="shared" si="324"/>
        <v>1</v>
      </c>
      <c r="K160" s="1">
        <f t="shared" si="324"/>
        <v>6</v>
      </c>
      <c r="L160" s="1">
        <f t="shared" si="324"/>
        <v>7</v>
      </c>
      <c r="M160" s="1">
        <f t="shared" si="324"/>
        <v>11</v>
      </c>
      <c r="N160" s="1">
        <f t="shared" si="324"/>
        <v>7</v>
      </c>
      <c r="O160" s="1" t="str">
        <f t="shared" si="6"/>
        <v/>
      </c>
      <c r="P160" s="1">
        <f t="shared" ref="P160:AB160" si="325">if(C$2="","",C160*P$1)</f>
        <v>4095</v>
      </c>
      <c r="Q160" s="1" t="str">
        <f t="shared" si="325"/>
        <v/>
      </c>
      <c r="R160" s="1" t="str">
        <f t="shared" si="325"/>
        <v/>
      </c>
      <c r="S160" s="1" t="str">
        <f t="shared" si="325"/>
        <v/>
      </c>
      <c r="T160" s="1">
        <f t="shared" si="325"/>
        <v>44540</v>
      </c>
      <c r="U160" s="1" t="str">
        <f t="shared" si="325"/>
        <v/>
      </c>
      <c r="V160" s="1" t="str">
        <f t="shared" si="325"/>
        <v/>
      </c>
      <c r="W160" s="1">
        <f t="shared" si="325"/>
        <v>14760.70996</v>
      </c>
      <c r="X160" s="1">
        <f t="shared" si="325"/>
        <v>26400</v>
      </c>
      <c r="Y160" s="1">
        <f t="shared" si="325"/>
        <v>70700</v>
      </c>
      <c r="Z160" s="1">
        <f t="shared" si="325"/>
        <v>115500</v>
      </c>
      <c r="AA160" s="1">
        <f t="shared" si="325"/>
        <v>701031.8438</v>
      </c>
      <c r="AB160" s="1" t="str">
        <f t="shared" si="325"/>
        <v/>
      </c>
      <c r="AC160" s="1" t="str">
        <f>if(Calculator!$C$8,SUM(P160:AB160),"")</f>
        <v/>
      </c>
      <c r="AE160" s="1">
        <f t="shared" si="8"/>
        <v>2734.841188</v>
      </c>
      <c r="AF160" s="1">
        <f t="shared" si="9"/>
        <v>959225.8107</v>
      </c>
      <c r="AG160" s="1">
        <f t="shared" si="10"/>
        <v>6071.049435</v>
      </c>
      <c r="AH160" s="1">
        <f t="shared" si="11"/>
        <v>6183.718694</v>
      </c>
      <c r="AI160" s="1">
        <f t="shared" si="15"/>
        <v>-112.6692594</v>
      </c>
      <c r="AJ160" s="1" t="str">
        <f t="shared" si="12"/>
        <v/>
      </c>
    </row>
    <row r="161">
      <c r="A161" s="5">
        <v>158.0</v>
      </c>
      <c r="B161" s="8">
        <f t="shared" si="4"/>
        <v>0.3410499395</v>
      </c>
      <c r="C161" s="4">
        <f t="shared" ref="C161:N161" si="326">IF(C$2="","",C$1-_xlfn.FLOOR.MATH(C$1*(180-MIN(180,$A161))/180))</f>
        <v>106</v>
      </c>
      <c r="D161" s="1" t="str">
        <f t="shared" si="326"/>
        <v/>
      </c>
      <c r="E161" s="1" t="str">
        <f t="shared" si="326"/>
        <v/>
      </c>
      <c r="F161" s="1" t="str">
        <f t="shared" si="326"/>
        <v/>
      </c>
      <c r="G161" s="1">
        <f t="shared" si="326"/>
        <v>264</v>
      </c>
      <c r="H161" s="1" t="str">
        <f t="shared" si="326"/>
        <v/>
      </c>
      <c r="I161" s="1" t="str">
        <f t="shared" si="326"/>
        <v/>
      </c>
      <c r="J161" s="1">
        <f t="shared" si="326"/>
        <v>1</v>
      </c>
      <c r="K161" s="1">
        <f t="shared" si="326"/>
        <v>6</v>
      </c>
      <c r="L161" s="1">
        <f t="shared" si="326"/>
        <v>8</v>
      </c>
      <c r="M161" s="1">
        <f t="shared" si="326"/>
        <v>11</v>
      </c>
      <c r="N161" s="1">
        <f t="shared" si="326"/>
        <v>8</v>
      </c>
      <c r="O161" s="1" t="str">
        <f t="shared" si="6"/>
        <v/>
      </c>
      <c r="P161" s="1">
        <f t="shared" ref="P161:AB161" si="327">if(C$2="","",C161*P$1)</f>
        <v>4134</v>
      </c>
      <c r="Q161" s="1" t="str">
        <f t="shared" si="327"/>
        <v/>
      </c>
      <c r="R161" s="1" t="str">
        <f t="shared" si="327"/>
        <v/>
      </c>
      <c r="S161" s="1" t="str">
        <f t="shared" si="327"/>
        <v/>
      </c>
      <c r="T161" s="1">
        <f t="shared" si="327"/>
        <v>44880</v>
      </c>
      <c r="U161" s="1" t="str">
        <f t="shared" si="327"/>
        <v/>
      </c>
      <c r="V161" s="1" t="str">
        <f t="shared" si="327"/>
        <v/>
      </c>
      <c r="W161" s="1">
        <f t="shared" si="327"/>
        <v>14760.70996</v>
      </c>
      <c r="X161" s="1">
        <f t="shared" si="327"/>
        <v>26400</v>
      </c>
      <c r="Y161" s="1">
        <f t="shared" si="327"/>
        <v>80800</v>
      </c>
      <c r="Z161" s="1">
        <f t="shared" si="327"/>
        <v>115500</v>
      </c>
      <c r="AA161" s="1">
        <f t="shared" si="327"/>
        <v>801179.25</v>
      </c>
      <c r="AB161" s="1" t="str">
        <f t="shared" si="327"/>
        <v/>
      </c>
      <c r="AC161" s="1" t="str">
        <f>if(Calculator!$C$8,SUM(P161:AB161),"")</f>
        <v/>
      </c>
      <c r="AE161" s="1">
        <f t="shared" si="8"/>
        <v>2728.399516</v>
      </c>
      <c r="AF161" s="1">
        <f t="shared" si="9"/>
        <v>961954.2102</v>
      </c>
      <c r="AG161" s="1">
        <f t="shared" si="10"/>
        <v>6050.02648</v>
      </c>
      <c r="AH161" s="1">
        <f t="shared" si="11"/>
        <v>6840.590943</v>
      </c>
      <c r="AI161" s="1">
        <f t="shared" si="15"/>
        <v>-790.5644636</v>
      </c>
      <c r="AJ161" s="1" t="str">
        <f t="shared" si="12"/>
        <v/>
      </c>
    </row>
    <row r="162">
      <c r="A162" s="5">
        <v>159.0</v>
      </c>
      <c r="B162" s="8">
        <f t="shared" si="4"/>
        <v>0.340298565</v>
      </c>
      <c r="C162" s="4">
        <f t="shared" ref="C162:N162" si="328">IF(C$2="","",C$1-_xlfn.FLOOR.MATH(C$1*(180-MIN(180,$A162))/180))</f>
        <v>106</v>
      </c>
      <c r="D162" s="1" t="str">
        <f t="shared" si="328"/>
        <v/>
      </c>
      <c r="E162" s="1" t="str">
        <f t="shared" si="328"/>
        <v/>
      </c>
      <c r="F162" s="1" t="str">
        <f t="shared" si="328"/>
        <v/>
      </c>
      <c r="G162" s="1">
        <f t="shared" si="328"/>
        <v>265</v>
      </c>
      <c r="H162" s="1" t="str">
        <f t="shared" si="328"/>
        <v/>
      </c>
      <c r="I162" s="1" t="str">
        <f t="shared" si="328"/>
        <v/>
      </c>
      <c r="J162" s="1">
        <f t="shared" si="328"/>
        <v>1</v>
      </c>
      <c r="K162" s="1">
        <f t="shared" si="328"/>
        <v>6</v>
      </c>
      <c r="L162" s="1">
        <f t="shared" si="328"/>
        <v>8</v>
      </c>
      <c r="M162" s="1">
        <f t="shared" si="328"/>
        <v>11</v>
      </c>
      <c r="N162" s="1">
        <f t="shared" si="328"/>
        <v>8</v>
      </c>
      <c r="O162" s="1" t="str">
        <f t="shared" si="6"/>
        <v/>
      </c>
      <c r="P162" s="1">
        <f t="shared" ref="P162:AB162" si="329">if(C$2="","",C162*P$1)</f>
        <v>4134</v>
      </c>
      <c r="Q162" s="1" t="str">
        <f t="shared" si="329"/>
        <v/>
      </c>
      <c r="R162" s="1" t="str">
        <f t="shared" si="329"/>
        <v/>
      </c>
      <c r="S162" s="1" t="str">
        <f t="shared" si="329"/>
        <v/>
      </c>
      <c r="T162" s="1">
        <f t="shared" si="329"/>
        <v>45050</v>
      </c>
      <c r="U162" s="1" t="str">
        <f t="shared" si="329"/>
        <v/>
      </c>
      <c r="V162" s="1" t="str">
        <f t="shared" si="329"/>
        <v/>
      </c>
      <c r="W162" s="1">
        <f t="shared" si="329"/>
        <v>14760.70996</v>
      </c>
      <c r="X162" s="1">
        <f t="shared" si="329"/>
        <v>26400</v>
      </c>
      <c r="Y162" s="1">
        <f t="shared" si="329"/>
        <v>80800</v>
      </c>
      <c r="Z162" s="1">
        <f t="shared" si="329"/>
        <v>115500</v>
      </c>
      <c r="AA162" s="1">
        <f t="shared" si="329"/>
        <v>801179.25</v>
      </c>
      <c r="AB162" s="1" t="str">
        <f t="shared" si="329"/>
        <v/>
      </c>
      <c r="AC162" s="1" t="str">
        <f>if(Calculator!$C$8,SUM(P162:AB162),"")</f>
        <v/>
      </c>
      <c r="AE162" s="1">
        <f t="shared" si="8"/>
        <v>2722.38852</v>
      </c>
      <c r="AF162" s="1">
        <f t="shared" si="9"/>
        <v>964676.5988</v>
      </c>
      <c r="AG162" s="1">
        <f t="shared" si="10"/>
        <v>6029.228742</v>
      </c>
      <c r="AH162" s="1">
        <f t="shared" si="11"/>
        <v>6798.89975</v>
      </c>
      <c r="AI162" s="1">
        <f t="shared" si="15"/>
        <v>-769.6710075</v>
      </c>
      <c r="AJ162" s="1" t="str">
        <f t="shared" si="12"/>
        <v/>
      </c>
    </row>
    <row r="163">
      <c r="A163" s="5">
        <v>160.0</v>
      </c>
      <c r="B163" s="8">
        <f t="shared" si="4"/>
        <v>0.3395975383</v>
      </c>
      <c r="C163" s="4">
        <f t="shared" ref="C163:N163" si="330">IF(C$2="","",C$1-_xlfn.FLOOR.MATH(C$1*(180-MIN(180,$A163))/180))</f>
        <v>107</v>
      </c>
      <c r="D163" s="1" t="str">
        <f t="shared" si="330"/>
        <v/>
      </c>
      <c r="E163" s="1" t="str">
        <f t="shared" si="330"/>
        <v/>
      </c>
      <c r="F163" s="1" t="str">
        <f t="shared" si="330"/>
        <v/>
      </c>
      <c r="G163" s="1">
        <f t="shared" si="330"/>
        <v>267</v>
      </c>
      <c r="H163" s="1" t="str">
        <f t="shared" si="330"/>
        <v/>
      </c>
      <c r="I163" s="1" t="str">
        <f t="shared" si="330"/>
        <v/>
      </c>
      <c r="J163" s="1">
        <f t="shared" si="330"/>
        <v>1</v>
      </c>
      <c r="K163" s="1">
        <f t="shared" si="330"/>
        <v>6</v>
      </c>
      <c r="L163" s="1">
        <f t="shared" si="330"/>
        <v>8</v>
      </c>
      <c r="M163" s="1">
        <f t="shared" si="330"/>
        <v>11</v>
      </c>
      <c r="N163" s="1">
        <f t="shared" si="330"/>
        <v>8</v>
      </c>
      <c r="O163" s="1" t="str">
        <f t="shared" si="6"/>
        <v/>
      </c>
      <c r="P163" s="1">
        <f t="shared" ref="P163:AB163" si="331">if(C$2="","",C163*P$1)</f>
        <v>4173</v>
      </c>
      <c r="Q163" s="1" t="str">
        <f t="shared" si="331"/>
        <v/>
      </c>
      <c r="R163" s="1" t="str">
        <f t="shared" si="331"/>
        <v/>
      </c>
      <c r="S163" s="1" t="str">
        <f t="shared" si="331"/>
        <v/>
      </c>
      <c r="T163" s="1">
        <f t="shared" si="331"/>
        <v>45390</v>
      </c>
      <c r="U163" s="1" t="str">
        <f t="shared" si="331"/>
        <v/>
      </c>
      <c r="V163" s="1" t="str">
        <f t="shared" si="331"/>
        <v/>
      </c>
      <c r="W163" s="1">
        <f t="shared" si="331"/>
        <v>14760.70996</v>
      </c>
      <c r="X163" s="1">
        <f t="shared" si="331"/>
        <v>26400</v>
      </c>
      <c r="Y163" s="1">
        <f t="shared" si="331"/>
        <v>80800</v>
      </c>
      <c r="Z163" s="1">
        <f t="shared" si="331"/>
        <v>115500</v>
      </c>
      <c r="AA163" s="1">
        <f t="shared" si="331"/>
        <v>801179.25</v>
      </c>
      <c r="AB163" s="1" t="str">
        <f t="shared" si="331"/>
        <v/>
      </c>
      <c r="AC163" s="1" t="str">
        <f>if(Calculator!$C$8,SUM(P163:AB163),"")</f>
        <v/>
      </c>
      <c r="AE163" s="1">
        <f t="shared" si="8"/>
        <v>2716.780306</v>
      </c>
      <c r="AF163" s="1">
        <f t="shared" si="9"/>
        <v>967393.3791</v>
      </c>
      <c r="AG163" s="1">
        <f t="shared" si="10"/>
        <v>6008.654528</v>
      </c>
      <c r="AH163" s="1">
        <f t="shared" si="11"/>
        <v>6759.024596</v>
      </c>
      <c r="AI163" s="1">
        <f t="shared" si="15"/>
        <v>-750.3700676</v>
      </c>
      <c r="AJ163" s="1" t="str">
        <f t="shared" si="12"/>
        <v/>
      </c>
    </row>
    <row r="164">
      <c r="A164" s="5">
        <v>161.0</v>
      </c>
      <c r="B164" s="8">
        <f t="shared" si="4"/>
        <v>0.3389435838</v>
      </c>
      <c r="C164" s="4">
        <f t="shared" ref="C164:N164" si="332">IF(C$2="","",C$1-_xlfn.FLOOR.MATH(C$1*(180-MIN(180,$A164))/180))</f>
        <v>108</v>
      </c>
      <c r="D164" s="1" t="str">
        <f t="shared" si="332"/>
        <v/>
      </c>
      <c r="E164" s="1" t="str">
        <f t="shared" si="332"/>
        <v/>
      </c>
      <c r="F164" s="1" t="str">
        <f t="shared" si="332"/>
        <v/>
      </c>
      <c r="G164" s="1">
        <f t="shared" si="332"/>
        <v>269</v>
      </c>
      <c r="H164" s="1" t="str">
        <f t="shared" si="332"/>
        <v/>
      </c>
      <c r="I164" s="1" t="str">
        <f t="shared" si="332"/>
        <v/>
      </c>
      <c r="J164" s="1">
        <f t="shared" si="332"/>
        <v>1</v>
      </c>
      <c r="K164" s="1">
        <f t="shared" si="332"/>
        <v>6</v>
      </c>
      <c r="L164" s="1">
        <f t="shared" si="332"/>
        <v>8</v>
      </c>
      <c r="M164" s="1">
        <f t="shared" si="332"/>
        <v>11</v>
      </c>
      <c r="N164" s="1">
        <f t="shared" si="332"/>
        <v>8</v>
      </c>
      <c r="O164" s="1" t="str">
        <f t="shared" si="6"/>
        <v/>
      </c>
      <c r="P164" s="1">
        <f t="shared" ref="P164:AB164" si="333">if(C$2="","",C164*P$1)</f>
        <v>4212</v>
      </c>
      <c r="Q164" s="1" t="str">
        <f t="shared" si="333"/>
        <v/>
      </c>
      <c r="R164" s="1" t="str">
        <f t="shared" si="333"/>
        <v/>
      </c>
      <c r="S164" s="1" t="str">
        <f t="shared" si="333"/>
        <v/>
      </c>
      <c r="T164" s="1">
        <f t="shared" si="333"/>
        <v>45730</v>
      </c>
      <c r="U164" s="1" t="str">
        <f t="shared" si="333"/>
        <v/>
      </c>
      <c r="V164" s="1" t="str">
        <f t="shared" si="333"/>
        <v/>
      </c>
      <c r="W164" s="1">
        <f t="shared" si="333"/>
        <v>14760.70996</v>
      </c>
      <c r="X164" s="1">
        <f t="shared" si="333"/>
        <v>26400</v>
      </c>
      <c r="Y164" s="1">
        <f t="shared" si="333"/>
        <v>80800</v>
      </c>
      <c r="Z164" s="1">
        <f t="shared" si="333"/>
        <v>115500</v>
      </c>
      <c r="AA164" s="1">
        <f t="shared" si="333"/>
        <v>801179.25</v>
      </c>
      <c r="AB164" s="1" t="str">
        <f t="shared" si="333"/>
        <v/>
      </c>
      <c r="AC164" s="1" t="str">
        <f>if(Calculator!$C$8,SUM(P164:AB164),"")</f>
        <v/>
      </c>
      <c r="AE164" s="1">
        <f t="shared" si="8"/>
        <v>2711.548671</v>
      </c>
      <c r="AF164" s="1">
        <f t="shared" si="9"/>
        <v>970104.9277</v>
      </c>
      <c r="AG164" s="1">
        <f t="shared" si="10"/>
        <v>5988.302023</v>
      </c>
      <c r="AH164" s="1">
        <f t="shared" si="11"/>
        <v>6719.641728</v>
      </c>
      <c r="AI164" s="1">
        <f t="shared" si="15"/>
        <v>-731.3397051</v>
      </c>
      <c r="AJ164" s="1" t="str">
        <f t="shared" si="12"/>
        <v/>
      </c>
    </row>
    <row r="165">
      <c r="A165" s="5">
        <v>162.0</v>
      </c>
      <c r="B165" s="8">
        <f t="shared" si="4"/>
        <v>0.3383336261</v>
      </c>
      <c r="C165" s="4">
        <f t="shared" ref="C165:N165" si="334">IF(C$2="","",C$1-_xlfn.FLOOR.MATH(C$1*(180-MIN(180,$A165))/180))</f>
        <v>108</v>
      </c>
      <c r="D165" s="1" t="str">
        <f t="shared" si="334"/>
        <v/>
      </c>
      <c r="E165" s="1" t="str">
        <f t="shared" si="334"/>
        <v/>
      </c>
      <c r="F165" s="1" t="str">
        <f t="shared" si="334"/>
        <v/>
      </c>
      <c r="G165" s="1">
        <f t="shared" si="334"/>
        <v>270</v>
      </c>
      <c r="H165" s="1" t="str">
        <f t="shared" si="334"/>
        <v/>
      </c>
      <c r="I165" s="1" t="str">
        <f t="shared" si="334"/>
        <v/>
      </c>
      <c r="J165" s="1">
        <f t="shared" si="334"/>
        <v>1</v>
      </c>
      <c r="K165" s="1">
        <f t="shared" si="334"/>
        <v>6</v>
      </c>
      <c r="L165" s="1">
        <f t="shared" si="334"/>
        <v>8</v>
      </c>
      <c r="M165" s="1">
        <f t="shared" si="334"/>
        <v>11</v>
      </c>
      <c r="N165" s="1">
        <f t="shared" si="334"/>
        <v>8</v>
      </c>
      <c r="O165" s="1" t="str">
        <f t="shared" si="6"/>
        <v/>
      </c>
      <c r="P165" s="1">
        <f t="shared" ref="P165:AB165" si="335">if(C$2="","",C165*P$1)</f>
        <v>4212</v>
      </c>
      <c r="Q165" s="1" t="str">
        <f t="shared" si="335"/>
        <v/>
      </c>
      <c r="R165" s="1" t="str">
        <f t="shared" si="335"/>
        <v/>
      </c>
      <c r="S165" s="1" t="str">
        <f t="shared" si="335"/>
        <v/>
      </c>
      <c r="T165" s="1">
        <f t="shared" si="335"/>
        <v>45900</v>
      </c>
      <c r="U165" s="1" t="str">
        <f t="shared" si="335"/>
        <v/>
      </c>
      <c r="V165" s="1" t="str">
        <f t="shared" si="335"/>
        <v/>
      </c>
      <c r="W165" s="1">
        <f t="shared" si="335"/>
        <v>14760.70996</v>
      </c>
      <c r="X165" s="1">
        <f t="shared" si="335"/>
        <v>26400</v>
      </c>
      <c r="Y165" s="1">
        <f t="shared" si="335"/>
        <v>80800</v>
      </c>
      <c r="Z165" s="1">
        <f t="shared" si="335"/>
        <v>115500</v>
      </c>
      <c r="AA165" s="1">
        <f t="shared" si="335"/>
        <v>801179.25</v>
      </c>
      <c r="AB165" s="1" t="str">
        <f t="shared" si="335"/>
        <v/>
      </c>
      <c r="AC165" s="1" t="str">
        <f>if(Calculator!$C$8,SUM(P165:AB165),"")</f>
        <v/>
      </c>
      <c r="AE165" s="1">
        <f t="shared" si="8"/>
        <v>2706.669008</v>
      </c>
      <c r="AF165" s="1">
        <f t="shared" si="9"/>
        <v>972811.5968</v>
      </c>
      <c r="AG165" s="1">
        <f t="shared" si="10"/>
        <v>5968.169305</v>
      </c>
      <c r="AH165" s="1">
        <f t="shared" si="11"/>
        <v>6679.459877</v>
      </c>
      <c r="AI165" s="1">
        <f t="shared" si="15"/>
        <v>-711.2905718</v>
      </c>
      <c r="AJ165" s="1" t="str">
        <f t="shared" si="12"/>
        <v/>
      </c>
    </row>
    <row r="166">
      <c r="A166" s="5">
        <v>163.0</v>
      </c>
      <c r="B166" s="8">
        <f t="shared" si="4"/>
        <v>0.3377647791</v>
      </c>
      <c r="C166" s="4">
        <f t="shared" ref="C166:N166" si="336">IF(C$2="","",C$1-_xlfn.FLOOR.MATH(C$1*(180-MIN(180,$A166))/180))</f>
        <v>109</v>
      </c>
      <c r="D166" s="1" t="str">
        <f t="shared" si="336"/>
        <v/>
      </c>
      <c r="E166" s="1" t="str">
        <f t="shared" si="336"/>
        <v/>
      </c>
      <c r="F166" s="1" t="str">
        <f t="shared" si="336"/>
        <v/>
      </c>
      <c r="G166" s="1">
        <f t="shared" si="336"/>
        <v>272</v>
      </c>
      <c r="H166" s="1" t="str">
        <f t="shared" si="336"/>
        <v/>
      </c>
      <c r="I166" s="1" t="str">
        <f t="shared" si="336"/>
        <v/>
      </c>
      <c r="J166" s="1">
        <f t="shared" si="336"/>
        <v>1</v>
      </c>
      <c r="K166" s="1">
        <f t="shared" si="336"/>
        <v>6</v>
      </c>
      <c r="L166" s="1">
        <f t="shared" si="336"/>
        <v>8</v>
      </c>
      <c r="M166" s="1">
        <f t="shared" si="336"/>
        <v>11</v>
      </c>
      <c r="N166" s="1">
        <f t="shared" si="336"/>
        <v>8</v>
      </c>
      <c r="O166" s="1" t="str">
        <f t="shared" si="6"/>
        <v/>
      </c>
      <c r="P166" s="1">
        <f t="shared" ref="P166:AB166" si="337">if(C$2="","",C166*P$1)</f>
        <v>4251</v>
      </c>
      <c r="Q166" s="1" t="str">
        <f t="shared" si="337"/>
        <v/>
      </c>
      <c r="R166" s="1" t="str">
        <f t="shared" si="337"/>
        <v/>
      </c>
      <c r="S166" s="1" t="str">
        <f t="shared" si="337"/>
        <v/>
      </c>
      <c r="T166" s="1">
        <f t="shared" si="337"/>
        <v>46240</v>
      </c>
      <c r="U166" s="1" t="str">
        <f t="shared" si="337"/>
        <v/>
      </c>
      <c r="V166" s="1" t="str">
        <f t="shared" si="337"/>
        <v/>
      </c>
      <c r="W166" s="1">
        <f t="shared" si="337"/>
        <v>14760.70996</v>
      </c>
      <c r="X166" s="1">
        <f t="shared" si="337"/>
        <v>26400</v>
      </c>
      <c r="Y166" s="1">
        <f t="shared" si="337"/>
        <v>80800</v>
      </c>
      <c r="Z166" s="1">
        <f t="shared" si="337"/>
        <v>115500</v>
      </c>
      <c r="AA166" s="1">
        <f t="shared" si="337"/>
        <v>801179.25</v>
      </c>
      <c r="AB166" s="1" t="str">
        <f t="shared" si="337"/>
        <v/>
      </c>
      <c r="AC166" s="1" t="str">
        <f>if(Calculator!$C$8,SUM(P166:AB166),"")</f>
        <v/>
      </c>
      <c r="AE166" s="1">
        <f t="shared" si="8"/>
        <v>2702.118233</v>
      </c>
      <c r="AF166" s="1">
        <f t="shared" si="9"/>
        <v>975513.715</v>
      </c>
      <c r="AG166" s="1">
        <f t="shared" si="10"/>
        <v>5948.25436</v>
      </c>
      <c r="AH166" s="1">
        <f t="shared" si="11"/>
        <v>6641.042439</v>
      </c>
      <c r="AI166" s="1">
        <f t="shared" si="15"/>
        <v>-692.7880791</v>
      </c>
      <c r="AJ166" s="1" t="str">
        <f t="shared" si="12"/>
        <v/>
      </c>
    </row>
    <row r="167">
      <c r="A167" s="5">
        <v>164.0</v>
      </c>
      <c r="B167" s="8">
        <f t="shared" si="4"/>
        <v>0.3372343367</v>
      </c>
      <c r="C167" s="4">
        <f t="shared" ref="C167:N167" si="338">IF(C$2="","",C$1-_xlfn.FLOOR.MATH(C$1*(180-MIN(180,$A167))/180))</f>
        <v>110</v>
      </c>
      <c r="D167" s="1" t="str">
        <f t="shared" si="338"/>
        <v/>
      </c>
      <c r="E167" s="1" t="str">
        <f t="shared" si="338"/>
        <v/>
      </c>
      <c r="F167" s="1" t="str">
        <f t="shared" si="338"/>
        <v/>
      </c>
      <c r="G167" s="1">
        <f t="shared" si="338"/>
        <v>274</v>
      </c>
      <c r="H167" s="1" t="str">
        <f t="shared" si="338"/>
        <v/>
      </c>
      <c r="I167" s="1" t="str">
        <f t="shared" si="338"/>
        <v/>
      </c>
      <c r="J167" s="1">
        <f t="shared" si="338"/>
        <v>1</v>
      </c>
      <c r="K167" s="1">
        <f t="shared" si="338"/>
        <v>6</v>
      </c>
      <c r="L167" s="1">
        <f t="shared" si="338"/>
        <v>8</v>
      </c>
      <c r="M167" s="1">
        <f t="shared" si="338"/>
        <v>11</v>
      </c>
      <c r="N167" s="1">
        <f t="shared" si="338"/>
        <v>8</v>
      </c>
      <c r="O167" s="1" t="str">
        <f t="shared" si="6"/>
        <v/>
      </c>
      <c r="P167" s="1">
        <f t="shared" ref="P167:AB167" si="339">if(C$2="","",C167*P$1)</f>
        <v>4290</v>
      </c>
      <c r="Q167" s="1" t="str">
        <f t="shared" si="339"/>
        <v/>
      </c>
      <c r="R167" s="1" t="str">
        <f t="shared" si="339"/>
        <v/>
      </c>
      <c r="S167" s="1" t="str">
        <f t="shared" si="339"/>
        <v/>
      </c>
      <c r="T167" s="1">
        <f t="shared" si="339"/>
        <v>46580</v>
      </c>
      <c r="U167" s="1" t="str">
        <f t="shared" si="339"/>
        <v/>
      </c>
      <c r="V167" s="1" t="str">
        <f t="shared" si="339"/>
        <v/>
      </c>
      <c r="W167" s="1">
        <f t="shared" si="339"/>
        <v>14760.70996</v>
      </c>
      <c r="X167" s="1">
        <f t="shared" si="339"/>
        <v>26400</v>
      </c>
      <c r="Y167" s="1">
        <f t="shared" si="339"/>
        <v>80800</v>
      </c>
      <c r="Z167" s="1">
        <f t="shared" si="339"/>
        <v>115500</v>
      </c>
      <c r="AA167" s="1">
        <f t="shared" si="339"/>
        <v>801179.25</v>
      </c>
      <c r="AB167" s="1" t="str">
        <f t="shared" si="339"/>
        <v/>
      </c>
      <c r="AC167" s="1" t="str">
        <f>if(Calculator!$C$8,SUM(P167:AB167),"")</f>
        <v/>
      </c>
      <c r="AE167" s="1">
        <f t="shared" si="8"/>
        <v>2697.874694</v>
      </c>
      <c r="AF167" s="1">
        <f t="shared" si="9"/>
        <v>978211.5897</v>
      </c>
      <c r="AG167" s="1">
        <f t="shared" si="10"/>
        <v>5928.555089</v>
      </c>
      <c r="AH167" s="1">
        <f t="shared" si="11"/>
        <v>6603.090666</v>
      </c>
      <c r="AI167" s="1">
        <f t="shared" si="15"/>
        <v>-674.5355775</v>
      </c>
      <c r="AJ167" s="1" t="str">
        <f t="shared" si="12"/>
        <v/>
      </c>
    </row>
    <row r="168">
      <c r="A168" s="5">
        <v>165.0</v>
      </c>
      <c r="B168" s="8">
        <f t="shared" si="4"/>
        <v>0.3367397621</v>
      </c>
      <c r="C168" s="4">
        <f t="shared" ref="C168:N168" si="340">IF(C$2="","",C$1-_xlfn.FLOOR.MATH(C$1*(180-MIN(180,$A168))/180))</f>
        <v>110</v>
      </c>
      <c r="D168" s="1" t="str">
        <f t="shared" si="340"/>
        <v/>
      </c>
      <c r="E168" s="1" t="str">
        <f t="shared" si="340"/>
        <v/>
      </c>
      <c r="F168" s="1" t="str">
        <f t="shared" si="340"/>
        <v/>
      </c>
      <c r="G168" s="1">
        <f t="shared" si="340"/>
        <v>275</v>
      </c>
      <c r="H168" s="1" t="str">
        <f t="shared" si="340"/>
        <v/>
      </c>
      <c r="I168" s="1" t="str">
        <f t="shared" si="340"/>
        <v/>
      </c>
      <c r="J168" s="1">
        <f t="shared" si="340"/>
        <v>1</v>
      </c>
      <c r="K168" s="1">
        <f t="shared" si="340"/>
        <v>6</v>
      </c>
      <c r="L168" s="1">
        <f t="shared" si="340"/>
        <v>8</v>
      </c>
      <c r="M168" s="1">
        <f t="shared" si="340"/>
        <v>11</v>
      </c>
      <c r="N168" s="1">
        <f t="shared" si="340"/>
        <v>8</v>
      </c>
      <c r="O168" s="1" t="str">
        <f t="shared" si="6"/>
        <v/>
      </c>
      <c r="P168" s="1">
        <f t="shared" ref="P168:AB168" si="341">if(C$2="","",C168*P$1)</f>
        <v>4290</v>
      </c>
      <c r="Q168" s="1" t="str">
        <f t="shared" si="341"/>
        <v/>
      </c>
      <c r="R168" s="1" t="str">
        <f t="shared" si="341"/>
        <v/>
      </c>
      <c r="S168" s="1" t="str">
        <f t="shared" si="341"/>
        <v/>
      </c>
      <c r="T168" s="1">
        <f t="shared" si="341"/>
        <v>46750</v>
      </c>
      <c r="U168" s="1" t="str">
        <f t="shared" si="341"/>
        <v/>
      </c>
      <c r="V168" s="1" t="str">
        <f t="shared" si="341"/>
        <v/>
      </c>
      <c r="W168" s="1">
        <f t="shared" si="341"/>
        <v>14760.70996</v>
      </c>
      <c r="X168" s="1">
        <f t="shared" si="341"/>
        <v>26400</v>
      </c>
      <c r="Y168" s="1">
        <f t="shared" si="341"/>
        <v>80800</v>
      </c>
      <c r="Z168" s="1">
        <f t="shared" si="341"/>
        <v>115500</v>
      </c>
      <c r="AA168" s="1">
        <f t="shared" si="341"/>
        <v>801179.25</v>
      </c>
      <c r="AB168" s="1" t="str">
        <f t="shared" si="341"/>
        <v/>
      </c>
      <c r="AC168" s="1" t="str">
        <f>if(Calculator!$C$8,SUM(P168:AB168),"")</f>
        <v/>
      </c>
      <c r="AE168" s="1">
        <f t="shared" si="8"/>
        <v>2693.918097</v>
      </c>
      <c r="AF168" s="1">
        <f t="shared" si="9"/>
        <v>980905.5078</v>
      </c>
      <c r="AG168" s="1">
        <f t="shared" si="10"/>
        <v>5909.069324</v>
      </c>
      <c r="AH168" s="1">
        <f t="shared" si="11"/>
        <v>6564.337108</v>
      </c>
      <c r="AI168" s="1">
        <f t="shared" si="15"/>
        <v>-655.2677843</v>
      </c>
      <c r="AJ168" s="1" t="str">
        <f t="shared" si="12"/>
        <v/>
      </c>
    </row>
    <row r="169">
      <c r="A169" s="5">
        <v>166.0</v>
      </c>
      <c r="B169" s="8">
        <f t="shared" si="4"/>
        <v>0.3362786787</v>
      </c>
      <c r="C169" s="4">
        <f t="shared" ref="C169:N169" si="342">IF(C$2="","",C$1-_xlfn.FLOOR.MATH(C$1*(180-MIN(180,$A169))/180))</f>
        <v>111</v>
      </c>
      <c r="D169" s="1" t="str">
        <f t="shared" si="342"/>
        <v/>
      </c>
      <c r="E169" s="1" t="str">
        <f t="shared" si="342"/>
        <v/>
      </c>
      <c r="F169" s="1" t="str">
        <f t="shared" si="342"/>
        <v/>
      </c>
      <c r="G169" s="1">
        <f t="shared" si="342"/>
        <v>277</v>
      </c>
      <c r="H169" s="1" t="str">
        <f t="shared" si="342"/>
        <v/>
      </c>
      <c r="I169" s="1" t="str">
        <f t="shared" si="342"/>
        <v/>
      </c>
      <c r="J169" s="1">
        <f t="shared" si="342"/>
        <v>1</v>
      </c>
      <c r="K169" s="1">
        <f t="shared" si="342"/>
        <v>6</v>
      </c>
      <c r="L169" s="1">
        <f t="shared" si="342"/>
        <v>8</v>
      </c>
      <c r="M169" s="1">
        <f t="shared" si="342"/>
        <v>12</v>
      </c>
      <c r="N169" s="1">
        <f t="shared" si="342"/>
        <v>8</v>
      </c>
      <c r="O169" s="1" t="str">
        <f t="shared" si="6"/>
        <v/>
      </c>
      <c r="P169" s="1">
        <f t="shared" ref="P169:AB169" si="343">if(C$2="","",C169*P$1)</f>
        <v>4329</v>
      </c>
      <c r="Q169" s="1" t="str">
        <f t="shared" si="343"/>
        <v/>
      </c>
      <c r="R169" s="1" t="str">
        <f t="shared" si="343"/>
        <v/>
      </c>
      <c r="S169" s="1" t="str">
        <f t="shared" si="343"/>
        <v/>
      </c>
      <c r="T169" s="1">
        <f t="shared" si="343"/>
        <v>47090</v>
      </c>
      <c r="U169" s="1" t="str">
        <f t="shared" si="343"/>
        <v/>
      </c>
      <c r="V169" s="1" t="str">
        <f t="shared" si="343"/>
        <v/>
      </c>
      <c r="W169" s="1">
        <f t="shared" si="343"/>
        <v>14760.70996</v>
      </c>
      <c r="X169" s="1">
        <f t="shared" si="343"/>
        <v>26400</v>
      </c>
      <c r="Y169" s="1">
        <f t="shared" si="343"/>
        <v>80800</v>
      </c>
      <c r="Z169" s="1">
        <f t="shared" si="343"/>
        <v>126000</v>
      </c>
      <c r="AA169" s="1">
        <f t="shared" si="343"/>
        <v>801179.25</v>
      </c>
      <c r="AB169" s="1" t="str">
        <f t="shared" si="343"/>
        <v/>
      </c>
      <c r="AC169" s="1" t="str">
        <f>if(Calculator!$C$8,SUM(P169:AB169),"")</f>
        <v/>
      </c>
      <c r="AE169" s="1">
        <f t="shared" si="8"/>
        <v>2690.22943</v>
      </c>
      <c r="AF169" s="1">
        <f t="shared" si="9"/>
        <v>983595.7372</v>
      </c>
      <c r="AG169" s="1">
        <f t="shared" si="10"/>
        <v>5889.794834</v>
      </c>
      <c r="AH169" s="1">
        <f t="shared" si="11"/>
        <v>6590.173413</v>
      </c>
      <c r="AI169" s="1">
        <f t="shared" si="15"/>
        <v>-700.3785794</v>
      </c>
      <c r="AJ169" s="1" t="str">
        <f t="shared" si="12"/>
        <v/>
      </c>
    </row>
    <row r="170">
      <c r="A170" s="5">
        <v>167.0</v>
      </c>
      <c r="B170" s="8">
        <f t="shared" si="4"/>
        <v>0.335848861</v>
      </c>
      <c r="C170" s="4">
        <f t="shared" ref="C170:N170" si="344">IF(C$2="","",C$1-_xlfn.FLOOR.MATH(C$1*(180-MIN(180,$A170))/180))</f>
        <v>112</v>
      </c>
      <c r="D170" s="1" t="str">
        <f t="shared" si="344"/>
        <v/>
      </c>
      <c r="E170" s="1" t="str">
        <f t="shared" si="344"/>
        <v/>
      </c>
      <c r="F170" s="1" t="str">
        <f t="shared" si="344"/>
        <v/>
      </c>
      <c r="G170" s="1">
        <f t="shared" si="344"/>
        <v>279</v>
      </c>
      <c r="H170" s="1" t="str">
        <f t="shared" si="344"/>
        <v/>
      </c>
      <c r="I170" s="1" t="str">
        <f t="shared" si="344"/>
        <v/>
      </c>
      <c r="J170" s="1">
        <f t="shared" si="344"/>
        <v>1</v>
      </c>
      <c r="K170" s="1">
        <f t="shared" si="344"/>
        <v>6</v>
      </c>
      <c r="L170" s="1">
        <f t="shared" si="344"/>
        <v>8</v>
      </c>
      <c r="M170" s="1">
        <f t="shared" si="344"/>
        <v>12</v>
      </c>
      <c r="N170" s="1">
        <f t="shared" si="344"/>
        <v>8</v>
      </c>
      <c r="O170" s="1" t="str">
        <f t="shared" si="6"/>
        <v/>
      </c>
      <c r="P170" s="1">
        <f t="shared" ref="P170:AB170" si="345">if(C$2="","",C170*P$1)</f>
        <v>4368</v>
      </c>
      <c r="Q170" s="1" t="str">
        <f t="shared" si="345"/>
        <v/>
      </c>
      <c r="R170" s="1" t="str">
        <f t="shared" si="345"/>
        <v/>
      </c>
      <c r="S170" s="1" t="str">
        <f t="shared" si="345"/>
        <v/>
      </c>
      <c r="T170" s="1">
        <f t="shared" si="345"/>
        <v>47430</v>
      </c>
      <c r="U170" s="1" t="str">
        <f t="shared" si="345"/>
        <v/>
      </c>
      <c r="V170" s="1" t="str">
        <f t="shared" si="345"/>
        <v/>
      </c>
      <c r="W170" s="1">
        <f t="shared" si="345"/>
        <v>14760.70996</v>
      </c>
      <c r="X170" s="1">
        <f t="shared" si="345"/>
        <v>26400</v>
      </c>
      <c r="Y170" s="1">
        <f t="shared" si="345"/>
        <v>80800</v>
      </c>
      <c r="Z170" s="1">
        <f t="shared" si="345"/>
        <v>126000</v>
      </c>
      <c r="AA170" s="1">
        <f t="shared" si="345"/>
        <v>801179.25</v>
      </c>
      <c r="AB170" s="1" t="str">
        <f t="shared" si="345"/>
        <v/>
      </c>
      <c r="AC170" s="1" t="str">
        <f>if(Calculator!$C$8,SUM(P170:AB170),"")</f>
        <v/>
      </c>
      <c r="AE170" s="1">
        <f t="shared" si="8"/>
        <v>2686.790888</v>
      </c>
      <c r="AF170" s="1">
        <f t="shared" si="9"/>
        <v>986282.5281</v>
      </c>
      <c r="AG170" s="1">
        <f t="shared" si="10"/>
        <v>5870.729334</v>
      </c>
      <c r="AH170" s="1">
        <f t="shared" si="11"/>
        <v>6553.202143</v>
      </c>
      <c r="AI170" s="1">
        <f t="shared" si="15"/>
        <v>-682.4728087</v>
      </c>
      <c r="AJ170" s="1" t="str">
        <f t="shared" si="12"/>
        <v/>
      </c>
    </row>
    <row r="171">
      <c r="A171" s="5">
        <v>168.0</v>
      </c>
      <c r="B171" s="8">
        <f t="shared" si="4"/>
        <v>0.3354482257</v>
      </c>
      <c r="C171" s="4">
        <f t="shared" ref="C171:N171" si="346">IF(C$2="","",C$1-_xlfn.FLOOR.MATH(C$1*(180-MIN(180,$A171))/180))</f>
        <v>112</v>
      </c>
      <c r="D171" s="1" t="str">
        <f t="shared" si="346"/>
        <v/>
      </c>
      <c r="E171" s="1" t="str">
        <f t="shared" si="346"/>
        <v/>
      </c>
      <c r="F171" s="1" t="str">
        <f t="shared" si="346"/>
        <v/>
      </c>
      <c r="G171" s="1">
        <f t="shared" si="346"/>
        <v>280</v>
      </c>
      <c r="H171" s="1" t="str">
        <f t="shared" si="346"/>
        <v/>
      </c>
      <c r="I171" s="1" t="str">
        <f t="shared" si="346"/>
        <v/>
      </c>
      <c r="J171" s="1">
        <f t="shared" si="346"/>
        <v>1</v>
      </c>
      <c r="K171" s="1">
        <f t="shared" si="346"/>
        <v>6</v>
      </c>
      <c r="L171" s="1">
        <f t="shared" si="346"/>
        <v>8</v>
      </c>
      <c r="M171" s="1">
        <f t="shared" si="346"/>
        <v>12</v>
      </c>
      <c r="N171" s="1">
        <f t="shared" si="346"/>
        <v>8</v>
      </c>
      <c r="O171" s="1" t="str">
        <f t="shared" si="6"/>
        <v/>
      </c>
      <c r="P171" s="1">
        <f t="shared" ref="P171:AB171" si="347">if(C$2="","",C171*P$1)</f>
        <v>4368</v>
      </c>
      <c r="Q171" s="1" t="str">
        <f t="shared" si="347"/>
        <v/>
      </c>
      <c r="R171" s="1" t="str">
        <f t="shared" si="347"/>
        <v/>
      </c>
      <c r="S171" s="1" t="str">
        <f t="shared" si="347"/>
        <v/>
      </c>
      <c r="T171" s="1">
        <f t="shared" si="347"/>
        <v>47600</v>
      </c>
      <c r="U171" s="1" t="str">
        <f t="shared" si="347"/>
        <v/>
      </c>
      <c r="V171" s="1" t="str">
        <f t="shared" si="347"/>
        <v/>
      </c>
      <c r="W171" s="1">
        <f t="shared" si="347"/>
        <v>14760.70996</v>
      </c>
      <c r="X171" s="1">
        <f t="shared" si="347"/>
        <v>26400</v>
      </c>
      <c r="Y171" s="1">
        <f t="shared" si="347"/>
        <v>80800</v>
      </c>
      <c r="Z171" s="1">
        <f t="shared" si="347"/>
        <v>126000</v>
      </c>
      <c r="AA171" s="1">
        <f t="shared" si="347"/>
        <v>801179.25</v>
      </c>
      <c r="AB171" s="1" t="str">
        <f t="shared" si="347"/>
        <v/>
      </c>
      <c r="AC171" s="1" t="str">
        <f>if(Calculator!$C$8,SUM(P171:AB171),"")</f>
        <v/>
      </c>
      <c r="AE171" s="1">
        <f t="shared" si="8"/>
        <v>2683.585805</v>
      </c>
      <c r="AF171" s="1">
        <f t="shared" si="9"/>
        <v>988966.1139</v>
      </c>
      <c r="AG171" s="1">
        <f t="shared" si="10"/>
        <v>5851.870496</v>
      </c>
      <c r="AH171" s="1">
        <f t="shared" si="11"/>
        <v>6515.431716</v>
      </c>
      <c r="AI171" s="1">
        <f t="shared" si="15"/>
        <v>-663.5612193</v>
      </c>
      <c r="AJ171" s="1" t="str">
        <f t="shared" si="12"/>
        <v/>
      </c>
    </row>
    <row r="172">
      <c r="A172" s="5">
        <v>169.0</v>
      </c>
      <c r="B172" s="8">
        <f t="shared" si="4"/>
        <v>0.3350748234</v>
      </c>
      <c r="C172" s="4">
        <f t="shared" ref="C172:N172" si="348">IF(C$2="","",C$1-_xlfn.FLOOR.MATH(C$1*(180-MIN(180,$A172))/180))</f>
        <v>113</v>
      </c>
      <c r="D172" s="1" t="str">
        <f t="shared" si="348"/>
        <v/>
      </c>
      <c r="E172" s="1" t="str">
        <f t="shared" si="348"/>
        <v/>
      </c>
      <c r="F172" s="1" t="str">
        <f t="shared" si="348"/>
        <v/>
      </c>
      <c r="G172" s="1">
        <f t="shared" si="348"/>
        <v>282</v>
      </c>
      <c r="H172" s="1" t="str">
        <f t="shared" si="348"/>
        <v/>
      </c>
      <c r="I172" s="1" t="str">
        <f t="shared" si="348"/>
        <v/>
      </c>
      <c r="J172" s="1">
        <f t="shared" si="348"/>
        <v>1</v>
      </c>
      <c r="K172" s="1">
        <f t="shared" si="348"/>
        <v>6</v>
      </c>
      <c r="L172" s="1">
        <f t="shared" si="348"/>
        <v>8</v>
      </c>
      <c r="M172" s="1">
        <f t="shared" si="348"/>
        <v>12</v>
      </c>
      <c r="N172" s="1">
        <f t="shared" si="348"/>
        <v>8</v>
      </c>
      <c r="O172" s="1" t="str">
        <f t="shared" si="6"/>
        <v/>
      </c>
      <c r="P172" s="1">
        <f t="shared" ref="P172:AB172" si="349">if(C$2="","",C172*P$1)</f>
        <v>4407</v>
      </c>
      <c r="Q172" s="1" t="str">
        <f t="shared" si="349"/>
        <v/>
      </c>
      <c r="R172" s="1" t="str">
        <f t="shared" si="349"/>
        <v/>
      </c>
      <c r="S172" s="1" t="str">
        <f t="shared" si="349"/>
        <v/>
      </c>
      <c r="T172" s="1">
        <f t="shared" si="349"/>
        <v>47940</v>
      </c>
      <c r="U172" s="1" t="str">
        <f t="shared" si="349"/>
        <v/>
      </c>
      <c r="V172" s="1" t="str">
        <f t="shared" si="349"/>
        <v/>
      </c>
      <c r="W172" s="1">
        <f t="shared" si="349"/>
        <v>14760.70996</v>
      </c>
      <c r="X172" s="1">
        <f t="shared" si="349"/>
        <v>26400</v>
      </c>
      <c r="Y172" s="1">
        <f t="shared" si="349"/>
        <v>80800</v>
      </c>
      <c r="Z172" s="1">
        <f t="shared" si="349"/>
        <v>126000</v>
      </c>
      <c r="AA172" s="1">
        <f t="shared" si="349"/>
        <v>801179.25</v>
      </c>
      <c r="AB172" s="1" t="str">
        <f t="shared" si="349"/>
        <v/>
      </c>
      <c r="AC172" s="1" t="str">
        <f>if(Calculator!$C$8,SUM(P172:AB172),"")</f>
        <v/>
      </c>
      <c r="AE172" s="1">
        <f t="shared" si="8"/>
        <v>2680.598587</v>
      </c>
      <c r="AF172" s="1">
        <f t="shared" si="9"/>
        <v>991646.7125</v>
      </c>
      <c r="AG172" s="1">
        <f t="shared" si="10"/>
        <v>5833.215956</v>
      </c>
      <c r="AH172" s="1">
        <f t="shared" si="11"/>
        <v>6479.335059</v>
      </c>
      <c r="AI172" s="1">
        <f t="shared" si="15"/>
        <v>-646.1191028</v>
      </c>
      <c r="AJ172" s="1" t="str">
        <f t="shared" si="12"/>
        <v/>
      </c>
    </row>
    <row r="173">
      <c r="A173" s="5">
        <v>170.0</v>
      </c>
      <c r="B173" s="8">
        <f t="shared" si="4"/>
        <v>0.3347268307</v>
      </c>
      <c r="C173" s="4">
        <f t="shared" ref="C173:N173" si="350">IF(C$2="","",C$1-_xlfn.FLOOR.MATH(C$1*(180-MIN(180,$A173))/180))</f>
        <v>114</v>
      </c>
      <c r="D173" s="1" t="str">
        <f t="shared" si="350"/>
        <v/>
      </c>
      <c r="E173" s="1" t="str">
        <f t="shared" si="350"/>
        <v/>
      </c>
      <c r="F173" s="1" t="str">
        <f t="shared" si="350"/>
        <v/>
      </c>
      <c r="G173" s="1">
        <f t="shared" si="350"/>
        <v>284</v>
      </c>
      <c r="H173" s="1" t="str">
        <f t="shared" si="350"/>
        <v/>
      </c>
      <c r="I173" s="1" t="str">
        <f t="shared" si="350"/>
        <v/>
      </c>
      <c r="J173" s="1">
        <f t="shared" si="350"/>
        <v>1</v>
      </c>
      <c r="K173" s="1">
        <f t="shared" si="350"/>
        <v>6</v>
      </c>
      <c r="L173" s="1">
        <f t="shared" si="350"/>
        <v>8</v>
      </c>
      <c r="M173" s="1">
        <f t="shared" si="350"/>
        <v>12</v>
      </c>
      <c r="N173" s="1">
        <f t="shared" si="350"/>
        <v>8</v>
      </c>
      <c r="O173" s="1" t="str">
        <f t="shared" si="6"/>
        <v/>
      </c>
      <c r="P173" s="1">
        <f t="shared" ref="P173:AB173" si="351">if(C$2="","",C173*P$1)</f>
        <v>4446</v>
      </c>
      <c r="Q173" s="1" t="str">
        <f t="shared" si="351"/>
        <v/>
      </c>
      <c r="R173" s="1" t="str">
        <f t="shared" si="351"/>
        <v/>
      </c>
      <c r="S173" s="1" t="str">
        <f t="shared" si="351"/>
        <v/>
      </c>
      <c r="T173" s="1">
        <f t="shared" si="351"/>
        <v>48280</v>
      </c>
      <c r="U173" s="1" t="str">
        <f t="shared" si="351"/>
        <v/>
      </c>
      <c r="V173" s="1" t="str">
        <f t="shared" si="351"/>
        <v/>
      </c>
      <c r="W173" s="1">
        <f t="shared" si="351"/>
        <v>14760.70996</v>
      </c>
      <c r="X173" s="1">
        <f t="shared" si="351"/>
        <v>26400</v>
      </c>
      <c r="Y173" s="1">
        <f t="shared" si="351"/>
        <v>80800</v>
      </c>
      <c r="Z173" s="1">
        <f t="shared" si="351"/>
        <v>126000</v>
      </c>
      <c r="AA173" s="1">
        <f t="shared" si="351"/>
        <v>801179.25</v>
      </c>
      <c r="AB173" s="1" t="str">
        <f t="shared" si="351"/>
        <v/>
      </c>
      <c r="AC173" s="1" t="str">
        <f>if(Calculator!$C$8,SUM(P173:AB173),"")</f>
        <v/>
      </c>
      <c r="AE173" s="1">
        <f t="shared" si="8"/>
        <v>2677.814646</v>
      </c>
      <c r="AF173" s="1">
        <f t="shared" si="9"/>
        <v>994324.5271</v>
      </c>
      <c r="AG173" s="1">
        <f t="shared" si="10"/>
        <v>5814.763317</v>
      </c>
      <c r="AH173" s="1">
        <f t="shared" si="11"/>
        <v>6443.660585</v>
      </c>
      <c r="AI173" s="1">
        <f t="shared" si="15"/>
        <v>-628.897268</v>
      </c>
      <c r="AJ173" s="1" t="str">
        <f t="shared" si="12"/>
        <v/>
      </c>
    </row>
    <row r="174">
      <c r="A174" s="5">
        <v>171.0</v>
      </c>
      <c r="B174" s="8">
        <f t="shared" si="4"/>
        <v>0.3344025427</v>
      </c>
      <c r="C174" s="4">
        <f t="shared" ref="C174:N174" si="352">IF(C$2="","",C$1-_xlfn.FLOOR.MATH(C$1*(180-MIN(180,$A174))/180))</f>
        <v>114</v>
      </c>
      <c r="D174" s="1" t="str">
        <f t="shared" si="352"/>
        <v/>
      </c>
      <c r="E174" s="1" t="str">
        <f t="shared" si="352"/>
        <v/>
      </c>
      <c r="F174" s="1" t="str">
        <f t="shared" si="352"/>
        <v/>
      </c>
      <c r="G174" s="1">
        <f t="shared" si="352"/>
        <v>285</v>
      </c>
      <c r="H174" s="1" t="str">
        <f t="shared" si="352"/>
        <v/>
      </c>
      <c r="I174" s="1" t="str">
        <f t="shared" si="352"/>
        <v/>
      </c>
      <c r="J174" s="1">
        <f t="shared" si="352"/>
        <v>1</v>
      </c>
      <c r="K174" s="1">
        <f t="shared" si="352"/>
        <v>6</v>
      </c>
      <c r="L174" s="1">
        <f t="shared" si="352"/>
        <v>8</v>
      </c>
      <c r="M174" s="1">
        <f t="shared" si="352"/>
        <v>12</v>
      </c>
      <c r="N174" s="1">
        <f t="shared" si="352"/>
        <v>8</v>
      </c>
      <c r="O174" s="1" t="str">
        <f t="shared" si="6"/>
        <v/>
      </c>
      <c r="P174" s="1">
        <f t="shared" ref="P174:AB174" si="353">if(C$2="","",C174*P$1)</f>
        <v>4446</v>
      </c>
      <c r="Q174" s="1" t="str">
        <f t="shared" si="353"/>
        <v/>
      </c>
      <c r="R174" s="1" t="str">
        <f t="shared" si="353"/>
        <v/>
      </c>
      <c r="S174" s="1" t="str">
        <f t="shared" si="353"/>
        <v/>
      </c>
      <c r="T174" s="1">
        <f t="shared" si="353"/>
        <v>48450</v>
      </c>
      <c r="U174" s="1" t="str">
        <f t="shared" si="353"/>
        <v/>
      </c>
      <c r="V174" s="1" t="str">
        <f t="shared" si="353"/>
        <v/>
      </c>
      <c r="W174" s="1">
        <f t="shared" si="353"/>
        <v>14760.70996</v>
      </c>
      <c r="X174" s="1">
        <f t="shared" si="353"/>
        <v>26400</v>
      </c>
      <c r="Y174" s="1">
        <f t="shared" si="353"/>
        <v>80800</v>
      </c>
      <c r="Z174" s="1">
        <f t="shared" si="353"/>
        <v>126000</v>
      </c>
      <c r="AA174" s="1">
        <f t="shared" si="353"/>
        <v>801179.25</v>
      </c>
      <c r="AB174" s="1" t="str">
        <f t="shared" si="353"/>
        <v/>
      </c>
      <c r="AC174" s="1" t="str">
        <f>if(Calculator!$C$8,SUM(P174:AB174),"")</f>
        <v/>
      </c>
      <c r="AE174" s="1">
        <f t="shared" si="8"/>
        <v>2675.220342</v>
      </c>
      <c r="AF174" s="1">
        <f t="shared" si="9"/>
        <v>996999.7475</v>
      </c>
      <c r="AG174" s="1">
        <f t="shared" si="10"/>
        <v>5796.51016</v>
      </c>
      <c r="AH174" s="1">
        <f t="shared" si="11"/>
        <v>6407.185814</v>
      </c>
      <c r="AI174" s="1">
        <f t="shared" si="15"/>
        <v>-610.675654</v>
      </c>
      <c r="AJ174" s="1" t="str">
        <f t="shared" si="12"/>
        <v/>
      </c>
    </row>
    <row r="175">
      <c r="A175" s="5">
        <v>172.0</v>
      </c>
      <c r="B175" s="8">
        <f t="shared" si="4"/>
        <v>0.3341003657</v>
      </c>
      <c r="C175" s="4">
        <f t="shared" ref="C175:N175" si="354">IF(C$2="","",C$1-_xlfn.FLOOR.MATH(C$1*(180-MIN(180,$A175))/180))</f>
        <v>115</v>
      </c>
      <c r="D175" s="1" t="str">
        <f t="shared" si="354"/>
        <v/>
      </c>
      <c r="E175" s="1" t="str">
        <f t="shared" si="354"/>
        <v/>
      </c>
      <c r="F175" s="1" t="str">
        <f t="shared" si="354"/>
        <v/>
      </c>
      <c r="G175" s="1">
        <f t="shared" si="354"/>
        <v>287</v>
      </c>
      <c r="H175" s="1" t="str">
        <f t="shared" si="354"/>
        <v/>
      </c>
      <c r="I175" s="1" t="str">
        <f t="shared" si="354"/>
        <v/>
      </c>
      <c r="J175" s="1">
        <f t="shared" si="354"/>
        <v>1</v>
      </c>
      <c r="K175" s="1">
        <f t="shared" si="354"/>
        <v>6</v>
      </c>
      <c r="L175" s="1">
        <f t="shared" si="354"/>
        <v>8</v>
      </c>
      <c r="M175" s="1">
        <f t="shared" si="354"/>
        <v>12</v>
      </c>
      <c r="N175" s="1">
        <f t="shared" si="354"/>
        <v>8</v>
      </c>
      <c r="O175" s="1" t="str">
        <f t="shared" si="6"/>
        <v/>
      </c>
      <c r="P175" s="1">
        <f t="shared" ref="P175:AB175" si="355">if(C$2="","",C175*P$1)</f>
        <v>4485</v>
      </c>
      <c r="Q175" s="1" t="str">
        <f t="shared" si="355"/>
        <v/>
      </c>
      <c r="R175" s="1" t="str">
        <f t="shared" si="355"/>
        <v/>
      </c>
      <c r="S175" s="1" t="str">
        <f t="shared" si="355"/>
        <v/>
      </c>
      <c r="T175" s="1">
        <f t="shared" si="355"/>
        <v>48790</v>
      </c>
      <c r="U175" s="1" t="str">
        <f t="shared" si="355"/>
        <v/>
      </c>
      <c r="V175" s="1" t="str">
        <f t="shared" si="355"/>
        <v/>
      </c>
      <c r="W175" s="1">
        <f t="shared" si="355"/>
        <v>14760.70996</v>
      </c>
      <c r="X175" s="1">
        <f t="shared" si="355"/>
        <v>26400</v>
      </c>
      <c r="Y175" s="1">
        <f t="shared" si="355"/>
        <v>80800</v>
      </c>
      <c r="Z175" s="1">
        <f t="shared" si="355"/>
        <v>126000</v>
      </c>
      <c r="AA175" s="1">
        <f t="shared" si="355"/>
        <v>801179.25</v>
      </c>
      <c r="AB175" s="1" t="str">
        <f t="shared" si="355"/>
        <v/>
      </c>
      <c r="AC175" s="1" t="str">
        <f>if(Calculator!$C$8,SUM(P175:AB175),"")</f>
        <v/>
      </c>
      <c r="AE175" s="1">
        <f t="shared" si="8"/>
        <v>2672.802925</v>
      </c>
      <c r="AF175" s="1">
        <f t="shared" si="9"/>
        <v>999672.5504</v>
      </c>
      <c r="AG175" s="1">
        <f t="shared" si="10"/>
        <v>5778.454049</v>
      </c>
      <c r="AH175" s="1">
        <f t="shared" si="11"/>
        <v>6372.340809</v>
      </c>
      <c r="AI175" s="1">
        <f t="shared" si="15"/>
        <v>-593.8867605</v>
      </c>
      <c r="AJ175" s="1" t="str">
        <f t="shared" si="12"/>
        <v/>
      </c>
    </row>
    <row r="176">
      <c r="A176" s="5">
        <v>173.0</v>
      </c>
      <c r="B176" s="8">
        <f t="shared" si="4"/>
        <v>0.3338188101</v>
      </c>
      <c r="C176" s="4">
        <f t="shared" ref="C176:N176" si="356">IF(C$2="","",C$1-_xlfn.FLOOR.MATH(C$1*(180-MIN(180,$A176))/180))</f>
        <v>116</v>
      </c>
      <c r="D176" s="1" t="str">
        <f t="shared" si="356"/>
        <v/>
      </c>
      <c r="E176" s="1" t="str">
        <f t="shared" si="356"/>
        <v/>
      </c>
      <c r="F176" s="1" t="str">
        <f t="shared" si="356"/>
        <v/>
      </c>
      <c r="G176" s="1">
        <f t="shared" si="356"/>
        <v>289</v>
      </c>
      <c r="H176" s="1" t="str">
        <f t="shared" si="356"/>
        <v/>
      </c>
      <c r="I176" s="1" t="str">
        <f t="shared" si="356"/>
        <v/>
      </c>
      <c r="J176" s="1">
        <f t="shared" si="356"/>
        <v>1</v>
      </c>
      <c r="K176" s="1">
        <f t="shared" si="356"/>
        <v>6</v>
      </c>
      <c r="L176" s="1">
        <f t="shared" si="356"/>
        <v>8</v>
      </c>
      <c r="M176" s="1">
        <f t="shared" si="356"/>
        <v>12</v>
      </c>
      <c r="N176" s="1">
        <f t="shared" si="356"/>
        <v>8</v>
      </c>
      <c r="O176" s="1" t="str">
        <f t="shared" si="6"/>
        <v/>
      </c>
      <c r="P176" s="1">
        <f t="shared" ref="P176:AB176" si="357">if(C$2="","",C176*P$1)</f>
        <v>4524</v>
      </c>
      <c r="Q176" s="1" t="str">
        <f t="shared" si="357"/>
        <v/>
      </c>
      <c r="R176" s="1" t="str">
        <f t="shared" si="357"/>
        <v/>
      </c>
      <c r="S176" s="1" t="str">
        <f t="shared" si="357"/>
        <v/>
      </c>
      <c r="T176" s="1">
        <f t="shared" si="357"/>
        <v>49130</v>
      </c>
      <c r="U176" s="1" t="str">
        <f t="shared" si="357"/>
        <v/>
      </c>
      <c r="V176" s="1" t="str">
        <f t="shared" si="357"/>
        <v/>
      </c>
      <c r="W176" s="1">
        <f t="shared" si="357"/>
        <v>14760.70996</v>
      </c>
      <c r="X176" s="1">
        <f t="shared" si="357"/>
        <v>26400</v>
      </c>
      <c r="Y176" s="1">
        <f t="shared" si="357"/>
        <v>80800</v>
      </c>
      <c r="Z176" s="1">
        <f t="shared" si="357"/>
        <v>126000</v>
      </c>
      <c r="AA176" s="1">
        <f t="shared" si="357"/>
        <v>801179.25</v>
      </c>
      <c r="AB176" s="1" t="str">
        <f t="shared" si="357"/>
        <v/>
      </c>
      <c r="AC176" s="1" t="str">
        <f>if(Calculator!$C$8,SUM(P176:AB176),"")</f>
        <v/>
      </c>
      <c r="AE176" s="1">
        <f t="shared" si="8"/>
        <v>2670.550481</v>
      </c>
      <c r="AF176" s="1">
        <f t="shared" si="9"/>
        <v>1002343.101</v>
      </c>
      <c r="AG176" s="1">
        <f t="shared" si="10"/>
        <v>5760.592534</v>
      </c>
      <c r="AH176" s="1">
        <f t="shared" si="11"/>
        <v>6337.896322</v>
      </c>
      <c r="AI176" s="1">
        <f t="shared" si="15"/>
        <v>-577.3037878</v>
      </c>
      <c r="AJ176" s="1" t="str">
        <f t="shared" si="12"/>
        <v/>
      </c>
    </row>
    <row r="177">
      <c r="A177" s="5">
        <v>174.0</v>
      </c>
      <c r="B177" s="8">
        <f t="shared" si="4"/>
        <v>0.3335564846</v>
      </c>
      <c r="C177" s="4">
        <f t="shared" ref="C177:N177" si="358">IF(C$2="","",C$1-_xlfn.FLOOR.MATH(C$1*(180-MIN(180,$A177))/180))</f>
        <v>116</v>
      </c>
      <c r="D177" s="1" t="str">
        <f t="shared" si="358"/>
        <v/>
      </c>
      <c r="E177" s="1" t="str">
        <f t="shared" si="358"/>
        <v/>
      </c>
      <c r="F177" s="1" t="str">
        <f t="shared" si="358"/>
        <v/>
      </c>
      <c r="G177" s="1">
        <f t="shared" si="358"/>
        <v>290</v>
      </c>
      <c r="H177" s="1" t="str">
        <f t="shared" si="358"/>
        <v/>
      </c>
      <c r="I177" s="1" t="str">
        <f t="shared" si="358"/>
        <v/>
      </c>
      <c r="J177" s="1">
        <f t="shared" si="358"/>
        <v>1</v>
      </c>
      <c r="K177" s="1">
        <f t="shared" si="358"/>
        <v>6</v>
      </c>
      <c r="L177" s="1">
        <f t="shared" si="358"/>
        <v>8</v>
      </c>
      <c r="M177" s="1">
        <f t="shared" si="358"/>
        <v>12</v>
      </c>
      <c r="N177" s="1">
        <f t="shared" si="358"/>
        <v>8</v>
      </c>
      <c r="O177" s="1" t="str">
        <f t="shared" si="6"/>
        <v/>
      </c>
      <c r="P177" s="1">
        <f t="shared" ref="P177:AB177" si="359">if(C$2="","",C177*P$1)</f>
        <v>4524</v>
      </c>
      <c r="Q177" s="1" t="str">
        <f t="shared" si="359"/>
        <v/>
      </c>
      <c r="R177" s="1" t="str">
        <f t="shared" si="359"/>
        <v/>
      </c>
      <c r="S177" s="1" t="str">
        <f t="shared" si="359"/>
        <v/>
      </c>
      <c r="T177" s="1">
        <f t="shared" si="359"/>
        <v>49300</v>
      </c>
      <c r="U177" s="1" t="str">
        <f t="shared" si="359"/>
        <v/>
      </c>
      <c r="V177" s="1" t="str">
        <f t="shared" si="359"/>
        <v/>
      </c>
      <c r="W177" s="1">
        <f t="shared" si="359"/>
        <v>14760.70996</v>
      </c>
      <c r="X177" s="1">
        <f t="shared" si="359"/>
        <v>26400</v>
      </c>
      <c r="Y177" s="1">
        <f t="shared" si="359"/>
        <v>80800</v>
      </c>
      <c r="Z177" s="1">
        <f t="shared" si="359"/>
        <v>126000</v>
      </c>
      <c r="AA177" s="1">
        <f t="shared" si="359"/>
        <v>801179.25</v>
      </c>
      <c r="AB177" s="1" t="str">
        <f t="shared" si="359"/>
        <v/>
      </c>
      <c r="AC177" s="1" t="str">
        <f>if(Calculator!$C$8,SUM(P177:AB177),"")</f>
        <v/>
      </c>
      <c r="AE177" s="1">
        <f t="shared" si="8"/>
        <v>2668.451877</v>
      </c>
      <c r="AF177" s="1">
        <f t="shared" si="9"/>
        <v>1005011.553</v>
      </c>
      <c r="AG177" s="1">
        <f t="shared" si="10"/>
        <v>5742.923159</v>
      </c>
      <c r="AH177" s="1">
        <f t="shared" si="11"/>
        <v>6302.6512</v>
      </c>
      <c r="AI177" s="1">
        <f t="shared" si="15"/>
        <v>-559.7280412</v>
      </c>
      <c r="AJ177" s="1" t="str">
        <f t="shared" si="12"/>
        <v/>
      </c>
    </row>
    <row r="178">
      <c r="A178" s="5">
        <v>175.0</v>
      </c>
      <c r="B178" s="8">
        <f t="shared" si="4"/>
        <v>0.3333120894</v>
      </c>
      <c r="C178" s="4">
        <f t="shared" ref="C178:N178" si="360">IF(C$2="","",C$1-_xlfn.FLOOR.MATH(C$1*(180-MIN(180,$A178))/180))</f>
        <v>117</v>
      </c>
      <c r="D178" s="1" t="str">
        <f t="shared" si="360"/>
        <v/>
      </c>
      <c r="E178" s="1" t="str">
        <f t="shared" si="360"/>
        <v/>
      </c>
      <c r="F178" s="1" t="str">
        <f t="shared" si="360"/>
        <v/>
      </c>
      <c r="G178" s="1">
        <f t="shared" si="360"/>
        <v>292</v>
      </c>
      <c r="H178" s="1" t="str">
        <f t="shared" si="360"/>
        <v/>
      </c>
      <c r="I178" s="1" t="str">
        <f t="shared" si="360"/>
        <v/>
      </c>
      <c r="J178" s="1">
        <f t="shared" si="360"/>
        <v>1</v>
      </c>
      <c r="K178" s="1">
        <f t="shared" si="360"/>
        <v>6</v>
      </c>
      <c r="L178" s="1">
        <f t="shared" si="360"/>
        <v>8</v>
      </c>
      <c r="M178" s="1">
        <f t="shared" si="360"/>
        <v>12</v>
      </c>
      <c r="N178" s="1">
        <f t="shared" si="360"/>
        <v>8</v>
      </c>
      <c r="O178" s="1" t="str">
        <f t="shared" si="6"/>
        <v/>
      </c>
      <c r="P178" s="1">
        <f t="shared" ref="P178:AB178" si="361">if(C$2="","",C178*P$1)</f>
        <v>4563</v>
      </c>
      <c r="Q178" s="1" t="str">
        <f t="shared" si="361"/>
        <v/>
      </c>
      <c r="R178" s="1" t="str">
        <f t="shared" si="361"/>
        <v/>
      </c>
      <c r="S178" s="1" t="str">
        <f t="shared" si="361"/>
        <v/>
      </c>
      <c r="T178" s="1">
        <f t="shared" si="361"/>
        <v>49640</v>
      </c>
      <c r="U178" s="1" t="str">
        <f t="shared" si="361"/>
        <v/>
      </c>
      <c r="V178" s="1" t="str">
        <f t="shared" si="361"/>
        <v/>
      </c>
      <c r="W178" s="1">
        <f t="shared" si="361"/>
        <v>14760.70996</v>
      </c>
      <c r="X178" s="1">
        <f t="shared" si="361"/>
        <v>26400</v>
      </c>
      <c r="Y178" s="1">
        <f t="shared" si="361"/>
        <v>80800</v>
      </c>
      <c r="Z178" s="1">
        <f t="shared" si="361"/>
        <v>126000</v>
      </c>
      <c r="AA178" s="1">
        <f t="shared" si="361"/>
        <v>801179.25</v>
      </c>
      <c r="AB178" s="1" t="str">
        <f t="shared" si="361"/>
        <v/>
      </c>
      <c r="AC178" s="1" t="str">
        <f>if(Calculator!$C$8,SUM(P178:AB178),"")</f>
        <v/>
      </c>
      <c r="AE178" s="1">
        <f t="shared" si="8"/>
        <v>2666.496715</v>
      </c>
      <c r="AF178" s="1">
        <f t="shared" si="9"/>
        <v>1007678.049</v>
      </c>
      <c r="AG178" s="1">
        <f t="shared" si="10"/>
        <v>5725.443463</v>
      </c>
      <c r="AH178" s="1">
        <f t="shared" si="11"/>
        <v>6268.994091</v>
      </c>
      <c r="AI178" s="1">
        <f t="shared" si="15"/>
        <v>-543.5506278</v>
      </c>
      <c r="AJ178" s="1" t="str">
        <f t="shared" si="12"/>
        <v/>
      </c>
    </row>
    <row r="179">
      <c r="A179" s="5">
        <v>176.0</v>
      </c>
      <c r="B179" s="8">
        <f t="shared" si="4"/>
        <v>0.3330844109</v>
      </c>
      <c r="C179" s="4">
        <f t="shared" ref="C179:N179" si="362">IF(C$2="","",C$1-_xlfn.FLOOR.MATH(C$1*(180-MIN(180,$A179))/180))</f>
        <v>118</v>
      </c>
      <c r="D179" s="1" t="str">
        <f t="shared" si="362"/>
        <v/>
      </c>
      <c r="E179" s="1" t="str">
        <f t="shared" si="362"/>
        <v/>
      </c>
      <c r="F179" s="1" t="str">
        <f t="shared" si="362"/>
        <v/>
      </c>
      <c r="G179" s="1">
        <f t="shared" si="362"/>
        <v>294</v>
      </c>
      <c r="H179" s="1" t="str">
        <f t="shared" si="362"/>
        <v/>
      </c>
      <c r="I179" s="1" t="str">
        <f t="shared" si="362"/>
        <v/>
      </c>
      <c r="J179" s="1">
        <f t="shared" si="362"/>
        <v>1</v>
      </c>
      <c r="K179" s="1">
        <f t="shared" si="362"/>
        <v>6</v>
      </c>
      <c r="L179" s="1">
        <f t="shared" si="362"/>
        <v>8</v>
      </c>
      <c r="M179" s="1">
        <f t="shared" si="362"/>
        <v>12</v>
      </c>
      <c r="N179" s="1">
        <f t="shared" si="362"/>
        <v>8</v>
      </c>
      <c r="O179" s="1" t="str">
        <f t="shared" si="6"/>
        <v/>
      </c>
      <c r="P179" s="1">
        <f t="shared" ref="P179:AB179" si="363">if(C$2="","",C179*P$1)</f>
        <v>4602</v>
      </c>
      <c r="Q179" s="1" t="str">
        <f t="shared" si="363"/>
        <v/>
      </c>
      <c r="R179" s="1" t="str">
        <f t="shared" si="363"/>
        <v/>
      </c>
      <c r="S179" s="1" t="str">
        <f t="shared" si="363"/>
        <v/>
      </c>
      <c r="T179" s="1">
        <f t="shared" si="363"/>
        <v>49980</v>
      </c>
      <c r="U179" s="1" t="str">
        <f t="shared" si="363"/>
        <v/>
      </c>
      <c r="V179" s="1" t="str">
        <f t="shared" si="363"/>
        <v/>
      </c>
      <c r="W179" s="1">
        <f t="shared" si="363"/>
        <v>14760.70996</v>
      </c>
      <c r="X179" s="1">
        <f t="shared" si="363"/>
        <v>26400</v>
      </c>
      <c r="Y179" s="1">
        <f t="shared" si="363"/>
        <v>80800</v>
      </c>
      <c r="Z179" s="1">
        <f t="shared" si="363"/>
        <v>126000</v>
      </c>
      <c r="AA179" s="1">
        <f t="shared" si="363"/>
        <v>801179.25</v>
      </c>
      <c r="AB179" s="1" t="str">
        <f t="shared" si="363"/>
        <v/>
      </c>
      <c r="AC179" s="1" t="str">
        <f>if(Calculator!$C$8,SUM(P179:AB179),"")</f>
        <v/>
      </c>
      <c r="AE179" s="1">
        <f t="shared" si="8"/>
        <v>2664.675287</v>
      </c>
      <c r="AF179" s="1">
        <f t="shared" si="9"/>
        <v>1010342.725</v>
      </c>
      <c r="AG179" s="1">
        <f t="shared" si="10"/>
        <v>5708.150987</v>
      </c>
      <c r="AH179" s="1">
        <f t="shared" si="11"/>
        <v>6235.717288</v>
      </c>
      <c r="AI179" s="1">
        <f t="shared" si="15"/>
        <v>-527.5663006</v>
      </c>
      <c r="AJ179" s="1" t="str">
        <f t="shared" si="12"/>
        <v/>
      </c>
    </row>
    <row r="180">
      <c r="A180" s="5">
        <v>177.0</v>
      </c>
      <c r="B180" s="8">
        <f t="shared" si="4"/>
        <v>0.332872316</v>
      </c>
      <c r="C180" s="4">
        <f t="shared" ref="C180:N180" si="364">IF(C$2="","",C$1-_xlfn.FLOOR.MATH(C$1*(180-MIN(180,$A180))/180))</f>
        <v>118</v>
      </c>
      <c r="D180" s="1" t="str">
        <f t="shared" si="364"/>
        <v/>
      </c>
      <c r="E180" s="1" t="str">
        <f t="shared" si="364"/>
        <v/>
      </c>
      <c r="F180" s="1" t="str">
        <f t="shared" si="364"/>
        <v/>
      </c>
      <c r="G180" s="1">
        <f t="shared" si="364"/>
        <v>295</v>
      </c>
      <c r="H180" s="1" t="str">
        <f t="shared" si="364"/>
        <v/>
      </c>
      <c r="I180" s="1" t="str">
        <f t="shared" si="364"/>
        <v/>
      </c>
      <c r="J180" s="1">
        <f t="shared" si="364"/>
        <v>1</v>
      </c>
      <c r="K180" s="1">
        <f t="shared" si="364"/>
        <v>6</v>
      </c>
      <c r="L180" s="1">
        <f t="shared" si="364"/>
        <v>8</v>
      </c>
      <c r="M180" s="1">
        <f t="shared" si="364"/>
        <v>12</v>
      </c>
      <c r="N180" s="1">
        <f t="shared" si="364"/>
        <v>8</v>
      </c>
      <c r="O180" s="1" t="str">
        <f t="shared" si="6"/>
        <v/>
      </c>
      <c r="P180" s="1">
        <f t="shared" ref="P180:AB180" si="365">if(C$2="","",C180*P$1)</f>
        <v>4602</v>
      </c>
      <c r="Q180" s="1" t="str">
        <f t="shared" si="365"/>
        <v/>
      </c>
      <c r="R180" s="1" t="str">
        <f t="shared" si="365"/>
        <v/>
      </c>
      <c r="S180" s="1" t="str">
        <f t="shared" si="365"/>
        <v/>
      </c>
      <c r="T180" s="1">
        <f t="shared" si="365"/>
        <v>50150</v>
      </c>
      <c r="U180" s="1" t="str">
        <f t="shared" si="365"/>
        <v/>
      </c>
      <c r="V180" s="1" t="str">
        <f t="shared" si="365"/>
        <v/>
      </c>
      <c r="W180" s="1">
        <f t="shared" si="365"/>
        <v>14760.70996</v>
      </c>
      <c r="X180" s="1">
        <f t="shared" si="365"/>
        <v>26400</v>
      </c>
      <c r="Y180" s="1">
        <f t="shared" si="365"/>
        <v>80800</v>
      </c>
      <c r="Z180" s="1">
        <f t="shared" si="365"/>
        <v>126000</v>
      </c>
      <c r="AA180" s="1">
        <f t="shared" si="365"/>
        <v>801179.25</v>
      </c>
      <c r="AB180" s="1" t="str">
        <f t="shared" si="365"/>
        <v/>
      </c>
      <c r="AC180" s="1" t="str">
        <f>if(Calculator!$C$8,SUM(P180:AB180),"")</f>
        <v/>
      </c>
      <c r="AE180" s="1">
        <f t="shared" si="8"/>
        <v>2662.978528</v>
      </c>
      <c r="AF180" s="1">
        <f t="shared" si="9"/>
        <v>1013005.703</v>
      </c>
      <c r="AG180" s="1">
        <f t="shared" si="10"/>
        <v>5691.043277</v>
      </c>
      <c r="AH180" s="1">
        <f t="shared" si="11"/>
        <v>6201.640224</v>
      </c>
      <c r="AI180" s="1">
        <f t="shared" si="15"/>
        <v>-510.5969476</v>
      </c>
      <c r="AJ180" s="1" t="str">
        <f t="shared" si="12"/>
        <v/>
      </c>
    </row>
    <row r="181">
      <c r="A181" s="5">
        <v>178.0</v>
      </c>
      <c r="B181" s="8">
        <f t="shared" si="4"/>
        <v>0.3326747469</v>
      </c>
      <c r="C181" s="4">
        <f t="shared" ref="C181:N181" si="366">IF(C$2="","",C$1-_xlfn.FLOOR.MATH(C$1*(180-MIN(180,$A181))/180))</f>
        <v>119</v>
      </c>
      <c r="D181" s="1" t="str">
        <f t="shared" si="366"/>
        <v/>
      </c>
      <c r="E181" s="1" t="str">
        <f t="shared" si="366"/>
        <v/>
      </c>
      <c r="F181" s="1" t="str">
        <f t="shared" si="366"/>
        <v/>
      </c>
      <c r="G181" s="1">
        <f t="shared" si="366"/>
        <v>297</v>
      </c>
      <c r="H181" s="1" t="str">
        <f t="shared" si="366"/>
        <v/>
      </c>
      <c r="I181" s="1" t="str">
        <f t="shared" si="366"/>
        <v/>
      </c>
      <c r="J181" s="1">
        <f t="shared" si="366"/>
        <v>1</v>
      </c>
      <c r="K181" s="1">
        <f t="shared" si="366"/>
        <v>6</v>
      </c>
      <c r="L181" s="1">
        <f t="shared" si="366"/>
        <v>8</v>
      </c>
      <c r="M181" s="1">
        <f t="shared" si="366"/>
        <v>12</v>
      </c>
      <c r="N181" s="1">
        <f t="shared" si="366"/>
        <v>8</v>
      </c>
      <c r="O181" s="1" t="str">
        <f t="shared" si="6"/>
        <v/>
      </c>
      <c r="P181" s="1">
        <f t="shared" ref="P181:AB181" si="367">if(C$2="","",C181*P$1)</f>
        <v>4641</v>
      </c>
      <c r="Q181" s="1" t="str">
        <f t="shared" si="367"/>
        <v/>
      </c>
      <c r="R181" s="1" t="str">
        <f t="shared" si="367"/>
        <v/>
      </c>
      <c r="S181" s="1" t="str">
        <f t="shared" si="367"/>
        <v/>
      </c>
      <c r="T181" s="1">
        <f t="shared" si="367"/>
        <v>50490</v>
      </c>
      <c r="U181" s="1" t="str">
        <f t="shared" si="367"/>
        <v/>
      </c>
      <c r="V181" s="1" t="str">
        <f t="shared" si="367"/>
        <v/>
      </c>
      <c r="W181" s="1">
        <f t="shared" si="367"/>
        <v>14760.70996</v>
      </c>
      <c r="X181" s="1">
        <f t="shared" si="367"/>
        <v>26400</v>
      </c>
      <c r="Y181" s="1">
        <f t="shared" si="367"/>
        <v>80800</v>
      </c>
      <c r="Z181" s="1">
        <f t="shared" si="367"/>
        <v>126000</v>
      </c>
      <c r="AA181" s="1">
        <f t="shared" si="367"/>
        <v>801179.25</v>
      </c>
      <c r="AB181" s="1" t="str">
        <f t="shared" si="367"/>
        <v/>
      </c>
      <c r="AC181" s="1" t="str">
        <f>if(Calculator!$C$8,SUM(P181:AB181),"")</f>
        <v/>
      </c>
      <c r="AE181" s="1">
        <f t="shared" si="8"/>
        <v>2661.397975</v>
      </c>
      <c r="AF181" s="1">
        <f t="shared" si="9"/>
        <v>1015667.101</v>
      </c>
      <c r="AG181" s="1">
        <f t="shared" si="10"/>
        <v>5674.117884</v>
      </c>
      <c r="AH181" s="1">
        <f t="shared" si="11"/>
        <v>6169.111508</v>
      </c>
      <c r="AI181" s="1">
        <f t="shared" si="15"/>
        <v>-494.993624</v>
      </c>
      <c r="AJ181" s="1" t="str">
        <f t="shared" si="12"/>
        <v/>
      </c>
    </row>
    <row r="182">
      <c r="A182" s="5">
        <v>179.0</v>
      </c>
      <c r="B182" s="8">
        <f t="shared" si="4"/>
        <v>0.3324907167</v>
      </c>
      <c r="C182" s="4">
        <f t="shared" ref="C182:N182" si="368">IF(C$2="","",C$1-_xlfn.FLOOR.MATH(C$1*(180-MIN(180,$A182))/180))</f>
        <v>120</v>
      </c>
      <c r="D182" s="1" t="str">
        <f t="shared" si="368"/>
        <v/>
      </c>
      <c r="E182" s="1" t="str">
        <f t="shared" si="368"/>
        <v/>
      </c>
      <c r="F182" s="1" t="str">
        <f t="shared" si="368"/>
        <v/>
      </c>
      <c r="G182" s="1">
        <f t="shared" si="368"/>
        <v>299</v>
      </c>
      <c r="H182" s="1" t="str">
        <f t="shared" si="368"/>
        <v/>
      </c>
      <c r="I182" s="1" t="str">
        <f t="shared" si="368"/>
        <v/>
      </c>
      <c r="J182" s="1">
        <f t="shared" si="368"/>
        <v>1</v>
      </c>
      <c r="K182" s="1">
        <f t="shared" si="368"/>
        <v>6</v>
      </c>
      <c r="L182" s="1">
        <f t="shared" si="368"/>
        <v>8</v>
      </c>
      <c r="M182" s="1">
        <f t="shared" si="368"/>
        <v>12</v>
      </c>
      <c r="N182" s="1">
        <f t="shared" si="368"/>
        <v>8</v>
      </c>
      <c r="O182" s="1" t="str">
        <f t="shared" si="6"/>
        <v/>
      </c>
      <c r="P182" s="1">
        <f t="shared" ref="P182:AB182" si="369">if(C$2="","",C182*P$1)</f>
        <v>4680</v>
      </c>
      <c r="Q182" s="1" t="str">
        <f t="shared" si="369"/>
        <v/>
      </c>
      <c r="R182" s="1" t="str">
        <f t="shared" si="369"/>
        <v/>
      </c>
      <c r="S182" s="1" t="str">
        <f t="shared" si="369"/>
        <v/>
      </c>
      <c r="T182" s="1">
        <f t="shared" si="369"/>
        <v>50830</v>
      </c>
      <c r="U182" s="1" t="str">
        <f t="shared" si="369"/>
        <v/>
      </c>
      <c r="V182" s="1" t="str">
        <f t="shared" si="369"/>
        <v/>
      </c>
      <c r="W182" s="1">
        <f t="shared" si="369"/>
        <v>14760.70996</v>
      </c>
      <c r="X182" s="1">
        <f t="shared" si="369"/>
        <v>26400</v>
      </c>
      <c r="Y182" s="1">
        <f t="shared" si="369"/>
        <v>80800</v>
      </c>
      <c r="Z182" s="1">
        <f t="shared" si="369"/>
        <v>126000</v>
      </c>
      <c r="AA182" s="1">
        <f t="shared" si="369"/>
        <v>801179.25</v>
      </c>
      <c r="AB182" s="1" t="str">
        <f t="shared" si="369"/>
        <v/>
      </c>
      <c r="AC182" s="1" t="str">
        <f>if(Calculator!$C$8,SUM(P182:AB182),"")</f>
        <v/>
      </c>
      <c r="AE182" s="1">
        <f t="shared" si="8"/>
        <v>2659.925734</v>
      </c>
      <c r="AF182" s="1">
        <f t="shared" si="9"/>
        <v>1018327.027</v>
      </c>
      <c r="AG182" s="1">
        <f t="shared" si="10"/>
        <v>5657.372372</v>
      </c>
      <c r="AH182" s="1">
        <f t="shared" si="11"/>
        <v>6136.944222</v>
      </c>
      <c r="AI182" s="1">
        <f t="shared" si="15"/>
        <v>-479.5718498</v>
      </c>
      <c r="AJ182" s="1" t="str">
        <f t="shared" si="12"/>
        <v/>
      </c>
    </row>
    <row r="183">
      <c r="A183" s="5">
        <v>180.0</v>
      </c>
      <c r="B183" s="8">
        <f t="shared" si="4"/>
        <v>0.3323193043</v>
      </c>
      <c r="C183" s="4">
        <f t="shared" ref="C183:N183" si="370">IF(C$2="","",C$1-_xlfn.FLOOR.MATH(C$1*(180-MIN(180,$A183))/180))</f>
        <v>120</v>
      </c>
      <c r="D183" s="1" t="str">
        <f t="shared" si="370"/>
        <v/>
      </c>
      <c r="E183" s="1" t="str">
        <f t="shared" si="370"/>
        <v/>
      </c>
      <c r="F183" s="1" t="str">
        <f t="shared" si="370"/>
        <v/>
      </c>
      <c r="G183" s="1">
        <f t="shared" si="370"/>
        <v>300</v>
      </c>
      <c r="H183" s="1" t="str">
        <f t="shared" si="370"/>
        <v/>
      </c>
      <c r="I183" s="1" t="str">
        <f t="shared" si="370"/>
        <v/>
      </c>
      <c r="J183" s="1">
        <f t="shared" si="370"/>
        <v>1</v>
      </c>
      <c r="K183" s="1">
        <f t="shared" si="370"/>
        <v>6</v>
      </c>
      <c r="L183" s="1">
        <f t="shared" si="370"/>
        <v>8</v>
      </c>
      <c r="M183" s="1">
        <f t="shared" si="370"/>
        <v>12</v>
      </c>
      <c r="N183" s="1">
        <f t="shared" si="370"/>
        <v>8</v>
      </c>
      <c r="O183" s="1" t="str">
        <f t="shared" si="6"/>
        <v/>
      </c>
      <c r="P183" s="1">
        <f t="shared" ref="P183:AB183" si="371">if(C$2="","",C183*P$1)</f>
        <v>4680</v>
      </c>
      <c r="Q183" s="1" t="str">
        <f t="shared" si="371"/>
        <v/>
      </c>
      <c r="R183" s="1" t="str">
        <f t="shared" si="371"/>
        <v/>
      </c>
      <c r="S183" s="1" t="str">
        <f t="shared" si="371"/>
        <v/>
      </c>
      <c r="T183" s="1">
        <f t="shared" si="371"/>
        <v>51000</v>
      </c>
      <c r="U183" s="1" t="str">
        <f t="shared" si="371"/>
        <v/>
      </c>
      <c r="V183" s="1" t="str">
        <f t="shared" si="371"/>
        <v/>
      </c>
      <c r="W183" s="1">
        <f t="shared" si="371"/>
        <v>14760.70996</v>
      </c>
      <c r="X183" s="1">
        <f t="shared" si="371"/>
        <v>26400</v>
      </c>
      <c r="Y183" s="1">
        <f t="shared" si="371"/>
        <v>80800</v>
      </c>
      <c r="Z183" s="1">
        <f t="shared" si="371"/>
        <v>126000</v>
      </c>
      <c r="AA183" s="1">
        <f t="shared" si="371"/>
        <v>801179.25</v>
      </c>
      <c r="AB183" s="1" t="str">
        <f t="shared" si="371"/>
        <v/>
      </c>
      <c r="AC183" s="1" t="str">
        <f>if(Calculator!$C$8,SUM(P183:AB183),"")</f>
        <v/>
      </c>
      <c r="AE183" s="1">
        <f t="shared" si="8"/>
        <v>2658.554434</v>
      </c>
      <c r="AF183" s="1">
        <f t="shared" si="9"/>
        <v>1020985.581</v>
      </c>
      <c r="AG183" s="1">
        <f t="shared" si="10"/>
        <v>5640.804317</v>
      </c>
      <c r="AH183" s="1">
        <f t="shared" si="11"/>
        <v>6103.977679</v>
      </c>
      <c r="AI183" s="1">
        <f t="shared" si="15"/>
        <v>-463.1733621</v>
      </c>
      <c r="AJ183" s="1" t="str">
        <f t="shared" si="12"/>
        <v/>
      </c>
    </row>
    <row r="184">
      <c r="C184" s="4"/>
    </row>
    <row r="185">
      <c r="C185" s="4"/>
    </row>
    <row r="186">
      <c r="C186" s="4"/>
    </row>
    <row r="187">
      <c r="C187" s="4"/>
    </row>
    <row r="188">
      <c r="C188" s="4"/>
    </row>
    <row r="189">
      <c r="C189" s="4"/>
    </row>
    <row r="190">
      <c r="C190" s="4"/>
    </row>
    <row r="191">
      <c r="C191" s="4"/>
    </row>
    <row r="192">
      <c r="C192" s="4"/>
    </row>
    <row r="193">
      <c r="C193" s="4"/>
    </row>
    <row r="194">
      <c r="C194" s="4"/>
    </row>
    <row r="195">
      <c r="C195" s="4"/>
    </row>
    <row r="196">
      <c r="C196" s="4"/>
    </row>
    <row r="197">
      <c r="C197" s="4"/>
    </row>
    <row r="198">
      <c r="C198" s="4"/>
    </row>
    <row r="199">
      <c r="C199" s="4"/>
    </row>
    <row r="200">
      <c r="C200" s="4"/>
    </row>
    <row r="201">
      <c r="C201" s="4"/>
    </row>
    <row r="202">
      <c r="C202" s="4"/>
    </row>
    <row r="203">
      <c r="C203" s="4"/>
    </row>
    <row r="204">
      <c r="C204" s="4"/>
    </row>
    <row r="205">
      <c r="C205" s="4"/>
    </row>
    <row r="206">
      <c r="C206" s="4"/>
    </row>
    <row r="207">
      <c r="C207" s="4"/>
    </row>
    <row r="208">
      <c r="C208" s="4"/>
    </row>
    <row r="209">
      <c r="C209" s="4"/>
    </row>
    <row r="210">
      <c r="C210" s="4"/>
    </row>
    <row r="211">
      <c r="C211" s="4"/>
    </row>
    <row r="212">
      <c r="C212" s="4"/>
    </row>
    <row r="213">
      <c r="C213" s="4"/>
    </row>
    <row r="214">
      <c r="C214" s="4"/>
    </row>
    <row r="215">
      <c r="C215" s="4"/>
    </row>
    <row r="216">
      <c r="C216" s="4"/>
    </row>
    <row r="217">
      <c r="C217" s="4"/>
    </row>
    <row r="218">
      <c r="C218" s="4"/>
    </row>
    <row r="219">
      <c r="C219" s="4"/>
    </row>
    <row r="220">
      <c r="C220" s="4"/>
    </row>
    <row r="221">
      <c r="C221" s="4"/>
    </row>
    <row r="222">
      <c r="C222" s="4"/>
    </row>
    <row r="223">
      <c r="C223" s="4"/>
    </row>
    <row r="224">
      <c r="C224" s="4"/>
    </row>
    <row r="225">
      <c r="C225" s="4"/>
    </row>
    <row r="226">
      <c r="C226" s="4"/>
    </row>
    <row r="227">
      <c r="C227" s="4"/>
    </row>
    <row r="228">
      <c r="C228" s="4"/>
    </row>
    <row r="229">
      <c r="C229" s="4"/>
    </row>
    <row r="230">
      <c r="C230" s="4"/>
    </row>
    <row r="231">
      <c r="C231" s="4"/>
    </row>
    <row r="232">
      <c r="C232" s="4"/>
    </row>
    <row r="233">
      <c r="C233" s="4"/>
    </row>
    <row r="234">
      <c r="C234" s="4"/>
    </row>
    <row r="235">
      <c r="C235" s="4"/>
    </row>
    <row r="236">
      <c r="C236" s="4"/>
    </row>
    <row r="237">
      <c r="C237" s="4"/>
    </row>
    <row r="238">
      <c r="C238" s="4"/>
    </row>
    <row r="239">
      <c r="C239" s="4"/>
    </row>
    <row r="240">
      <c r="C240" s="4"/>
    </row>
    <row r="241">
      <c r="C241" s="4"/>
    </row>
    <row r="242">
      <c r="C242" s="4"/>
    </row>
    <row r="243">
      <c r="C243" s="4"/>
    </row>
    <row r="244">
      <c r="C244" s="4"/>
    </row>
    <row r="245">
      <c r="C245" s="4"/>
    </row>
    <row r="246">
      <c r="C246" s="4"/>
    </row>
    <row r="247">
      <c r="C247" s="4"/>
    </row>
    <row r="248">
      <c r="C248" s="4"/>
    </row>
    <row r="249">
      <c r="C249" s="4"/>
    </row>
    <row r="250">
      <c r="C250" s="4"/>
    </row>
    <row r="251">
      <c r="C251" s="4"/>
    </row>
    <row r="252">
      <c r="C252" s="4"/>
    </row>
    <row r="253">
      <c r="C253" s="4"/>
    </row>
    <row r="254">
      <c r="C254" s="4"/>
    </row>
    <row r="255">
      <c r="C255" s="4"/>
    </row>
    <row r="256">
      <c r="C256" s="4"/>
    </row>
    <row r="257">
      <c r="C257" s="4"/>
    </row>
    <row r="258">
      <c r="C258" s="4"/>
    </row>
    <row r="259">
      <c r="C259" s="4"/>
    </row>
    <row r="260">
      <c r="C260" s="4"/>
    </row>
    <row r="261">
      <c r="C261" s="4"/>
    </row>
    <row r="262">
      <c r="C262" s="4"/>
    </row>
    <row r="263">
      <c r="C263" s="4"/>
    </row>
    <row r="264">
      <c r="C264" s="4"/>
    </row>
    <row r="265">
      <c r="C265" s="4"/>
    </row>
    <row r="266">
      <c r="C266" s="4"/>
    </row>
    <row r="267">
      <c r="C267" s="4"/>
    </row>
    <row r="268">
      <c r="C268" s="4"/>
    </row>
    <row r="269">
      <c r="C269" s="4"/>
    </row>
    <row r="270">
      <c r="C270" s="4"/>
    </row>
    <row r="271">
      <c r="C271" s="4"/>
    </row>
    <row r="272">
      <c r="C272" s="4"/>
    </row>
    <row r="273">
      <c r="C273" s="4"/>
    </row>
    <row r="274">
      <c r="C274" s="4"/>
    </row>
    <row r="275">
      <c r="C275" s="4"/>
    </row>
    <row r="276">
      <c r="C276" s="4"/>
    </row>
    <row r="277">
      <c r="C277" s="4"/>
    </row>
    <row r="278">
      <c r="C278" s="4"/>
    </row>
    <row r="279">
      <c r="C279" s="4"/>
    </row>
    <row r="280">
      <c r="C280" s="4"/>
    </row>
    <row r="281">
      <c r="C281" s="4"/>
    </row>
    <row r="282">
      <c r="C282" s="4"/>
    </row>
    <row r="283">
      <c r="C283" s="4"/>
    </row>
    <row r="284">
      <c r="C284" s="4"/>
    </row>
    <row r="285">
      <c r="C285" s="4"/>
    </row>
    <row r="286">
      <c r="C286" s="4"/>
    </row>
    <row r="287">
      <c r="C287" s="4"/>
    </row>
    <row r="288">
      <c r="C288" s="4"/>
    </row>
    <row r="289">
      <c r="C289" s="4"/>
    </row>
    <row r="290">
      <c r="C290" s="4"/>
    </row>
    <row r="291">
      <c r="C291" s="4"/>
    </row>
    <row r="292">
      <c r="C292" s="4"/>
    </row>
    <row r="293">
      <c r="C293" s="4"/>
    </row>
    <row r="294">
      <c r="C294" s="4"/>
    </row>
    <row r="295">
      <c r="C295" s="4"/>
    </row>
    <row r="296">
      <c r="C296" s="4"/>
    </row>
    <row r="297">
      <c r="C297" s="4"/>
    </row>
    <row r="298">
      <c r="C298" s="4"/>
    </row>
    <row r="299">
      <c r="C299" s="4"/>
    </row>
    <row r="300">
      <c r="C300" s="4"/>
    </row>
    <row r="301">
      <c r="C301" s="4"/>
    </row>
    <row r="302">
      <c r="C302" s="4"/>
    </row>
    <row r="303">
      <c r="C303" s="4"/>
    </row>
    <row r="304">
      <c r="C304" s="4"/>
    </row>
    <row r="305">
      <c r="C305" s="4"/>
    </row>
    <row r="306">
      <c r="C306" s="4"/>
    </row>
    <row r="307">
      <c r="C307" s="4"/>
    </row>
    <row r="308">
      <c r="C308" s="4"/>
    </row>
    <row r="309">
      <c r="C309" s="4"/>
    </row>
    <row r="310">
      <c r="C310" s="4"/>
    </row>
    <row r="311">
      <c r="C311" s="4"/>
    </row>
    <row r="312">
      <c r="C312" s="4"/>
    </row>
    <row r="313">
      <c r="C313" s="4"/>
    </row>
    <row r="314">
      <c r="C314" s="4"/>
    </row>
    <row r="315">
      <c r="C315" s="4"/>
    </row>
    <row r="316">
      <c r="C316" s="4"/>
    </row>
    <row r="317">
      <c r="C317" s="4"/>
    </row>
    <row r="318">
      <c r="C318" s="4"/>
    </row>
    <row r="319">
      <c r="C319" s="4"/>
    </row>
    <row r="320">
      <c r="C320" s="4"/>
    </row>
    <row r="321">
      <c r="C321" s="4"/>
    </row>
    <row r="322">
      <c r="C322" s="4"/>
    </row>
    <row r="323">
      <c r="C323" s="4"/>
    </row>
    <row r="324">
      <c r="C324" s="4"/>
    </row>
    <row r="325">
      <c r="C325" s="4"/>
    </row>
    <row r="326">
      <c r="C326" s="4"/>
    </row>
    <row r="327">
      <c r="C327" s="4"/>
    </row>
    <row r="328">
      <c r="C328" s="4"/>
    </row>
    <row r="329">
      <c r="C329" s="4"/>
    </row>
    <row r="330">
      <c r="C330" s="4"/>
    </row>
    <row r="331">
      <c r="C331" s="4"/>
    </row>
    <row r="332">
      <c r="C332" s="4"/>
    </row>
    <row r="333">
      <c r="C333" s="4"/>
    </row>
    <row r="334">
      <c r="C334" s="4"/>
    </row>
    <row r="335">
      <c r="C335" s="4"/>
    </row>
    <row r="336">
      <c r="C336" s="4"/>
    </row>
    <row r="337">
      <c r="C337" s="4"/>
    </row>
    <row r="338">
      <c r="C338" s="4"/>
    </row>
    <row r="339">
      <c r="C339" s="4"/>
    </row>
    <row r="340">
      <c r="C340" s="4"/>
    </row>
    <row r="341">
      <c r="C341" s="4"/>
    </row>
    <row r="342">
      <c r="C342" s="4"/>
    </row>
    <row r="343">
      <c r="C343" s="4"/>
    </row>
    <row r="344">
      <c r="C344" s="4"/>
    </row>
    <row r="345">
      <c r="C345" s="4"/>
    </row>
    <row r="346">
      <c r="C346" s="4"/>
    </row>
    <row r="347">
      <c r="C347" s="4"/>
    </row>
    <row r="348">
      <c r="C348" s="4"/>
    </row>
    <row r="349">
      <c r="C349" s="4"/>
    </row>
    <row r="350">
      <c r="C350" s="4"/>
    </row>
    <row r="351">
      <c r="C351" s="4"/>
    </row>
    <row r="352">
      <c r="C352" s="4"/>
    </row>
    <row r="353">
      <c r="C353" s="4"/>
    </row>
    <row r="354">
      <c r="C354" s="4"/>
    </row>
    <row r="355">
      <c r="C355" s="4"/>
    </row>
    <row r="356">
      <c r="C356" s="4"/>
    </row>
    <row r="357">
      <c r="C357" s="4"/>
    </row>
    <row r="358">
      <c r="C358" s="4"/>
    </row>
    <row r="359">
      <c r="C359" s="4"/>
    </row>
    <row r="360">
      <c r="C360" s="4"/>
    </row>
    <row r="361">
      <c r="C361" s="4"/>
    </row>
    <row r="362">
      <c r="C362" s="4"/>
    </row>
    <row r="363">
      <c r="C363" s="4"/>
    </row>
    <row r="364">
      <c r="C364" s="4"/>
    </row>
    <row r="365">
      <c r="C365" s="4"/>
    </row>
    <row r="366">
      <c r="C366" s="4"/>
    </row>
    <row r="367">
      <c r="C367" s="4"/>
    </row>
    <row r="368">
      <c r="C368" s="4"/>
    </row>
    <row r="369">
      <c r="C369" s="4"/>
    </row>
    <row r="370">
      <c r="C370" s="4"/>
    </row>
    <row r="371">
      <c r="C371" s="4"/>
    </row>
    <row r="372">
      <c r="C372" s="4"/>
    </row>
    <row r="373">
      <c r="C373" s="4"/>
    </row>
    <row r="374">
      <c r="C374" s="4"/>
    </row>
    <row r="375">
      <c r="C375" s="4"/>
    </row>
    <row r="376">
      <c r="C376" s="4"/>
    </row>
    <row r="377">
      <c r="C377" s="4"/>
    </row>
    <row r="378">
      <c r="C378" s="4"/>
    </row>
    <row r="379">
      <c r="C379" s="4"/>
    </row>
    <row r="380">
      <c r="C380" s="4"/>
    </row>
    <row r="381">
      <c r="C381" s="4"/>
    </row>
    <row r="382">
      <c r="C382" s="4"/>
    </row>
    <row r="383">
      <c r="C383" s="4"/>
    </row>
    <row r="384">
      <c r="C384" s="4"/>
    </row>
    <row r="385">
      <c r="C385" s="4"/>
    </row>
    <row r="386">
      <c r="C386" s="4"/>
    </row>
    <row r="387">
      <c r="C387" s="4"/>
    </row>
    <row r="388">
      <c r="C388" s="4"/>
    </row>
    <row r="389">
      <c r="C389" s="4"/>
    </row>
    <row r="390">
      <c r="C390" s="4"/>
    </row>
    <row r="391">
      <c r="C391" s="4"/>
    </row>
    <row r="392">
      <c r="C392" s="4"/>
    </row>
    <row r="393">
      <c r="C393" s="4"/>
    </row>
    <row r="394">
      <c r="C394" s="4"/>
    </row>
    <row r="395">
      <c r="C395" s="4"/>
    </row>
    <row r="396">
      <c r="C396" s="4"/>
    </row>
    <row r="397">
      <c r="C397" s="4"/>
    </row>
    <row r="398">
      <c r="C398" s="4"/>
    </row>
    <row r="399">
      <c r="C399" s="4"/>
    </row>
    <row r="400">
      <c r="C400" s="4"/>
    </row>
    <row r="401">
      <c r="C401" s="4"/>
    </row>
    <row r="402">
      <c r="C402" s="4"/>
    </row>
    <row r="403">
      <c r="C403" s="4"/>
    </row>
    <row r="404">
      <c r="C404" s="4"/>
    </row>
    <row r="405">
      <c r="C405" s="4"/>
    </row>
    <row r="406">
      <c r="C406" s="4"/>
    </row>
    <row r="407">
      <c r="C407" s="4"/>
    </row>
    <row r="408">
      <c r="C408" s="4"/>
    </row>
    <row r="409">
      <c r="C409" s="4"/>
    </row>
    <row r="410">
      <c r="C410" s="4"/>
    </row>
    <row r="411">
      <c r="C411" s="4"/>
    </row>
    <row r="412">
      <c r="C412" s="4"/>
    </row>
    <row r="413">
      <c r="C413" s="4"/>
    </row>
    <row r="414">
      <c r="C414" s="4"/>
    </row>
    <row r="415">
      <c r="C415" s="4"/>
    </row>
    <row r="416">
      <c r="C416" s="4"/>
    </row>
    <row r="417">
      <c r="C417" s="4"/>
    </row>
    <row r="418">
      <c r="C418" s="4"/>
    </row>
    <row r="419">
      <c r="C419" s="4"/>
    </row>
    <row r="420">
      <c r="C420" s="4"/>
    </row>
    <row r="421">
      <c r="C421" s="4"/>
    </row>
    <row r="422">
      <c r="C422" s="4"/>
    </row>
    <row r="423">
      <c r="C423" s="4"/>
    </row>
    <row r="424">
      <c r="C424" s="4"/>
    </row>
    <row r="425">
      <c r="C425" s="4"/>
    </row>
    <row r="426">
      <c r="C426" s="4"/>
    </row>
    <row r="427">
      <c r="C427" s="4"/>
    </row>
    <row r="428">
      <c r="C428" s="4"/>
    </row>
    <row r="429">
      <c r="C429" s="4"/>
    </row>
    <row r="430">
      <c r="C430" s="4"/>
    </row>
    <row r="431">
      <c r="C431" s="4"/>
    </row>
    <row r="432">
      <c r="C432" s="4"/>
    </row>
    <row r="433">
      <c r="C433" s="4"/>
    </row>
    <row r="434">
      <c r="C434" s="4"/>
    </row>
    <row r="435">
      <c r="C435" s="4"/>
    </row>
    <row r="436">
      <c r="C436" s="4"/>
    </row>
    <row r="437">
      <c r="C437" s="4"/>
    </row>
    <row r="438">
      <c r="C438" s="4"/>
    </row>
    <row r="439">
      <c r="C439" s="4"/>
    </row>
    <row r="440">
      <c r="C440" s="4"/>
    </row>
    <row r="441">
      <c r="C441" s="4"/>
    </row>
    <row r="442">
      <c r="C442" s="4"/>
    </row>
    <row r="443">
      <c r="C443" s="4"/>
    </row>
    <row r="444">
      <c r="C444" s="4"/>
    </row>
    <row r="445">
      <c r="C445" s="4"/>
    </row>
    <row r="446">
      <c r="C446" s="4"/>
    </row>
    <row r="447">
      <c r="C447" s="4"/>
    </row>
    <row r="448">
      <c r="C448" s="4"/>
    </row>
    <row r="449">
      <c r="C449" s="4"/>
    </row>
    <row r="450">
      <c r="C450" s="4"/>
    </row>
    <row r="451">
      <c r="C451" s="4"/>
    </row>
    <row r="452">
      <c r="C452" s="4"/>
    </row>
    <row r="453">
      <c r="C453" s="4"/>
    </row>
    <row r="454">
      <c r="C454" s="4"/>
    </row>
    <row r="455">
      <c r="C455" s="4"/>
    </row>
    <row r="456">
      <c r="C456" s="4"/>
    </row>
    <row r="457">
      <c r="C457" s="4"/>
    </row>
    <row r="458">
      <c r="C458" s="4"/>
    </row>
    <row r="459">
      <c r="C459" s="4"/>
    </row>
    <row r="460">
      <c r="C460" s="4"/>
    </row>
    <row r="461">
      <c r="C461" s="4"/>
    </row>
    <row r="462">
      <c r="C462" s="4"/>
    </row>
    <row r="463">
      <c r="C463" s="4"/>
    </row>
    <row r="464">
      <c r="C464" s="4"/>
    </row>
    <row r="465">
      <c r="C465" s="4"/>
    </row>
    <row r="466">
      <c r="C466" s="4"/>
    </row>
    <row r="467">
      <c r="C467" s="4"/>
    </row>
    <row r="468">
      <c r="C468" s="4"/>
    </row>
    <row r="469">
      <c r="C469" s="4"/>
    </row>
    <row r="470">
      <c r="C470" s="4"/>
    </row>
    <row r="471">
      <c r="C471" s="4"/>
    </row>
    <row r="472">
      <c r="C472" s="4"/>
    </row>
    <row r="473">
      <c r="C473" s="4"/>
    </row>
    <row r="474">
      <c r="C474" s="4"/>
    </row>
    <row r="475">
      <c r="C475" s="4"/>
    </row>
    <row r="476">
      <c r="C476" s="4"/>
    </row>
    <row r="477">
      <c r="C477" s="4"/>
    </row>
    <row r="478">
      <c r="C478" s="4"/>
    </row>
    <row r="479">
      <c r="C479" s="4"/>
    </row>
    <row r="480">
      <c r="C480" s="4"/>
    </row>
    <row r="481">
      <c r="C481" s="4"/>
    </row>
    <row r="482">
      <c r="C482" s="4"/>
    </row>
    <row r="483">
      <c r="C483" s="4"/>
    </row>
    <row r="484">
      <c r="C484" s="4"/>
    </row>
    <row r="485">
      <c r="C485" s="4"/>
    </row>
    <row r="486">
      <c r="C486" s="4"/>
    </row>
    <row r="487">
      <c r="C487" s="4"/>
    </row>
    <row r="488">
      <c r="C488" s="4"/>
    </row>
    <row r="489">
      <c r="C489" s="4"/>
    </row>
    <row r="490">
      <c r="C490" s="4"/>
    </row>
    <row r="491">
      <c r="C491" s="4"/>
    </row>
    <row r="492">
      <c r="C492" s="4"/>
    </row>
    <row r="493">
      <c r="C493" s="4"/>
    </row>
    <row r="494">
      <c r="C494" s="4"/>
    </row>
    <row r="495">
      <c r="C495" s="4"/>
    </row>
    <row r="496">
      <c r="C496" s="4"/>
    </row>
    <row r="497">
      <c r="C497" s="4"/>
    </row>
    <row r="498">
      <c r="C498" s="4"/>
    </row>
    <row r="499">
      <c r="C499" s="4"/>
    </row>
    <row r="500">
      <c r="C500" s="4"/>
    </row>
    <row r="501">
      <c r="C501" s="4"/>
    </row>
    <row r="502">
      <c r="C502" s="4"/>
    </row>
    <row r="503">
      <c r="C503" s="4"/>
    </row>
    <row r="504">
      <c r="C504" s="4"/>
    </row>
    <row r="505">
      <c r="C505" s="4"/>
    </row>
    <row r="506">
      <c r="C506" s="4"/>
    </row>
    <row r="507">
      <c r="C507" s="4"/>
    </row>
    <row r="508">
      <c r="C508" s="4"/>
    </row>
    <row r="509">
      <c r="C509" s="4"/>
    </row>
    <row r="510">
      <c r="C510" s="4"/>
    </row>
    <row r="511">
      <c r="C511" s="4"/>
    </row>
    <row r="512">
      <c r="C512" s="4"/>
    </row>
    <row r="513">
      <c r="C513" s="4"/>
    </row>
    <row r="514">
      <c r="C514" s="4"/>
    </row>
    <row r="515">
      <c r="C515" s="4"/>
    </row>
    <row r="516">
      <c r="C516" s="4"/>
    </row>
    <row r="517">
      <c r="C517" s="4"/>
    </row>
    <row r="518">
      <c r="C518" s="4"/>
    </row>
    <row r="519">
      <c r="C519" s="4"/>
    </row>
    <row r="520">
      <c r="C520" s="4"/>
    </row>
    <row r="521">
      <c r="C521" s="4"/>
    </row>
    <row r="522">
      <c r="C522" s="4"/>
    </row>
    <row r="523">
      <c r="C523" s="4"/>
    </row>
    <row r="524">
      <c r="C524" s="4"/>
    </row>
    <row r="525">
      <c r="C525" s="4"/>
    </row>
    <row r="526">
      <c r="C526" s="4"/>
    </row>
    <row r="527">
      <c r="C527" s="4"/>
    </row>
    <row r="528">
      <c r="C528" s="4"/>
    </row>
    <row r="529">
      <c r="C529" s="4"/>
    </row>
    <row r="530">
      <c r="C530" s="4"/>
    </row>
    <row r="531">
      <c r="C531" s="4"/>
    </row>
    <row r="532">
      <c r="C532" s="4"/>
    </row>
    <row r="533">
      <c r="C533" s="4"/>
    </row>
    <row r="534">
      <c r="C534" s="4"/>
    </row>
    <row r="535">
      <c r="C535" s="4"/>
    </row>
    <row r="536">
      <c r="C536" s="4"/>
    </row>
    <row r="537">
      <c r="C537" s="4"/>
    </row>
    <row r="538">
      <c r="C538" s="4"/>
    </row>
    <row r="539">
      <c r="C539" s="4"/>
    </row>
    <row r="540">
      <c r="C540" s="4"/>
    </row>
    <row r="541">
      <c r="C541" s="4"/>
    </row>
    <row r="542">
      <c r="C542" s="4"/>
    </row>
    <row r="543">
      <c r="C543" s="4"/>
    </row>
    <row r="544">
      <c r="C544" s="4"/>
    </row>
    <row r="545">
      <c r="C545" s="4"/>
    </row>
    <row r="546">
      <c r="C546" s="4"/>
    </row>
    <row r="547">
      <c r="C547" s="4"/>
    </row>
    <row r="548">
      <c r="C548" s="4"/>
    </row>
    <row r="549">
      <c r="C549" s="4"/>
    </row>
    <row r="550">
      <c r="C550" s="4"/>
    </row>
    <row r="551">
      <c r="C551" s="4"/>
    </row>
    <row r="552">
      <c r="C552" s="4"/>
    </row>
    <row r="553">
      <c r="C553" s="4"/>
    </row>
    <row r="554">
      <c r="C554" s="4"/>
    </row>
    <row r="555">
      <c r="C555" s="4"/>
    </row>
    <row r="556">
      <c r="C556" s="4"/>
    </row>
    <row r="557">
      <c r="C557" s="4"/>
    </row>
    <row r="558">
      <c r="C558" s="4"/>
    </row>
    <row r="559">
      <c r="C559" s="4"/>
    </row>
    <row r="560">
      <c r="C560" s="4"/>
    </row>
    <row r="561">
      <c r="C561" s="4"/>
    </row>
    <row r="562">
      <c r="C562" s="4"/>
    </row>
    <row r="563">
      <c r="C563" s="4"/>
    </row>
    <row r="564">
      <c r="C564" s="4"/>
    </row>
    <row r="565">
      <c r="C565" s="4"/>
    </row>
    <row r="566">
      <c r="C566" s="4"/>
    </row>
    <row r="567">
      <c r="C567" s="4"/>
    </row>
    <row r="568">
      <c r="C568" s="4"/>
    </row>
    <row r="569">
      <c r="C569" s="4"/>
    </row>
    <row r="570">
      <c r="C570" s="4"/>
    </row>
    <row r="571">
      <c r="C571" s="4"/>
    </row>
    <row r="572">
      <c r="C572" s="4"/>
    </row>
    <row r="573">
      <c r="C573" s="4"/>
    </row>
    <row r="574">
      <c r="C574" s="4"/>
    </row>
    <row r="575">
      <c r="C575" s="4"/>
    </row>
    <row r="576">
      <c r="C576" s="4"/>
    </row>
    <row r="577">
      <c r="C577" s="4"/>
    </row>
    <row r="578">
      <c r="C578" s="4"/>
    </row>
    <row r="579">
      <c r="C579" s="4"/>
    </row>
    <row r="580">
      <c r="C580" s="4"/>
    </row>
    <row r="581">
      <c r="C581" s="4"/>
    </row>
    <row r="582">
      <c r="C582" s="4"/>
    </row>
    <row r="583">
      <c r="C583" s="4"/>
    </row>
    <row r="584">
      <c r="C584" s="4"/>
    </row>
    <row r="585">
      <c r="C585" s="4"/>
    </row>
    <row r="586">
      <c r="C586" s="4"/>
    </row>
    <row r="587">
      <c r="C587" s="4"/>
    </row>
    <row r="588">
      <c r="C588" s="4"/>
    </row>
    <row r="589">
      <c r="C589" s="4"/>
    </row>
    <row r="590">
      <c r="C590" s="4"/>
    </row>
    <row r="591">
      <c r="C591" s="4"/>
    </row>
    <row r="592">
      <c r="C592" s="4"/>
    </row>
    <row r="593">
      <c r="C593" s="4"/>
    </row>
    <row r="594">
      <c r="C594" s="4"/>
    </row>
    <row r="595">
      <c r="C595" s="4"/>
    </row>
    <row r="596">
      <c r="C596" s="4"/>
    </row>
    <row r="597">
      <c r="C597" s="4"/>
    </row>
    <row r="598">
      <c r="C598" s="4"/>
    </row>
    <row r="599">
      <c r="C599" s="4"/>
    </row>
    <row r="600">
      <c r="C600" s="4"/>
    </row>
    <row r="601">
      <c r="C601" s="4"/>
    </row>
    <row r="602">
      <c r="C602" s="4"/>
    </row>
    <row r="603">
      <c r="C603" s="4"/>
    </row>
    <row r="604">
      <c r="C604" s="4"/>
    </row>
    <row r="605">
      <c r="C605" s="4"/>
    </row>
    <row r="606">
      <c r="C606" s="4"/>
    </row>
    <row r="607">
      <c r="C607" s="4"/>
    </row>
    <row r="608">
      <c r="C608" s="4"/>
    </row>
    <row r="609">
      <c r="C609" s="4"/>
    </row>
    <row r="610">
      <c r="C610" s="4"/>
    </row>
    <row r="611">
      <c r="C611" s="4"/>
    </row>
    <row r="612">
      <c r="C612" s="4"/>
    </row>
    <row r="613">
      <c r="C613" s="4"/>
    </row>
    <row r="614">
      <c r="C614" s="4"/>
    </row>
    <row r="615">
      <c r="C615" s="4"/>
    </row>
    <row r="616">
      <c r="C616" s="4"/>
    </row>
    <row r="617">
      <c r="C617" s="4"/>
    </row>
    <row r="618">
      <c r="C618" s="4"/>
    </row>
    <row r="619">
      <c r="C619" s="4"/>
    </row>
    <row r="620">
      <c r="C620" s="4"/>
    </row>
    <row r="621">
      <c r="C621" s="4"/>
    </row>
    <row r="622">
      <c r="C622" s="4"/>
    </row>
    <row r="623">
      <c r="C623" s="4"/>
    </row>
    <row r="624">
      <c r="C624" s="4"/>
    </row>
    <row r="625">
      <c r="C625" s="4"/>
    </row>
    <row r="626">
      <c r="C626" s="4"/>
    </row>
    <row r="627">
      <c r="C627" s="4"/>
    </row>
    <row r="628">
      <c r="C628" s="4"/>
    </row>
    <row r="629">
      <c r="C629" s="4"/>
    </row>
    <row r="630">
      <c r="C630" s="4"/>
    </row>
    <row r="631">
      <c r="C631" s="4"/>
    </row>
    <row r="632">
      <c r="C632" s="4"/>
    </row>
    <row r="633">
      <c r="C633" s="4"/>
    </row>
    <row r="634">
      <c r="C634" s="4"/>
    </row>
    <row r="635">
      <c r="C635" s="4"/>
    </row>
    <row r="636">
      <c r="C636" s="4"/>
    </row>
    <row r="637">
      <c r="C637" s="4"/>
    </row>
    <row r="638">
      <c r="C638" s="4"/>
    </row>
    <row r="639">
      <c r="C639" s="4"/>
    </row>
    <row r="640">
      <c r="C640" s="4"/>
    </row>
    <row r="641">
      <c r="C641" s="4"/>
    </row>
    <row r="642">
      <c r="C642" s="4"/>
    </row>
    <row r="643">
      <c r="C643" s="4"/>
    </row>
    <row r="644">
      <c r="C644" s="4"/>
    </row>
    <row r="645">
      <c r="C645" s="4"/>
    </row>
    <row r="646">
      <c r="C646" s="4"/>
    </row>
    <row r="647">
      <c r="C647" s="4"/>
    </row>
    <row r="648">
      <c r="C648" s="4"/>
    </row>
    <row r="649">
      <c r="C649" s="4"/>
    </row>
    <row r="650">
      <c r="C650" s="4"/>
    </row>
    <row r="651">
      <c r="C651" s="4"/>
    </row>
    <row r="652">
      <c r="C652" s="4"/>
    </row>
    <row r="653">
      <c r="C653" s="4"/>
    </row>
    <row r="654">
      <c r="C654" s="4"/>
    </row>
    <row r="655">
      <c r="C655" s="4"/>
    </row>
    <row r="656">
      <c r="C656" s="4"/>
    </row>
    <row r="657">
      <c r="C657" s="4"/>
    </row>
    <row r="658">
      <c r="C658" s="4"/>
    </row>
    <row r="659">
      <c r="C659" s="4"/>
    </row>
    <row r="660">
      <c r="C660" s="4"/>
    </row>
    <row r="661">
      <c r="C661" s="4"/>
    </row>
    <row r="662">
      <c r="C662" s="4"/>
    </row>
    <row r="663">
      <c r="C663" s="4"/>
    </row>
    <row r="664">
      <c r="C664" s="4"/>
    </row>
    <row r="665">
      <c r="C665" s="4"/>
    </row>
    <row r="666">
      <c r="C666" s="4"/>
    </row>
    <row r="667">
      <c r="C667" s="4"/>
    </row>
    <row r="668">
      <c r="C668" s="4"/>
    </row>
    <row r="669">
      <c r="C669" s="4"/>
    </row>
    <row r="670">
      <c r="C670" s="4"/>
    </row>
    <row r="671">
      <c r="C671" s="4"/>
    </row>
    <row r="672">
      <c r="C672" s="4"/>
    </row>
    <row r="673">
      <c r="C673" s="4"/>
    </row>
    <row r="674">
      <c r="C674" s="4"/>
    </row>
    <row r="675">
      <c r="C675" s="4"/>
    </row>
    <row r="676">
      <c r="C676" s="4"/>
    </row>
    <row r="677">
      <c r="C677" s="4"/>
    </row>
    <row r="678">
      <c r="C678" s="4"/>
    </row>
    <row r="679">
      <c r="C679" s="4"/>
    </row>
    <row r="680">
      <c r="C680" s="4"/>
    </row>
    <row r="681">
      <c r="C681" s="4"/>
    </row>
    <row r="682">
      <c r="C682" s="4"/>
    </row>
    <row r="683">
      <c r="C683" s="4"/>
    </row>
    <row r="684">
      <c r="C684" s="4"/>
    </row>
    <row r="685">
      <c r="C685" s="4"/>
    </row>
    <row r="686">
      <c r="C686" s="4"/>
    </row>
    <row r="687">
      <c r="C687" s="4"/>
    </row>
    <row r="688">
      <c r="C688" s="4"/>
    </row>
    <row r="689">
      <c r="C689" s="4"/>
    </row>
    <row r="690">
      <c r="C690" s="4"/>
    </row>
    <row r="691">
      <c r="C691" s="4"/>
    </row>
    <row r="692">
      <c r="C692" s="4"/>
    </row>
    <row r="693">
      <c r="C693" s="4"/>
    </row>
    <row r="694">
      <c r="C694" s="4"/>
    </row>
    <row r="695">
      <c r="C695" s="4"/>
    </row>
    <row r="696">
      <c r="C696" s="4"/>
    </row>
    <row r="697">
      <c r="C697" s="4"/>
    </row>
    <row r="698">
      <c r="C698" s="4"/>
    </row>
    <row r="699">
      <c r="C699" s="4"/>
    </row>
    <row r="700">
      <c r="C700" s="4"/>
    </row>
    <row r="701">
      <c r="C701" s="4"/>
    </row>
    <row r="702">
      <c r="C702" s="4"/>
    </row>
    <row r="703">
      <c r="C703" s="4"/>
    </row>
    <row r="704">
      <c r="C704" s="4"/>
    </row>
    <row r="705">
      <c r="C705" s="4"/>
    </row>
    <row r="706">
      <c r="C706" s="4"/>
    </row>
    <row r="707">
      <c r="C707" s="4"/>
    </row>
    <row r="708">
      <c r="C708" s="4"/>
    </row>
    <row r="709">
      <c r="C709" s="4"/>
    </row>
    <row r="710">
      <c r="C710" s="4"/>
    </row>
    <row r="711">
      <c r="C711" s="4"/>
    </row>
    <row r="712">
      <c r="C712" s="4"/>
    </row>
    <row r="713">
      <c r="C713" s="4"/>
    </row>
    <row r="714">
      <c r="C714" s="4"/>
    </row>
    <row r="715">
      <c r="C715" s="4"/>
    </row>
    <row r="716">
      <c r="C716" s="4"/>
    </row>
    <row r="717">
      <c r="C717" s="4"/>
    </row>
    <row r="718">
      <c r="C718" s="4"/>
    </row>
    <row r="719">
      <c r="C719" s="4"/>
    </row>
    <row r="720">
      <c r="C720" s="4"/>
    </row>
    <row r="721">
      <c r="C721" s="4"/>
    </row>
    <row r="722">
      <c r="C722" s="4"/>
    </row>
    <row r="723">
      <c r="C723" s="4"/>
    </row>
    <row r="724">
      <c r="C724" s="4"/>
    </row>
    <row r="725">
      <c r="C725" s="4"/>
    </row>
    <row r="726">
      <c r="C726" s="4"/>
    </row>
    <row r="727">
      <c r="C727" s="4"/>
    </row>
    <row r="728">
      <c r="C728" s="4"/>
    </row>
    <row r="729">
      <c r="C729" s="4"/>
    </row>
    <row r="730">
      <c r="C730" s="4"/>
    </row>
    <row r="731">
      <c r="C731" s="4"/>
    </row>
    <row r="732">
      <c r="C732" s="4"/>
    </row>
    <row r="733">
      <c r="C733" s="4"/>
    </row>
    <row r="734">
      <c r="C734" s="4"/>
    </row>
    <row r="735">
      <c r="C735" s="4"/>
    </row>
    <row r="736">
      <c r="C736" s="4"/>
    </row>
    <row r="737">
      <c r="C737" s="4"/>
    </row>
    <row r="738">
      <c r="C738" s="4"/>
    </row>
    <row r="739">
      <c r="C739" s="4"/>
    </row>
    <row r="740">
      <c r="C740" s="4"/>
    </row>
    <row r="741">
      <c r="C741" s="4"/>
    </row>
    <row r="742">
      <c r="C742" s="4"/>
    </row>
    <row r="743">
      <c r="C743" s="4"/>
    </row>
    <row r="744">
      <c r="C744" s="4"/>
    </row>
    <row r="745">
      <c r="C745" s="4"/>
    </row>
    <row r="746">
      <c r="C746" s="4"/>
    </row>
    <row r="747">
      <c r="C747" s="4"/>
    </row>
    <row r="748">
      <c r="C748" s="4"/>
    </row>
    <row r="749">
      <c r="C749" s="4"/>
    </row>
    <row r="750">
      <c r="C750" s="4"/>
    </row>
    <row r="751">
      <c r="C751" s="4"/>
    </row>
    <row r="752">
      <c r="C752" s="4"/>
    </row>
    <row r="753">
      <c r="C753" s="4"/>
    </row>
    <row r="754">
      <c r="C754" s="4"/>
    </row>
    <row r="755">
      <c r="C755" s="4"/>
    </row>
    <row r="756">
      <c r="C756" s="4"/>
    </row>
    <row r="757">
      <c r="C757" s="4"/>
    </row>
    <row r="758">
      <c r="C758" s="4"/>
    </row>
    <row r="759">
      <c r="C759" s="4"/>
    </row>
    <row r="760">
      <c r="C760" s="4"/>
    </row>
    <row r="761">
      <c r="C761" s="4"/>
    </row>
    <row r="762">
      <c r="C762" s="4"/>
    </row>
    <row r="763">
      <c r="C763" s="4"/>
    </row>
    <row r="764">
      <c r="C764" s="4"/>
    </row>
    <row r="765">
      <c r="C765" s="4"/>
    </row>
    <row r="766">
      <c r="C766" s="4"/>
    </row>
    <row r="767">
      <c r="C767" s="4"/>
    </row>
    <row r="768">
      <c r="C768" s="4"/>
    </row>
    <row r="769">
      <c r="C769" s="4"/>
    </row>
    <row r="770">
      <c r="C770" s="4"/>
    </row>
    <row r="771">
      <c r="C771" s="4"/>
    </row>
    <row r="772">
      <c r="C772" s="4"/>
    </row>
    <row r="773">
      <c r="C773" s="4"/>
    </row>
    <row r="774">
      <c r="C774" s="4"/>
    </row>
    <row r="775">
      <c r="C775" s="4"/>
    </row>
    <row r="776">
      <c r="C776" s="4"/>
    </row>
    <row r="777">
      <c r="C777" s="4"/>
    </row>
    <row r="778">
      <c r="C778" s="4"/>
    </row>
    <row r="779">
      <c r="C779" s="4"/>
    </row>
    <row r="780">
      <c r="C780" s="4"/>
    </row>
    <row r="781">
      <c r="C781" s="4"/>
    </row>
    <row r="782">
      <c r="C782" s="4"/>
    </row>
    <row r="783">
      <c r="C783" s="4"/>
    </row>
    <row r="784">
      <c r="C784" s="4"/>
    </row>
    <row r="785">
      <c r="C785" s="4"/>
    </row>
    <row r="786">
      <c r="C786" s="4"/>
    </row>
    <row r="787">
      <c r="C787" s="4"/>
    </row>
    <row r="788">
      <c r="C788" s="4"/>
    </row>
    <row r="789">
      <c r="C789" s="4"/>
    </row>
    <row r="790">
      <c r="C790" s="4"/>
    </row>
    <row r="791">
      <c r="C791" s="4"/>
    </row>
    <row r="792">
      <c r="C792" s="4"/>
    </row>
    <row r="793">
      <c r="C793" s="4"/>
    </row>
    <row r="794">
      <c r="C794" s="4"/>
    </row>
    <row r="795">
      <c r="C795" s="4"/>
    </row>
    <row r="796">
      <c r="C796" s="4"/>
    </row>
    <row r="797">
      <c r="C797" s="4"/>
    </row>
    <row r="798">
      <c r="C798" s="4"/>
    </row>
    <row r="799">
      <c r="C799" s="4"/>
    </row>
    <row r="800">
      <c r="C800" s="4"/>
    </row>
    <row r="801">
      <c r="C801" s="4"/>
    </row>
    <row r="802">
      <c r="C802" s="4"/>
    </row>
    <row r="803">
      <c r="C803" s="4"/>
    </row>
    <row r="804">
      <c r="C804" s="4"/>
    </row>
    <row r="805">
      <c r="C805" s="4"/>
    </row>
    <row r="806">
      <c r="C806" s="4"/>
    </row>
    <row r="807">
      <c r="C807" s="4"/>
    </row>
    <row r="808">
      <c r="C808" s="4"/>
    </row>
    <row r="809">
      <c r="C809" s="4"/>
    </row>
    <row r="810">
      <c r="C810" s="4"/>
    </row>
    <row r="811">
      <c r="C811" s="4"/>
    </row>
    <row r="812">
      <c r="C812" s="4"/>
    </row>
    <row r="813">
      <c r="C813" s="4"/>
    </row>
    <row r="814">
      <c r="C814" s="4"/>
    </row>
    <row r="815">
      <c r="C815" s="4"/>
    </row>
    <row r="816">
      <c r="C816" s="4"/>
    </row>
    <row r="817">
      <c r="C817" s="4"/>
    </row>
    <row r="818">
      <c r="C818" s="4"/>
    </row>
    <row r="819">
      <c r="C819" s="4"/>
    </row>
    <row r="820">
      <c r="C820" s="4"/>
    </row>
    <row r="821">
      <c r="C821" s="4"/>
    </row>
    <row r="822">
      <c r="C822" s="4"/>
    </row>
    <row r="823">
      <c r="C823" s="4"/>
    </row>
    <row r="824">
      <c r="C824" s="4"/>
    </row>
    <row r="825">
      <c r="C825" s="4"/>
    </row>
    <row r="826">
      <c r="C826" s="4"/>
    </row>
    <row r="827">
      <c r="C827" s="4"/>
    </row>
    <row r="828">
      <c r="C828" s="4"/>
    </row>
    <row r="829">
      <c r="C829" s="4"/>
    </row>
    <row r="830">
      <c r="C830" s="4"/>
    </row>
    <row r="831">
      <c r="C831" s="4"/>
    </row>
    <row r="832">
      <c r="C832" s="4"/>
    </row>
    <row r="833">
      <c r="C833" s="4"/>
    </row>
    <row r="834">
      <c r="C834" s="4"/>
    </row>
    <row r="835">
      <c r="C835" s="4"/>
    </row>
    <row r="836">
      <c r="C836" s="4"/>
    </row>
    <row r="837">
      <c r="C837" s="4"/>
    </row>
    <row r="838">
      <c r="C838" s="4"/>
    </row>
    <row r="839">
      <c r="C839" s="4"/>
    </row>
    <row r="840">
      <c r="C840" s="4"/>
    </row>
    <row r="841">
      <c r="C841" s="4"/>
    </row>
    <row r="842">
      <c r="C842" s="4"/>
    </row>
    <row r="843">
      <c r="C843" s="4"/>
    </row>
    <row r="844">
      <c r="C844" s="4"/>
    </row>
    <row r="845">
      <c r="C845" s="4"/>
    </row>
    <row r="846">
      <c r="C846" s="4"/>
    </row>
    <row r="847">
      <c r="C847" s="4"/>
    </row>
    <row r="848">
      <c r="C848" s="4"/>
    </row>
    <row r="849">
      <c r="C849" s="4"/>
    </row>
    <row r="850">
      <c r="C850" s="4"/>
    </row>
    <row r="851">
      <c r="C851" s="4"/>
    </row>
    <row r="852">
      <c r="C852" s="4"/>
    </row>
    <row r="853">
      <c r="C853" s="4"/>
    </row>
    <row r="854">
      <c r="C854" s="4"/>
    </row>
    <row r="855">
      <c r="C855" s="4"/>
    </row>
    <row r="856">
      <c r="C856" s="4"/>
    </row>
    <row r="857">
      <c r="C857" s="4"/>
    </row>
    <row r="858">
      <c r="C858" s="4"/>
    </row>
    <row r="859">
      <c r="C859" s="4"/>
    </row>
    <row r="860">
      <c r="C860" s="4"/>
    </row>
    <row r="861">
      <c r="C861" s="4"/>
    </row>
    <row r="862">
      <c r="C862" s="4"/>
    </row>
    <row r="863">
      <c r="C863" s="4"/>
    </row>
    <row r="864">
      <c r="C864" s="4"/>
    </row>
    <row r="865">
      <c r="C865" s="4"/>
    </row>
    <row r="866">
      <c r="C866" s="4"/>
    </row>
    <row r="867">
      <c r="C867" s="4"/>
    </row>
    <row r="868">
      <c r="C868" s="4"/>
    </row>
    <row r="869">
      <c r="C869" s="4"/>
    </row>
    <row r="870">
      <c r="C870" s="4"/>
    </row>
    <row r="871">
      <c r="C871" s="4"/>
    </row>
    <row r="872">
      <c r="C872" s="4"/>
    </row>
    <row r="873">
      <c r="C873" s="4"/>
    </row>
    <row r="874">
      <c r="C874" s="4"/>
    </row>
    <row r="875">
      <c r="C875" s="4"/>
    </row>
    <row r="876">
      <c r="C876" s="4"/>
    </row>
    <row r="877">
      <c r="C877" s="4"/>
    </row>
    <row r="878">
      <c r="C878" s="4"/>
    </row>
    <row r="879">
      <c r="C879" s="4"/>
    </row>
    <row r="880">
      <c r="C880" s="4"/>
    </row>
    <row r="881">
      <c r="C881" s="4"/>
    </row>
    <row r="882">
      <c r="C882" s="4"/>
    </row>
    <row r="883">
      <c r="C883" s="4"/>
    </row>
    <row r="884">
      <c r="C884" s="4"/>
    </row>
    <row r="885">
      <c r="C885" s="4"/>
    </row>
    <row r="886">
      <c r="C886" s="4"/>
    </row>
    <row r="887">
      <c r="C887" s="4"/>
    </row>
    <row r="888">
      <c r="C888" s="4"/>
    </row>
    <row r="889">
      <c r="C889" s="4"/>
    </row>
    <row r="890">
      <c r="C890" s="4"/>
    </row>
    <row r="891">
      <c r="C891" s="4"/>
    </row>
    <row r="892">
      <c r="C892" s="4"/>
    </row>
    <row r="893">
      <c r="C893" s="4"/>
    </row>
    <row r="894">
      <c r="C894" s="4"/>
    </row>
    <row r="895">
      <c r="C895" s="4"/>
    </row>
    <row r="896">
      <c r="C896" s="4"/>
    </row>
    <row r="897">
      <c r="C897" s="4"/>
    </row>
    <row r="898">
      <c r="C898" s="4"/>
    </row>
    <row r="899">
      <c r="C899" s="4"/>
    </row>
    <row r="900">
      <c r="C900" s="4"/>
    </row>
    <row r="901">
      <c r="C901" s="4"/>
    </row>
    <row r="902">
      <c r="C902" s="4"/>
    </row>
    <row r="903">
      <c r="C903" s="4"/>
    </row>
    <row r="904">
      <c r="C904" s="4"/>
    </row>
    <row r="905">
      <c r="C905" s="4"/>
    </row>
    <row r="906">
      <c r="C906" s="4"/>
    </row>
    <row r="907">
      <c r="C907" s="4"/>
    </row>
    <row r="908">
      <c r="C908" s="4"/>
    </row>
    <row r="909">
      <c r="C909" s="4"/>
    </row>
    <row r="910">
      <c r="C910" s="4"/>
    </row>
    <row r="911">
      <c r="C911" s="4"/>
    </row>
    <row r="912">
      <c r="C912" s="4"/>
    </row>
    <row r="913">
      <c r="C913" s="4"/>
    </row>
    <row r="914">
      <c r="C914" s="4"/>
    </row>
    <row r="915">
      <c r="C915" s="4"/>
    </row>
    <row r="916">
      <c r="C916" s="4"/>
    </row>
    <row r="917">
      <c r="C917" s="4"/>
    </row>
    <row r="918">
      <c r="C918" s="4"/>
    </row>
    <row r="919">
      <c r="C919" s="4"/>
    </row>
    <row r="920">
      <c r="C920" s="4"/>
    </row>
    <row r="921">
      <c r="C921" s="4"/>
    </row>
    <row r="922">
      <c r="C922" s="4"/>
    </row>
    <row r="923">
      <c r="C923" s="4"/>
    </row>
    <row r="924">
      <c r="C924" s="4"/>
    </row>
    <row r="925">
      <c r="C925" s="4"/>
    </row>
    <row r="926">
      <c r="C926" s="4"/>
    </row>
    <row r="927">
      <c r="C927" s="4"/>
    </row>
    <row r="928">
      <c r="C928" s="4"/>
    </row>
    <row r="929">
      <c r="C929" s="4"/>
    </row>
    <row r="930">
      <c r="C930" s="4"/>
    </row>
    <row r="931">
      <c r="C931" s="4"/>
    </row>
    <row r="932">
      <c r="C932" s="4"/>
    </row>
    <row r="933">
      <c r="C933" s="4"/>
    </row>
    <row r="934">
      <c r="C934" s="4"/>
    </row>
    <row r="935">
      <c r="C935" s="4"/>
    </row>
    <row r="936">
      <c r="C936" s="4"/>
    </row>
    <row r="937">
      <c r="C937" s="4"/>
    </row>
    <row r="938">
      <c r="C938" s="4"/>
    </row>
    <row r="939">
      <c r="C939" s="4"/>
    </row>
    <row r="940">
      <c r="C940" s="4"/>
    </row>
    <row r="941">
      <c r="C941" s="4"/>
    </row>
    <row r="942">
      <c r="C942" s="4"/>
    </row>
    <row r="943">
      <c r="C943" s="4"/>
    </row>
    <row r="944">
      <c r="C944" s="4"/>
    </row>
    <row r="945">
      <c r="C945" s="4"/>
    </row>
    <row r="946">
      <c r="C946" s="4"/>
    </row>
    <row r="947">
      <c r="C947" s="4"/>
    </row>
    <row r="948">
      <c r="C948" s="4"/>
    </row>
    <row r="949">
      <c r="C949" s="4"/>
    </row>
    <row r="950">
      <c r="C950" s="4"/>
    </row>
    <row r="951">
      <c r="C951" s="4"/>
    </row>
    <row r="952">
      <c r="C952" s="4"/>
    </row>
    <row r="953">
      <c r="C953" s="4"/>
    </row>
    <row r="954">
      <c r="C954" s="4"/>
    </row>
    <row r="955">
      <c r="C955" s="4"/>
    </row>
    <row r="956">
      <c r="C956" s="4"/>
    </row>
    <row r="957">
      <c r="C957" s="4"/>
    </row>
    <row r="958">
      <c r="C958" s="4"/>
    </row>
    <row r="959">
      <c r="C959" s="4"/>
    </row>
    <row r="960">
      <c r="C960" s="4"/>
    </row>
    <row r="961">
      <c r="C961" s="4"/>
    </row>
    <row r="962">
      <c r="C962" s="4"/>
    </row>
    <row r="963">
      <c r="C963" s="4"/>
    </row>
    <row r="964">
      <c r="C964" s="4"/>
    </row>
    <row r="965">
      <c r="C965" s="4"/>
    </row>
    <row r="966">
      <c r="C966" s="4"/>
    </row>
    <row r="967">
      <c r="C967" s="4"/>
    </row>
    <row r="968">
      <c r="C968" s="4"/>
    </row>
    <row r="969">
      <c r="C969" s="4"/>
    </row>
    <row r="970">
      <c r="C970" s="4"/>
    </row>
    <row r="971">
      <c r="C971" s="4"/>
    </row>
    <row r="972">
      <c r="C972" s="4"/>
    </row>
    <row r="973">
      <c r="C973" s="4"/>
    </row>
    <row r="974">
      <c r="C974" s="4"/>
    </row>
    <row r="975">
      <c r="C975" s="4"/>
    </row>
    <row r="976">
      <c r="C976" s="4"/>
    </row>
    <row r="977">
      <c r="C977" s="4"/>
    </row>
    <row r="978">
      <c r="C978" s="4"/>
    </row>
    <row r="979">
      <c r="C979" s="4"/>
    </row>
    <row r="980">
      <c r="C980" s="4"/>
    </row>
    <row r="981">
      <c r="C981" s="4"/>
    </row>
    <row r="982">
      <c r="C982" s="4"/>
    </row>
    <row r="983">
      <c r="C983" s="4"/>
    </row>
    <row r="984">
      <c r="C984" s="4"/>
    </row>
    <row r="985">
      <c r="C985" s="4"/>
    </row>
    <row r="986">
      <c r="C986" s="4"/>
    </row>
    <row r="987">
      <c r="C987" s="4"/>
    </row>
    <row r="988">
      <c r="C988" s="4"/>
    </row>
    <row r="989">
      <c r="C989" s="4"/>
    </row>
    <row r="990">
      <c r="C990" s="4"/>
    </row>
    <row r="991">
      <c r="C991" s="4"/>
    </row>
    <row r="992">
      <c r="C992" s="4"/>
    </row>
    <row r="993">
      <c r="C993" s="4"/>
    </row>
    <row r="994">
      <c r="C994" s="4"/>
    </row>
    <row r="995">
      <c r="C995" s="4"/>
    </row>
    <row r="996">
      <c r="C996" s="4"/>
    </row>
    <row r="997">
      <c r="C997" s="4"/>
    </row>
    <row r="998">
      <c r="C998" s="4"/>
    </row>
    <row r="999">
      <c r="C999" s="4"/>
    </row>
    <row r="1000">
      <c r="C1000" s="4"/>
    </row>
    <row r="1001">
      <c r="C1001" s="4"/>
    </row>
    <row r="1002">
      <c r="C1002"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5">
        <v>16.0</v>
      </c>
      <c r="D1" s="7">
        <v>6.0</v>
      </c>
      <c r="E1" s="5">
        <v>3.0</v>
      </c>
      <c r="F1" s="5">
        <v>2.0</v>
      </c>
      <c r="G1" s="9">
        <v>6.0</v>
      </c>
      <c r="H1" s="5">
        <v>4.0</v>
      </c>
      <c r="I1" s="5">
        <v>3.0</v>
      </c>
      <c r="J1" s="5">
        <v>1.0</v>
      </c>
      <c r="K1" s="5">
        <v>2.0</v>
      </c>
      <c r="L1" s="1">
        <f>VLOOKUP(H2,CXP!$A$1:$AS$344,39)</f>
        <v>1900</v>
      </c>
      <c r="M1" s="1">
        <f>VLOOKUP(I2,CXP!$A$1:$AS$344,39)</f>
        <v>2900</v>
      </c>
      <c r="N1" s="1">
        <f>VLOOKUP(J2,CXP!$A$1:$AS$344,39)</f>
        <v>1780</v>
      </c>
      <c r="O1" s="1">
        <f>VLOOKUP(K2,CXP!$A$1:$AS$344,39)</f>
        <v>2690</v>
      </c>
    </row>
    <row r="2">
      <c r="A2" s="5" t="s">
        <v>0</v>
      </c>
      <c r="B2" s="5" t="s">
        <v>1</v>
      </c>
      <c r="C2" s="5" t="s">
        <v>20</v>
      </c>
      <c r="D2" s="7" t="s">
        <v>21</v>
      </c>
      <c r="E2" s="5" t="s">
        <v>22</v>
      </c>
      <c r="F2" s="5" t="s">
        <v>23</v>
      </c>
      <c r="G2" s="9" t="s">
        <v>24</v>
      </c>
      <c r="H2" s="5" t="s">
        <v>20</v>
      </c>
      <c r="I2" s="5" t="s">
        <v>25</v>
      </c>
      <c r="J2" s="5" t="s">
        <v>26</v>
      </c>
      <c r="K2" s="5" t="s">
        <v>23</v>
      </c>
      <c r="L2" s="5" t="s">
        <v>27</v>
      </c>
      <c r="M2" s="5" t="s">
        <v>28</v>
      </c>
      <c r="N2" s="5" t="s">
        <v>29</v>
      </c>
      <c r="O2" s="5" t="s">
        <v>30</v>
      </c>
      <c r="P2" s="5" t="s">
        <v>31</v>
      </c>
    </row>
    <row r="3">
      <c r="A3" s="5">
        <v>0.0</v>
      </c>
      <c r="B3" s="8">
        <f t="shared" ref="B3:B183" si="3">0.33+0.67/(1+EXP(1789/25000 * (A3-100.87)))</f>
        <v>0.9995091969</v>
      </c>
      <c r="C3" s="1">
        <f t="shared" ref="C3:K3" si="1">IF(ISBLANK(C$2),"",C$1-_xlfn.FLOOR.MATH(C$1*(180-MIN(180,$A3))/180))</f>
        <v>0</v>
      </c>
      <c r="D3" s="4">
        <f t="shared" si="1"/>
        <v>0</v>
      </c>
      <c r="E3" s="1">
        <f t="shared" si="1"/>
        <v>0</v>
      </c>
      <c r="F3" s="1">
        <f t="shared" si="1"/>
        <v>0</v>
      </c>
      <c r="G3" s="10">
        <f t="shared" si="1"/>
        <v>0</v>
      </c>
      <c r="H3" s="1">
        <f t="shared" si="1"/>
        <v>0</v>
      </c>
      <c r="I3" s="1">
        <f t="shared" si="1"/>
        <v>0</v>
      </c>
      <c r="J3" s="1">
        <f t="shared" si="1"/>
        <v>0</v>
      </c>
      <c r="K3" s="1">
        <f t="shared" si="1"/>
        <v>0</v>
      </c>
      <c r="L3" s="1">
        <f t="shared" ref="L3:O3" si="2">H3*L$1</f>
        <v>0</v>
      </c>
      <c r="M3" s="1">
        <f t="shared" si="2"/>
        <v>0</v>
      </c>
      <c r="N3" s="1">
        <f t="shared" si="2"/>
        <v>0</v>
      </c>
      <c r="O3" s="1">
        <f t="shared" si="2"/>
        <v>0</v>
      </c>
      <c r="P3" s="1">
        <f t="shared" ref="P3:P183" si="6">SUM(L3:O3)</f>
        <v>0</v>
      </c>
    </row>
    <row r="4">
      <c r="A4" s="5">
        <v>1.0</v>
      </c>
      <c r="B4" s="8">
        <f t="shared" si="3"/>
        <v>0.9994728165</v>
      </c>
      <c r="C4" s="1">
        <f t="shared" ref="C4:K4" si="4">IF(ISBLANK(C$2),"",C$1-_xlfn.FLOOR.MATH(C$1*(180-MIN(180,$A4))/180))</f>
        <v>1</v>
      </c>
      <c r="D4" s="4">
        <f t="shared" si="4"/>
        <v>1</v>
      </c>
      <c r="E4" s="1">
        <f t="shared" si="4"/>
        <v>1</v>
      </c>
      <c r="F4" s="1">
        <f t="shared" si="4"/>
        <v>1</v>
      </c>
      <c r="G4" s="10">
        <f t="shared" si="4"/>
        <v>1</v>
      </c>
      <c r="H4" s="1">
        <f t="shared" si="4"/>
        <v>1</v>
      </c>
      <c r="I4" s="1">
        <f t="shared" si="4"/>
        <v>1</v>
      </c>
      <c r="J4" s="1">
        <f t="shared" si="4"/>
        <v>1</v>
      </c>
      <c r="K4" s="1">
        <f t="shared" si="4"/>
        <v>1</v>
      </c>
      <c r="L4" s="1">
        <f t="shared" ref="L4:O4" si="5">H4*L$1</f>
        <v>1900</v>
      </c>
      <c r="M4" s="1">
        <f t="shared" si="5"/>
        <v>2900</v>
      </c>
      <c r="N4" s="1">
        <f t="shared" si="5"/>
        <v>1780</v>
      </c>
      <c r="O4" s="1">
        <f t="shared" si="5"/>
        <v>2690</v>
      </c>
      <c r="P4" s="1">
        <f t="shared" si="6"/>
        <v>9270</v>
      </c>
    </row>
    <row r="5">
      <c r="A5" s="5">
        <v>2.0</v>
      </c>
      <c r="B5" s="8">
        <f t="shared" si="3"/>
        <v>0.9994337417</v>
      </c>
      <c r="C5" s="1">
        <f t="shared" ref="C5:K5" si="7">IF(ISBLANK(C$2),"",C$1-_xlfn.FLOOR.MATH(C$1*(180-MIN(180,$A5))/180))</f>
        <v>1</v>
      </c>
      <c r="D5" s="4">
        <f t="shared" si="7"/>
        <v>1</v>
      </c>
      <c r="E5" s="1">
        <f t="shared" si="7"/>
        <v>1</v>
      </c>
      <c r="F5" s="1">
        <f t="shared" si="7"/>
        <v>1</v>
      </c>
      <c r="G5" s="10">
        <f t="shared" si="7"/>
        <v>1</v>
      </c>
      <c r="H5" s="1">
        <f t="shared" si="7"/>
        <v>1</v>
      </c>
      <c r="I5" s="1">
        <f t="shared" si="7"/>
        <v>1</v>
      </c>
      <c r="J5" s="1">
        <f t="shared" si="7"/>
        <v>1</v>
      </c>
      <c r="K5" s="1">
        <f t="shared" si="7"/>
        <v>1</v>
      </c>
      <c r="L5" s="1">
        <f t="shared" ref="L5:O5" si="8">H5*L$1</f>
        <v>1900</v>
      </c>
      <c r="M5" s="1">
        <f t="shared" si="8"/>
        <v>2900</v>
      </c>
      <c r="N5" s="1">
        <f t="shared" si="8"/>
        <v>1780</v>
      </c>
      <c r="O5" s="1">
        <f t="shared" si="8"/>
        <v>2690</v>
      </c>
      <c r="P5" s="1">
        <f t="shared" si="6"/>
        <v>9270</v>
      </c>
    </row>
    <row r="6">
      <c r="A6" s="5">
        <v>3.0</v>
      </c>
      <c r="B6" s="8">
        <f t="shared" si="3"/>
        <v>0.9993917734</v>
      </c>
      <c r="C6" s="1">
        <f t="shared" ref="C6:K6" si="9">IF(ISBLANK(C$2),"",C$1-_xlfn.FLOOR.MATH(C$1*(180-MIN(180,$A6))/180))</f>
        <v>1</v>
      </c>
      <c r="D6" s="4">
        <f t="shared" si="9"/>
        <v>1</v>
      </c>
      <c r="E6" s="1">
        <f t="shared" si="9"/>
        <v>1</v>
      </c>
      <c r="F6" s="1">
        <f t="shared" si="9"/>
        <v>1</v>
      </c>
      <c r="G6" s="10">
        <f t="shared" si="9"/>
        <v>1</v>
      </c>
      <c r="H6" s="1">
        <f t="shared" si="9"/>
        <v>1</v>
      </c>
      <c r="I6" s="1">
        <f t="shared" si="9"/>
        <v>1</v>
      </c>
      <c r="J6" s="1">
        <f t="shared" si="9"/>
        <v>1</v>
      </c>
      <c r="K6" s="1">
        <f t="shared" si="9"/>
        <v>1</v>
      </c>
      <c r="L6" s="1">
        <f t="shared" ref="L6:O6" si="10">H6*L$1</f>
        <v>1900</v>
      </c>
      <c r="M6" s="1">
        <f t="shared" si="10"/>
        <v>2900</v>
      </c>
      <c r="N6" s="1">
        <f t="shared" si="10"/>
        <v>1780</v>
      </c>
      <c r="O6" s="1">
        <f t="shared" si="10"/>
        <v>2690</v>
      </c>
      <c r="P6" s="1">
        <f t="shared" si="6"/>
        <v>9270</v>
      </c>
    </row>
    <row r="7">
      <c r="A7" s="5">
        <v>4.0</v>
      </c>
      <c r="B7" s="8">
        <f t="shared" si="3"/>
        <v>0.9993466975</v>
      </c>
      <c r="C7" s="1">
        <f t="shared" ref="C7:K7" si="11">IF(ISBLANK(C$2),"",C$1-_xlfn.FLOOR.MATH(C$1*(180-MIN(180,$A7))/180))</f>
        <v>1</v>
      </c>
      <c r="D7" s="4">
        <f t="shared" si="11"/>
        <v>1</v>
      </c>
      <c r="E7" s="1">
        <f t="shared" si="11"/>
        <v>1</v>
      </c>
      <c r="F7" s="1">
        <f t="shared" si="11"/>
        <v>1</v>
      </c>
      <c r="G7" s="10">
        <f t="shared" si="11"/>
        <v>1</v>
      </c>
      <c r="H7" s="1">
        <f t="shared" si="11"/>
        <v>1</v>
      </c>
      <c r="I7" s="1">
        <f t="shared" si="11"/>
        <v>1</v>
      </c>
      <c r="J7" s="1">
        <f t="shared" si="11"/>
        <v>1</v>
      </c>
      <c r="K7" s="1">
        <f t="shared" si="11"/>
        <v>1</v>
      </c>
      <c r="L7" s="1">
        <f t="shared" ref="L7:O7" si="12">H7*L$1</f>
        <v>1900</v>
      </c>
      <c r="M7" s="1">
        <f t="shared" si="12"/>
        <v>2900</v>
      </c>
      <c r="N7" s="1">
        <f t="shared" si="12"/>
        <v>1780</v>
      </c>
      <c r="O7" s="1">
        <f t="shared" si="12"/>
        <v>2690</v>
      </c>
      <c r="P7" s="1">
        <f t="shared" si="6"/>
        <v>9270</v>
      </c>
    </row>
    <row r="8">
      <c r="A8" s="5">
        <v>5.0</v>
      </c>
      <c r="B8" s="8">
        <f t="shared" si="3"/>
        <v>0.9992982846</v>
      </c>
      <c r="C8" s="1">
        <f t="shared" ref="C8:K8" si="13">IF(ISBLANK(C$2),"",C$1-_xlfn.FLOOR.MATH(C$1*(180-MIN(180,$A8))/180))</f>
        <v>1</v>
      </c>
      <c r="D8" s="4">
        <f t="shared" si="13"/>
        <v>1</v>
      </c>
      <c r="E8" s="1">
        <f t="shared" si="13"/>
        <v>1</v>
      </c>
      <c r="F8" s="1">
        <f t="shared" si="13"/>
        <v>1</v>
      </c>
      <c r="G8" s="10">
        <f t="shared" si="13"/>
        <v>1</v>
      </c>
      <c r="H8" s="1">
        <f t="shared" si="13"/>
        <v>1</v>
      </c>
      <c r="I8" s="1">
        <f t="shared" si="13"/>
        <v>1</v>
      </c>
      <c r="J8" s="1">
        <f t="shared" si="13"/>
        <v>1</v>
      </c>
      <c r="K8" s="1">
        <f t="shared" si="13"/>
        <v>1</v>
      </c>
      <c r="L8" s="1">
        <f t="shared" ref="L8:O8" si="14">H8*L$1</f>
        <v>1900</v>
      </c>
      <c r="M8" s="1">
        <f t="shared" si="14"/>
        <v>2900</v>
      </c>
      <c r="N8" s="1">
        <f t="shared" si="14"/>
        <v>1780</v>
      </c>
      <c r="O8" s="1">
        <f t="shared" si="14"/>
        <v>2690</v>
      </c>
      <c r="P8" s="1">
        <f t="shared" si="6"/>
        <v>9270</v>
      </c>
    </row>
    <row r="9">
      <c r="A9" s="5">
        <v>6.0</v>
      </c>
      <c r="B9" s="8">
        <f t="shared" si="3"/>
        <v>0.9992462881</v>
      </c>
      <c r="C9" s="1">
        <f t="shared" ref="C9:K9" si="15">IF(ISBLANK(C$2),"",C$1-_xlfn.FLOOR.MATH(C$1*(180-MIN(180,$A9))/180))</f>
        <v>1</v>
      </c>
      <c r="D9" s="4">
        <f t="shared" si="15"/>
        <v>1</v>
      </c>
      <c r="E9" s="1">
        <f t="shared" si="15"/>
        <v>1</v>
      </c>
      <c r="F9" s="1">
        <f t="shared" si="15"/>
        <v>1</v>
      </c>
      <c r="G9" s="10">
        <f t="shared" si="15"/>
        <v>1</v>
      </c>
      <c r="H9" s="1">
        <f t="shared" si="15"/>
        <v>1</v>
      </c>
      <c r="I9" s="1">
        <f t="shared" si="15"/>
        <v>1</v>
      </c>
      <c r="J9" s="1">
        <f t="shared" si="15"/>
        <v>1</v>
      </c>
      <c r="K9" s="1">
        <f t="shared" si="15"/>
        <v>1</v>
      </c>
      <c r="L9" s="1">
        <f t="shared" ref="L9:O9" si="16">H9*L$1</f>
        <v>1900</v>
      </c>
      <c r="M9" s="1">
        <f t="shared" si="16"/>
        <v>2900</v>
      </c>
      <c r="N9" s="1">
        <f t="shared" si="16"/>
        <v>1780</v>
      </c>
      <c r="O9" s="1">
        <f t="shared" si="16"/>
        <v>2690</v>
      </c>
      <c r="P9" s="1">
        <f t="shared" si="6"/>
        <v>9270</v>
      </c>
    </row>
    <row r="10">
      <c r="A10" s="5">
        <v>7.0</v>
      </c>
      <c r="B10" s="8">
        <f t="shared" si="3"/>
        <v>0.9991904433</v>
      </c>
      <c r="C10" s="1">
        <f t="shared" ref="C10:K10" si="17">IF(ISBLANK(C$2),"",C$1-_xlfn.FLOOR.MATH(C$1*(180-MIN(180,$A10))/180))</f>
        <v>1</v>
      </c>
      <c r="D10" s="4">
        <f t="shared" si="17"/>
        <v>1</v>
      </c>
      <c r="E10" s="1">
        <f t="shared" si="17"/>
        <v>1</v>
      </c>
      <c r="F10" s="1">
        <f t="shared" si="17"/>
        <v>1</v>
      </c>
      <c r="G10" s="10">
        <f t="shared" si="17"/>
        <v>1</v>
      </c>
      <c r="H10" s="1">
        <f t="shared" si="17"/>
        <v>1</v>
      </c>
      <c r="I10" s="1">
        <f t="shared" si="17"/>
        <v>1</v>
      </c>
      <c r="J10" s="1">
        <f t="shared" si="17"/>
        <v>1</v>
      </c>
      <c r="K10" s="1">
        <f t="shared" si="17"/>
        <v>1</v>
      </c>
      <c r="L10" s="1">
        <f t="shared" ref="L10:O10" si="18">H10*L$1</f>
        <v>1900</v>
      </c>
      <c r="M10" s="1">
        <f t="shared" si="18"/>
        <v>2900</v>
      </c>
      <c r="N10" s="1">
        <f t="shared" si="18"/>
        <v>1780</v>
      </c>
      <c r="O10" s="1">
        <f t="shared" si="18"/>
        <v>2690</v>
      </c>
      <c r="P10" s="1">
        <f t="shared" si="6"/>
        <v>9270</v>
      </c>
    </row>
    <row r="11">
      <c r="A11" s="5">
        <v>8.0</v>
      </c>
      <c r="B11" s="8">
        <f t="shared" si="3"/>
        <v>0.9991304663</v>
      </c>
      <c r="C11" s="1">
        <f t="shared" ref="C11:K11" si="19">IF(ISBLANK(C$2),"",C$1-_xlfn.FLOOR.MATH(C$1*(180-MIN(180,$A11))/180))</f>
        <v>1</v>
      </c>
      <c r="D11" s="4">
        <f t="shared" si="19"/>
        <v>1</v>
      </c>
      <c r="E11" s="1">
        <f t="shared" si="19"/>
        <v>1</v>
      </c>
      <c r="F11" s="1">
        <f t="shared" si="19"/>
        <v>1</v>
      </c>
      <c r="G11" s="10">
        <f t="shared" si="19"/>
        <v>1</v>
      </c>
      <c r="H11" s="1">
        <f t="shared" si="19"/>
        <v>1</v>
      </c>
      <c r="I11" s="1">
        <f t="shared" si="19"/>
        <v>1</v>
      </c>
      <c r="J11" s="1">
        <f t="shared" si="19"/>
        <v>1</v>
      </c>
      <c r="K11" s="1">
        <f t="shared" si="19"/>
        <v>1</v>
      </c>
      <c r="L11" s="1">
        <f t="shared" ref="L11:O11" si="20">H11*L$1</f>
        <v>1900</v>
      </c>
      <c r="M11" s="1">
        <f t="shared" si="20"/>
        <v>2900</v>
      </c>
      <c r="N11" s="1">
        <f t="shared" si="20"/>
        <v>1780</v>
      </c>
      <c r="O11" s="1">
        <f t="shared" si="20"/>
        <v>2690</v>
      </c>
      <c r="P11" s="1">
        <f t="shared" si="6"/>
        <v>9270</v>
      </c>
    </row>
    <row r="12">
      <c r="A12" s="5">
        <v>9.0</v>
      </c>
      <c r="B12" s="8">
        <f t="shared" si="3"/>
        <v>0.9990660519</v>
      </c>
      <c r="C12" s="1">
        <f t="shared" ref="C12:K12" si="21">IF(ISBLANK(C$2),"",C$1-_xlfn.FLOOR.MATH(C$1*(180-MIN(180,$A12))/180))</f>
        <v>1</v>
      </c>
      <c r="D12" s="4">
        <f t="shared" si="21"/>
        <v>1</v>
      </c>
      <c r="E12" s="1">
        <f t="shared" si="21"/>
        <v>1</v>
      </c>
      <c r="F12" s="1">
        <f t="shared" si="21"/>
        <v>1</v>
      </c>
      <c r="G12" s="10">
        <f t="shared" si="21"/>
        <v>1</v>
      </c>
      <c r="H12" s="1">
        <f t="shared" si="21"/>
        <v>1</v>
      </c>
      <c r="I12" s="1">
        <f t="shared" si="21"/>
        <v>1</v>
      </c>
      <c r="J12" s="1">
        <f t="shared" si="21"/>
        <v>1</v>
      </c>
      <c r="K12" s="1">
        <f t="shared" si="21"/>
        <v>1</v>
      </c>
      <c r="L12" s="1">
        <f t="shared" ref="L12:O12" si="22">H12*L$1</f>
        <v>1900</v>
      </c>
      <c r="M12" s="1">
        <f t="shared" si="22"/>
        <v>2900</v>
      </c>
      <c r="N12" s="1">
        <f t="shared" si="22"/>
        <v>1780</v>
      </c>
      <c r="O12" s="1">
        <f t="shared" si="22"/>
        <v>2690</v>
      </c>
      <c r="P12" s="1">
        <f t="shared" si="6"/>
        <v>9270</v>
      </c>
    </row>
    <row r="13">
      <c r="A13" s="5">
        <v>10.0</v>
      </c>
      <c r="B13" s="8">
        <f t="shared" si="3"/>
        <v>0.9989968729</v>
      </c>
      <c r="C13" s="1">
        <f t="shared" ref="C13:K13" si="23">IF(ISBLANK(C$2),"",C$1-_xlfn.FLOOR.MATH(C$1*(180-MIN(180,$A13))/180))</f>
        <v>1</v>
      </c>
      <c r="D13" s="4">
        <f t="shared" si="23"/>
        <v>1</v>
      </c>
      <c r="E13" s="1">
        <f t="shared" si="23"/>
        <v>1</v>
      </c>
      <c r="F13" s="1">
        <f t="shared" si="23"/>
        <v>1</v>
      </c>
      <c r="G13" s="10">
        <f t="shared" si="23"/>
        <v>1</v>
      </c>
      <c r="H13" s="1">
        <f t="shared" si="23"/>
        <v>1</v>
      </c>
      <c r="I13" s="1">
        <f t="shared" si="23"/>
        <v>1</v>
      </c>
      <c r="J13" s="1">
        <f t="shared" si="23"/>
        <v>1</v>
      </c>
      <c r="K13" s="1">
        <f t="shared" si="23"/>
        <v>1</v>
      </c>
      <c r="L13" s="1">
        <f t="shared" ref="L13:O13" si="24">H13*L$1</f>
        <v>1900</v>
      </c>
      <c r="M13" s="1">
        <f t="shared" si="24"/>
        <v>2900</v>
      </c>
      <c r="N13" s="1">
        <f t="shared" si="24"/>
        <v>1780</v>
      </c>
      <c r="O13" s="1">
        <f t="shared" si="24"/>
        <v>2690</v>
      </c>
      <c r="P13" s="1">
        <f t="shared" si="6"/>
        <v>9270</v>
      </c>
    </row>
    <row r="14">
      <c r="A14" s="5">
        <v>11.0</v>
      </c>
      <c r="B14" s="8">
        <f t="shared" si="3"/>
        <v>0.998922578</v>
      </c>
      <c r="C14" s="1">
        <f t="shared" ref="C14:K14" si="25">IF(ISBLANK(C$2),"",C$1-_xlfn.FLOOR.MATH(C$1*(180-MIN(180,$A14))/180))</f>
        <v>1</v>
      </c>
      <c r="D14" s="4">
        <f t="shared" si="25"/>
        <v>1</v>
      </c>
      <c r="E14" s="1">
        <f t="shared" si="25"/>
        <v>1</v>
      </c>
      <c r="F14" s="1">
        <f t="shared" si="25"/>
        <v>1</v>
      </c>
      <c r="G14" s="10">
        <f t="shared" si="25"/>
        <v>1</v>
      </c>
      <c r="H14" s="1">
        <f t="shared" si="25"/>
        <v>1</v>
      </c>
      <c r="I14" s="1">
        <f t="shared" si="25"/>
        <v>1</v>
      </c>
      <c r="J14" s="1">
        <f t="shared" si="25"/>
        <v>1</v>
      </c>
      <c r="K14" s="1">
        <f t="shared" si="25"/>
        <v>1</v>
      </c>
      <c r="L14" s="1">
        <f t="shared" ref="L14:O14" si="26">H14*L$1</f>
        <v>1900</v>
      </c>
      <c r="M14" s="1">
        <f t="shared" si="26"/>
        <v>2900</v>
      </c>
      <c r="N14" s="1">
        <f t="shared" si="26"/>
        <v>1780</v>
      </c>
      <c r="O14" s="1">
        <f t="shared" si="26"/>
        <v>2690</v>
      </c>
      <c r="P14" s="1">
        <f t="shared" si="6"/>
        <v>9270</v>
      </c>
    </row>
    <row r="15">
      <c r="A15" s="5">
        <v>12.0</v>
      </c>
      <c r="B15" s="8">
        <f t="shared" si="3"/>
        <v>0.9988427901</v>
      </c>
      <c r="C15" s="1">
        <f t="shared" ref="C15:K15" si="27">IF(ISBLANK(C$2),"",C$1-_xlfn.FLOOR.MATH(C$1*(180-MIN(180,$A15))/180))</f>
        <v>2</v>
      </c>
      <c r="D15" s="4">
        <f t="shared" si="27"/>
        <v>1</v>
      </c>
      <c r="E15" s="1">
        <f t="shared" si="27"/>
        <v>1</v>
      </c>
      <c r="F15" s="1">
        <f t="shared" si="27"/>
        <v>1</v>
      </c>
      <c r="G15" s="10">
        <f t="shared" si="27"/>
        <v>1</v>
      </c>
      <c r="H15" s="1">
        <f t="shared" si="27"/>
        <v>1</v>
      </c>
      <c r="I15" s="1">
        <f t="shared" si="27"/>
        <v>1</v>
      </c>
      <c r="J15" s="1">
        <f t="shared" si="27"/>
        <v>1</v>
      </c>
      <c r="K15" s="1">
        <f t="shared" si="27"/>
        <v>1</v>
      </c>
      <c r="L15" s="1">
        <f t="shared" ref="L15:O15" si="28">H15*L$1</f>
        <v>1900</v>
      </c>
      <c r="M15" s="1">
        <f t="shared" si="28"/>
        <v>2900</v>
      </c>
      <c r="N15" s="1">
        <f t="shared" si="28"/>
        <v>1780</v>
      </c>
      <c r="O15" s="1">
        <f t="shared" si="28"/>
        <v>2690</v>
      </c>
      <c r="P15" s="1">
        <f t="shared" si="6"/>
        <v>9270</v>
      </c>
    </row>
    <row r="16">
      <c r="A16" s="5">
        <v>13.0</v>
      </c>
      <c r="B16" s="8">
        <f t="shared" si="3"/>
        <v>0.9987571045</v>
      </c>
      <c r="C16" s="1">
        <f t="shared" ref="C16:K16" si="29">IF(ISBLANK(C$2),"",C$1-_xlfn.FLOOR.MATH(C$1*(180-MIN(180,$A16))/180))</f>
        <v>2</v>
      </c>
      <c r="D16" s="4">
        <f t="shared" si="29"/>
        <v>1</v>
      </c>
      <c r="E16" s="1">
        <f t="shared" si="29"/>
        <v>1</v>
      </c>
      <c r="F16" s="1">
        <f t="shared" si="29"/>
        <v>1</v>
      </c>
      <c r="G16" s="10">
        <f t="shared" si="29"/>
        <v>1</v>
      </c>
      <c r="H16" s="1">
        <f t="shared" si="29"/>
        <v>1</v>
      </c>
      <c r="I16" s="1">
        <f t="shared" si="29"/>
        <v>1</v>
      </c>
      <c r="J16" s="1">
        <f t="shared" si="29"/>
        <v>1</v>
      </c>
      <c r="K16" s="1">
        <f t="shared" si="29"/>
        <v>1</v>
      </c>
      <c r="L16" s="1">
        <f t="shared" ref="L16:O16" si="30">H16*L$1</f>
        <v>1900</v>
      </c>
      <c r="M16" s="1">
        <f t="shared" si="30"/>
        <v>2900</v>
      </c>
      <c r="N16" s="1">
        <f t="shared" si="30"/>
        <v>1780</v>
      </c>
      <c r="O16" s="1">
        <f t="shared" si="30"/>
        <v>2690</v>
      </c>
      <c r="P16" s="1">
        <f t="shared" si="6"/>
        <v>9270</v>
      </c>
    </row>
    <row r="17">
      <c r="A17" s="5">
        <v>14.0</v>
      </c>
      <c r="B17" s="8">
        <f t="shared" si="3"/>
        <v>0.998665087</v>
      </c>
      <c r="C17" s="1">
        <f t="shared" ref="C17:K17" si="31">IF(ISBLANK(C$2),"",C$1-_xlfn.FLOOR.MATH(C$1*(180-MIN(180,$A17))/180))</f>
        <v>2</v>
      </c>
      <c r="D17" s="4">
        <f t="shared" si="31"/>
        <v>1</v>
      </c>
      <c r="E17" s="1">
        <f t="shared" si="31"/>
        <v>1</v>
      </c>
      <c r="F17" s="1">
        <f t="shared" si="31"/>
        <v>1</v>
      </c>
      <c r="G17" s="10">
        <f t="shared" si="31"/>
        <v>1</v>
      </c>
      <c r="H17" s="1">
        <f t="shared" si="31"/>
        <v>1</v>
      </c>
      <c r="I17" s="1">
        <f t="shared" si="31"/>
        <v>1</v>
      </c>
      <c r="J17" s="1">
        <f t="shared" si="31"/>
        <v>1</v>
      </c>
      <c r="K17" s="1">
        <f t="shared" si="31"/>
        <v>1</v>
      </c>
      <c r="L17" s="1">
        <f t="shared" ref="L17:O17" si="32">H17*L$1</f>
        <v>1900</v>
      </c>
      <c r="M17" s="1">
        <f t="shared" si="32"/>
        <v>2900</v>
      </c>
      <c r="N17" s="1">
        <f t="shared" si="32"/>
        <v>1780</v>
      </c>
      <c r="O17" s="1">
        <f t="shared" si="32"/>
        <v>2690</v>
      </c>
      <c r="P17" s="1">
        <f t="shared" si="6"/>
        <v>9270</v>
      </c>
    </row>
    <row r="18">
      <c r="A18" s="5">
        <v>15.0</v>
      </c>
      <c r="B18" s="8">
        <f t="shared" si="3"/>
        <v>0.9985662716</v>
      </c>
      <c r="C18" s="1">
        <f t="shared" ref="C18:K18" si="33">IF(ISBLANK(C$2),"",C$1-_xlfn.FLOOR.MATH(C$1*(180-MIN(180,$A18))/180))</f>
        <v>2</v>
      </c>
      <c r="D18" s="4">
        <f t="shared" si="33"/>
        <v>1</v>
      </c>
      <c r="E18" s="1">
        <f t="shared" si="33"/>
        <v>1</v>
      </c>
      <c r="F18" s="1">
        <f t="shared" si="33"/>
        <v>1</v>
      </c>
      <c r="G18" s="10">
        <f t="shared" si="33"/>
        <v>1</v>
      </c>
      <c r="H18" s="1">
        <f t="shared" si="33"/>
        <v>1</v>
      </c>
      <c r="I18" s="1">
        <f t="shared" si="33"/>
        <v>1</v>
      </c>
      <c r="J18" s="1">
        <f t="shared" si="33"/>
        <v>1</v>
      </c>
      <c r="K18" s="1">
        <f t="shared" si="33"/>
        <v>1</v>
      </c>
      <c r="L18" s="1">
        <f t="shared" ref="L18:O18" si="34">H18*L$1</f>
        <v>1900</v>
      </c>
      <c r="M18" s="1">
        <f t="shared" si="34"/>
        <v>2900</v>
      </c>
      <c r="N18" s="1">
        <f t="shared" si="34"/>
        <v>1780</v>
      </c>
      <c r="O18" s="1">
        <f t="shared" si="34"/>
        <v>2690</v>
      </c>
      <c r="P18" s="1">
        <f t="shared" si="6"/>
        <v>9270</v>
      </c>
    </row>
    <row r="19">
      <c r="A19" s="5">
        <v>16.0</v>
      </c>
      <c r="B19" s="8">
        <f t="shared" si="3"/>
        <v>0.9984601583</v>
      </c>
      <c r="C19" s="1">
        <f t="shared" ref="C19:K19" si="35">IF(ISBLANK(C$2),"",C$1-_xlfn.FLOOR.MATH(C$1*(180-MIN(180,$A19))/180))</f>
        <v>2</v>
      </c>
      <c r="D19" s="4">
        <f t="shared" si="35"/>
        <v>1</v>
      </c>
      <c r="E19" s="1">
        <f t="shared" si="35"/>
        <v>1</v>
      </c>
      <c r="F19" s="1">
        <f t="shared" si="35"/>
        <v>1</v>
      </c>
      <c r="G19" s="10">
        <f t="shared" si="35"/>
        <v>1</v>
      </c>
      <c r="H19" s="1">
        <f t="shared" si="35"/>
        <v>1</v>
      </c>
      <c r="I19" s="1">
        <f t="shared" si="35"/>
        <v>1</v>
      </c>
      <c r="J19" s="1">
        <f t="shared" si="35"/>
        <v>1</v>
      </c>
      <c r="K19" s="1">
        <f t="shared" si="35"/>
        <v>1</v>
      </c>
      <c r="L19" s="1">
        <f t="shared" ref="L19:O19" si="36">H19*L$1</f>
        <v>1900</v>
      </c>
      <c r="M19" s="1">
        <f t="shared" si="36"/>
        <v>2900</v>
      </c>
      <c r="N19" s="1">
        <f t="shared" si="36"/>
        <v>1780</v>
      </c>
      <c r="O19" s="1">
        <f t="shared" si="36"/>
        <v>2690</v>
      </c>
      <c r="P19" s="1">
        <f t="shared" si="6"/>
        <v>9270</v>
      </c>
    </row>
    <row r="20">
      <c r="A20" s="5">
        <v>17.0</v>
      </c>
      <c r="B20" s="8">
        <f t="shared" si="3"/>
        <v>0.9983462108</v>
      </c>
      <c r="C20" s="1">
        <f t="shared" ref="C20:K20" si="37">IF(ISBLANK(C$2),"",C$1-_xlfn.FLOOR.MATH(C$1*(180-MIN(180,$A20))/180))</f>
        <v>2</v>
      </c>
      <c r="D20" s="4">
        <f t="shared" si="37"/>
        <v>1</v>
      </c>
      <c r="E20" s="1">
        <f t="shared" si="37"/>
        <v>1</v>
      </c>
      <c r="F20" s="1">
        <f t="shared" si="37"/>
        <v>1</v>
      </c>
      <c r="G20" s="10">
        <f t="shared" si="37"/>
        <v>1</v>
      </c>
      <c r="H20" s="1">
        <f t="shared" si="37"/>
        <v>1</v>
      </c>
      <c r="I20" s="1">
        <f t="shared" si="37"/>
        <v>1</v>
      </c>
      <c r="J20" s="1">
        <f t="shared" si="37"/>
        <v>1</v>
      </c>
      <c r="K20" s="1">
        <f t="shared" si="37"/>
        <v>1</v>
      </c>
      <c r="L20" s="1">
        <f t="shared" ref="L20:O20" si="38">H20*L$1</f>
        <v>1900</v>
      </c>
      <c r="M20" s="1">
        <f t="shared" si="38"/>
        <v>2900</v>
      </c>
      <c r="N20" s="1">
        <f t="shared" si="38"/>
        <v>1780</v>
      </c>
      <c r="O20" s="1">
        <f t="shared" si="38"/>
        <v>2690</v>
      </c>
      <c r="P20" s="1">
        <f t="shared" si="6"/>
        <v>9270</v>
      </c>
    </row>
    <row r="21">
      <c r="A21" s="5">
        <v>18.0</v>
      </c>
      <c r="B21" s="8">
        <f t="shared" si="3"/>
        <v>0.9982238537</v>
      </c>
      <c r="C21" s="1">
        <f t="shared" ref="C21:K21" si="39">IF(ISBLANK(C$2),"",C$1-_xlfn.FLOOR.MATH(C$1*(180-MIN(180,$A21))/180))</f>
        <v>2</v>
      </c>
      <c r="D21" s="4">
        <f t="shared" si="39"/>
        <v>1</v>
      </c>
      <c r="E21" s="1">
        <f t="shared" si="39"/>
        <v>1</v>
      </c>
      <c r="F21" s="1">
        <f t="shared" si="39"/>
        <v>1</v>
      </c>
      <c r="G21" s="10">
        <f t="shared" si="39"/>
        <v>1</v>
      </c>
      <c r="H21" s="1">
        <f t="shared" si="39"/>
        <v>1</v>
      </c>
      <c r="I21" s="1">
        <f t="shared" si="39"/>
        <v>1</v>
      </c>
      <c r="J21" s="1">
        <f t="shared" si="39"/>
        <v>1</v>
      </c>
      <c r="K21" s="1">
        <f t="shared" si="39"/>
        <v>1</v>
      </c>
      <c r="L21" s="1">
        <f t="shared" ref="L21:O21" si="40">H21*L$1</f>
        <v>1900</v>
      </c>
      <c r="M21" s="1">
        <f t="shared" si="40"/>
        <v>2900</v>
      </c>
      <c r="N21" s="1">
        <f t="shared" si="40"/>
        <v>1780</v>
      </c>
      <c r="O21" s="1">
        <f t="shared" si="40"/>
        <v>2690</v>
      </c>
      <c r="P21" s="1">
        <f t="shared" si="6"/>
        <v>9270</v>
      </c>
    </row>
    <row r="22">
      <c r="A22" s="5">
        <v>19.0</v>
      </c>
      <c r="B22" s="8">
        <f t="shared" si="3"/>
        <v>0.9980924697</v>
      </c>
      <c r="C22" s="1">
        <f t="shared" ref="C22:K22" si="41">IF(ISBLANK(C$2),"",C$1-_xlfn.FLOOR.MATH(C$1*(180-MIN(180,$A22))/180))</f>
        <v>2</v>
      </c>
      <c r="D22" s="4">
        <f t="shared" si="41"/>
        <v>1</v>
      </c>
      <c r="E22" s="1">
        <f t="shared" si="41"/>
        <v>1</v>
      </c>
      <c r="F22" s="1">
        <f t="shared" si="41"/>
        <v>1</v>
      </c>
      <c r="G22" s="10">
        <f t="shared" si="41"/>
        <v>1</v>
      </c>
      <c r="H22" s="1">
        <f t="shared" si="41"/>
        <v>1</v>
      </c>
      <c r="I22" s="1">
        <f t="shared" si="41"/>
        <v>1</v>
      </c>
      <c r="J22" s="1">
        <f t="shared" si="41"/>
        <v>1</v>
      </c>
      <c r="K22" s="1">
        <f t="shared" si="41"/>
        <v>1</v>
      </c>
      <c r="L22" s="1">
        <f t="shared" ref="L22:O22" si="42">H22*L$1</f>
        <v>1900</v>
      </c>
      <c r="M22" s="1">
        <f t="shared" si="42"/>
        <v>2900</v>
      </c>
      <c r="N22" s="1">
        <f t="shared" si="42"/>
        <v>1780</v>
      </c>
      <c r="O22" s="1">
        <f t="shared" si="42"/>
        <v>2690</v>
      </c>
      <c r="P22" s="1">
        <f t="shared" si="6"/>
        <v>9270</v>
      </c>
    </row>
    <row r="23">
      <c r="A23" s="5">
        <v>20.0</v>
      </c>
      <c r="B23" s="8">
        <f t="shared" si="3"/>
        <v>0.9979513968</v>
      </c>
      <c r="C23" s="1">
        <f t="shared" ref="C23:K23" si="43">IF(ISBLANK(C$2),"",C$1-_xlfn.FLOOR.MATH(C$1*(180-MIN(180,$A23))/180))</f>
        <v>2</v>
      </c>
      <c r="D23" s="4">
        <f t="shared" si="43"/>
        <v>1</v>
      </c>
      <c r="E23" s="1">
        <f t="shared" si="43"/>
        <v>1</v>
      </c>
      <c r="F23" s="1">
        <f t="shared" si="43"/>
        <v>1</v>
      </c>
      <c r="G23" s="10">
        <f t="shared" si="43"/>
        <v>1</v>
      </c>
      <c r="H23" s="1">
        <f t="shared" si="43"/>
        <v>1</v>
      </c>
      <c r="I23" s="1">
        <f t="shared" si="43"/>
        <v>1</v>
      </c>
      <c r="J23" s="1">
        <f t="shared" si="43"/>
        <v>1</v>
      </c>
      <c r="K23" s="1">
        <f t="shared" si="43"/>
        <v>1</v>
      </c>
      <c r="L23" s="1">
        <f t="shared" ref="L23:O23" si="44">H23*L$1</f>
        <v>1900</v>
      </c>
      <c r="M23" s="1">
        <f t="shared" si="44"/>
        <v>2900</v>
      </c>
      <c r="N23" s="1">
        <f t="shared" si="44"/>
        <v>1780</v>
      </c>
      <c r="O23" s="1">
        <f t="shared" si="44"/>
        <v>2690</v>
      </c>
      <c r="P23" s="1">
        <f t="shared" si="6"/>
        <v>9270</v>
      </c>
    </row>
    <row r="24">
      <c r="A24" s="5">
        <v>21.0</v>
      </c>
      <c r="B24" s="8">
        <f t="shared" si="3"/>
        <v>0.9977999251</v>
      </c>
      <c r="C24" s="1">
        <f t="shared" ref="C24:K24" si="45">IF(ISBLANK(C$2),"",C$1-_xlfn.FLOOR.MATH(C$1*(180-MIN(180,$A24))/180))</f>
        <v>2</v>
      </c>
      <c r="D24" s="4">
        <f t="shared" si="45"/>
        <v>1</v>
      </c>
      <c r="E24" s="1">
        <f t="shared" si="45"/>
        <v>1</v>
      </c>
      <c r="F24" s="1">
        <f t="shared" si="45"/>
        <v>1</v>
      </c>
      <c r="G24" s="10">
        <f t="shared" si="45"/>
        <v>1</v>
      </c>
      <c r="H24" s="1">
        <f t="shared" si="45"/>
        <v>1</v>
      </c>
      <c r="I24" s="1">
        <f t="shared" si="45"/>
        <v>1</v>
      </c>
      <c r="J24" s="1">
        <f t="shared" si="45"/>
        <v>1</v>
      </c>
      <c r="K24" s="1">
        <f t="shared" si="45"/>
        <v>1</v>
      </c>
      <c r="L24" s="1">
        <f t="shared" ref="L24:O24" si="46">H24*L$1</f>
        <v>1900</v>
      </c>
      <c r="M24" s="1">
        <f t="shared" si="46"/>
        <v>2900</v>
      </c>
      <c r="N24" s="1">
        <f t="shared" si="46"/>
        <v>1780</v>
      </c>
      <c r="O24" s="1">
        <f t="shared" si="46"/>
        <v>2690</v>
      </c>
      <c r="P24" s="1">
        <f t="shared" si="6"/>
        <v>9270</v>
      </c>
    </row>
    <row r="25">
      <c r="A25" s="5">
        <v>22.0</v>
      </c>
      <c r="B25" s="8">
        <f t="shared" si="3"/>
        <v>0.9976372933</v>
      </c>
      <c r="C25" s="1">
        <f t="shared" ref="C25:K25" si="47">IF(ISBLANK(C$2),"",C$1-_xlfn.FLOOR.MATH(C$1*(180-MIN(180,$A25))/180))</f>
        <v>2</v>
      </c>
      <c r="D25" s="4">
        <f t="shared" si="47"/>
        <v>1</v>
      </c>
      <c r="E25" s="1">
        <f t="shared" si="47"/>
        <v>1</v>
      </c>
      <c r="F25" s="1">
        <f t="shared" si="47"/>
        <v>1</v>
      </c>
      <c r="G25" s="10">
        <f t="shared" si="47"/>
        <v>1</v>
      </c>
      <c r="H25" s="1">
        <f t="shared" si="47"/>
        <v>1</v>
      </c>
      <c r="I25" s="1">
        <f t="shared" si="47"/>
        <v>1</v>
      </c>
      <c r="J25" s="1">
        <f t="shared" si="47"/>
        <v>1</v>
      </c>
      <c r="K25" s="1">
        <f t="shared" si="47"/>
        <v>1</v>
      </c>
      <c r="L25" s="1">
        <f t="shared" ref="L25:O25" si="48">H25*L$1</f>
        <v>1900</v>
      </c>
      <c r="M25" s="1">
        <f t="shared" si="48"/>
        <v>2900</v>
      </c>
      <c r="N25" s="1">
        <f t="shared" si="48"/>
        <v>1780</v>
      </c>
      <c r="O25" s="1">
        <f t="shared" si="48"/>
        <v>2690</v>
      </c>
      <c r="P25" s="1">
        <f t="shared" si="6"/>
        <v>9270</v>
      </c>
    </row>
    <row r="26">
      <c r="A26" s="5">
        <v>23.0</v>
      </c>
      <c r="B26" s="8">
        <f t="shared" si="3"/>
        <v>0.9974626854</v>
      </c>
      <c r="C26" s="1">
        <f t="shared" ref="C26:K26" si="49">IF(ISBLANK(C$2),"",C$1-_xlfn.FLOOR.MATH(C$1*(180-MIN(180,$A26))/180))</f>
        <v>3</v>
      </c>
      <c r="D26" s="4">
        <f t="shared" si="49"/>
        <v>1</v>
      </c>
      <c r="E26" s="1">
        <f t="shared" si="49"/>
        <v>1</v>
      </c>
      <c r="F26" s="1">
        <f t="shared" si="49"/>
        <v>1</v>
      </c>
      <c r="G26" s="10">
        <f t="shared" si="49"/>
        <v>1</v>
      </c>
      <c r="H26" s="1">
        <f t="shared" si="49"/>
        <v>1</v>
      </c>
      <c r="I26" s="1">
        <f t="shared" si="49"/>
        <v>1</v>
      </c>
      <c r="J26" s="1">
        <f t="shared" si="49"/>
        <v>1</v>
      </c>
      <c r="K26" s="1">
        <f t="shared" si="49"/>
        <v>1</v>
      </c>
      <c r="L26" s="1">
        <f t="shared" ref="L26:O26" si="50">H26*L$1</f>
        <v>1900</v>
      </c>
      <c r="M26" s="1">
        <f t="shared" si="50"/>
        <v>2900</v>
      </c>
      <c r="N26" s="1">
        <f t="shared" si="50"/>
        <v>1780</v>
      </c>
      <c r="O26" s="1">
        <f t="shared" si="50"/>
        <v>2690</v>
      </c>
      <c r="P26" s="1">
        <f t="shared" si="6"/>
        <v>9270</v>
      </c>
    </row>
    <row r="27">
      <c r="A27" s="5">
        <v>24.0</v>
      </c>
      <c r="B27" s="8">
        <f t="shared" si="3"/>
        <v>0.9972752263</v>
      </c>
      <c r="C27" s="1">
        <f t="shared" ref="C27:K27" si="51">IF(ISBLANK(C$2),"",C$1-_xlfn.FLOOR.MATH(C$1*(180-MIN(180,$A27))/180))</f>
        <v>3</v>
      </c>
      <c r="D27" s="4">
        <f t="shared" si="51"/>
        <v>1</v>
      </c>
      <c r="E27" s="1">
        <f t="shared" si="51"/>
        <v>1</v>
      </c>
      <c r="F27" s="1">
        <f t="shared" si="51"/>
        <v>1</v>
      </c>
      <c r="G27" s="10">
        <f t="shared" si="51"/>
        <v>1</v>
      </c>
      <c r="H27" s="1">
        <f t="shared" si="51"/>
        <v>1</v>
      </c>
      <c r="I27" s="1">
        <f t="shared" si="51"/>
        <v>1</v>
      </c>
      <c r="J27" s="1">
        <f t="shared" si="51"/>
        <v>1</v>
      </c>
      <c r="K27" s="1">
        <f t="shared" si="51"/>
        <v>1</v>
      </c>
      <c r="L27" s="1">
        <f t="shared" ref="L27:O27" si="52">H27*L$1</f>
        <v>1900</v>
      </c>
      <c r="M27" s="1">
        <f t="shared" si="52"/>
        <v>2900</v>
      </c>
      <c r="N27" s="1">
        <f t="shared" si="52"/>
        <v>1780</v>
      </c>
      <c r="O27" s="1">
        <f t="shared" si="52"/>
        <v>2690</v>
      </c>
      <c r="P27" s="1">
        <f t="shared" si="6"/>
        <v>9270</v>
      </c>
    </row>
    <row r="28">
      <c r="A28" s="5">
        <v>25.0</v>
      </c>
      <c r="B28" s="8">
        <f t="shared" si="3"/>
        <v>0.9970739782</v>
      </c>
      <c r="C28" s="1">
        <f t="shared" ref="C28:K28" si="53">IF(ISBLANK(C$2),"",C$1-_xlfn.FLOOR.MATH(C$1*(180-MIN(180,$A28))/180))</f>
        <v>3</v>
      </c>
      <c r="D28" s="4">
        <f t="shared" si="53"/>
        <v>1</v>
      </c>
      <c r="E28" s="1">
        <f t="shared" si="53"/>
        <v>1</v>
      </c>
      <c r="F28" s="1">
        <f t="shared" si="53"/>
        <v>1</v>
      </c>
      <c r="G28" s="10">
        <f t="shared" si="53"/>
        <v>1</v>
      </c>
      <c r="H28" s="1">
        <f t="shared" si="53"/>
        <v>1</v>
      </c>
      <c r="I28" s="1">
        <f t="shared" si="53"/>
        <v>1</v>
      </c>
      <c r="J28" s="1">
        <f t="shared" si="53"/>
        <v>1</v>
      </c>
      <c r="K28" s="1">
        <f t="shared" si="53"/>
        <v>1</v>
      </c>
      <c r="L28" s="1">
        <f t="shared" ref="L28:O28" si="54">H28*L$1</f>
        <v>1900</v>
      </c>
      <c r="M28" s="1">
        <f t="shared" si="54"/>
        <v>2900</v>
      </c>
      <c r="N28" s="1">
        <f t="shared" si="54"/>
        <v>1780</v>
      </c>
      <c r="O28" s="1">
        <f t="shared" si="54"/>
        <v>2690</v>
      </c>
      <c r="P28" s="1">
        <f t="shared" si="6"/>
        <v>9270</v>
      </c>
    </row>
    <row r="29">
      <c r="A29" s="5">
        <v>26.0</v>
      </c>
      <c r="B29" s="8">
        <f t="shared" si="3"/>
        <v>0.9968579362</v>
      </c>
      <c r="C29" s="1">
        <f t="shared" ref="C29:K29" si="55">IF(ISBLANK(C$2),"",C$1-_xlfn.FLOOR.MATH(C$1*(180-MIN(180,$A29))/180))</f>
        <v>3</v>
      </c>
      <c r="D29" s="4">
        <f t="shared" si="55"/>
        <v>1</v>
      </c>
      <c r="E29" s="1">
        <f t="shared" si="55"/>
        <v>1</v>
      </c>
      <c r="F29" s="1">
        <f t="shared" si="55"/>
        <v>1</v>
      </c>
      <c r="G29" s="10">
        <f t="shared" si="55"/>
        <v>1</v>
      </c>
      <c r="H29" s="1">
        <f t="shared" si="55"/>
        <v>1</v>
      </c>
      <c r="I29" s="1">
        <f t="shared" si="55"/>
        <v>1</v>
      </c>
      <c r="J29" s="1">
        <f t="shared" si="55"/>
        <v>1</v>
      </c>
      <c r="K29" s="1">
        <f t="shared" si="55"/>
        <v>1</v>
      </c>
      <c r="L29" s="1">
        <f t="shared" ref="L29:O29" si="56">H29*L$1</f>
        <v>1900</v>
      </c>
      <c r="M29" s="1">
        <f t="shared" si="56"/>
        <v>2900</v>
      </c>
      <c r="N29" s="1">
        <f t="shared" si="56"/>
        <v>1780</v>
      </c>
      <c r="O29" s="1">
        <f t="shared" si="56"/>
        <v>2690</v>
      </c>
      <c r="P29" s="1">
        <f t="shared" si="6"/>
        <v>9270</v>
      </c>
    </row>
    <row r="30">
      <c r="A30" s="5">
        <v>27.0</v>
      </c>
      <c r="B30" s="8">
        <f t="shared" si="3"/>
        <v>0.9966260235</v>
      </c>
      <c r="C30" s="1">
        <f t="shared" ref="C30:K30" si="57">IF(ISBLANK(C$2),"",C$1-_xlfn.FLOOR.MATH(C$1*(180-MIN(180,$A30))/180))</f>
        <v>3</v>
      </c>
      <c r="D30" s="4">
        <f t="shared" si="57"/>
        <v>1</v>
      </c>
      <c r="E30" s="1">
        <f t="shared" si="57"/>
        <v>1</v>
      </c>
      <c r="F30" s="1">
        <f t="shared" si="57"/>
        <v>1</v>
      </c>
      <c r="G30" s="10">
        <f t="shared" si="57"/>
        <v>1</v>
      </c>
      <c r="H30" s="1">
        <f t="shared" si="57"/>
        <v>1</v>
      </c>
      <c r="I30" s="1">
        <f t="shared" si="57"/>
        <v>1</v>
      </c>
      <c r="J30" s="1">
        <f t="shared" si="57"/>
        <v>1</v>
      </c>
      <c r="K30" s="1">
        <f t="shared" si="57"/>
        <v>1</v>
      </c>
      <c r="L30" s="1">
        <f t="shared" ref="L30:O30" si="58">H30*L$1</f>
        <v>1900</v>
      </c>
      <c r="M30" s="1">
        <f t="shared" si="58"/>
        <v>2900</v>
      </c>
      <c r="N30" s="1">
        <f t="shared" si="58"/>
        <v>1780</v>
      </c>
      <c r="O30" s="1">
        <f t="shared" si="58"/>
        <v>2690</v>
      </c>
      <c r="P30" s="1">
        <f t="shared" si="6"/>
        <v>9270</v>
      </c>
    </row>
    <row r="31">
      <c r="A31" s="5">
        <v>28.0</v>
      </c>
      <c r="B31" s="8">
        <f t="shared" si="3"/>
        <v>0.9963770866</v>
      </c>
      <c r="C31" s="1">
        <f t="shared" ref="C31:K31" si="59">IF(ISBLANK(C$2),"",C$1-_xlfn.FLOOR.MATH(C$1*(180-MIN(180,$A31))/180))</f>
        <v>3</v>
      </c>
      <c r="D31" s="4">
        <f t="shared" si="59"/>
        <v>1</v>
      </c>
      <c r="E31" s="1">
        <f t="shared" si="59"/>
        <v>1</v>
      </c>
      <c r="F31" s="1">
        <f t="shared" si="59"/>
        <v>1</v>
      </c>
      <c r="G31" s="10">
        <f t="shared" si="59"/>
        <v>1</v>
      </c>
      <c r="H31" s="1">
        <f t="shared" si="59"/>
        <v>1</v>
      </c>
      <c r="I31" s="1">
        <f t="shared" si="59"/>
        <v>1</v>
      </c>
      <c r="J31" s="1">
        <f t="shared" si="59"/>
        <v>1</v>
      </c>
      <c r="K31" s="1">
        <f t="shared" si="59"/>
        <v>1</v>
      </c>
      <c r="L31" s="1">
        <f t="shared" ref="L31:O31" si="60">H31*L$1</f>
        <v>1900</v>
      </c>
      <c r="M31" s="1">
        <f t="shared" si="60"/>
        <v>2900</v>
      </c>
      <c r="N31" s="1">
        <f t="shared" si="60"/>
        <v>1780</v>
      </c>
      <c r="O31" s="1">
        <f t="shared" si="60"/>
        <v>2690</v>
      </c>
      <c r="P31" s="1">
        <f t="shared" si="6"/>
        <v>9270</v>
      </c>
    </row>
    <row r="32">
      <c r="A32" s="5">
        <v>29.0</v>
      </c>
      <c r="B32" s="8">
        <f t="shared" si="3"/>
        <v>0.9961098899</v>
      </c>
      <c r="C32" s="1">
        <f t="shared" ref="C32:K32" si="61">IF(ISBLANK(C$2),"",C$1-_xlfn.FLOOR.MATH(C$1*(180-MIN(180,$A32))/180))</f>
        <v>3</v>
      </c>
      <c r="D32" s="4">
        <f t="shared" si="61"/>
        <v>1</v>
      </c>
      <c r="E32" s="1">
        <f t="shared" si="61"/>
        <v>1</v>
      </c>
      <c r="F32" s="1">
        <f t="shared" si="61"/>
        <v>1</v>
      </c>
      <c r="G32" s="10">
        <f t="shared" si="61"/>
        <v>1</v>
      </c>
      <c r="H32" s="1">
        <f t="shared" si="61"/>
        <v>1</v>
      </c>
      <c r="I32" s="1">
        <f t="shared" si="61"/>
        <v>1</v>
      </c>
      <c r="J32" s="1">
        <f t="shared" si="61"/>
        <v>1</v>
      </c>
      <c r="K32" s="1">
        <f t="shared" si="61"/>
        <v>1</v>
      </c>
      <c r="L32" s="1">
        <f t="shared" ref="L32:O32" si="62">H32*L$1</f>
        <v>1900</v>
      </c>
      <c r="M32" s="1">
        <f t="shared" si="62"/>
        <v>2900</v>
      </c>
      <c r="N32" s="1">
        <f t="shared" si="62"/>
        <v>1780</v>
      </c>
      <c r="O32" s="1">
        <f t="shared" si="62"/>
        <v>2690</v>
      </c>
      <c r="P32" s="1">
        <f t="shared" si="6"/>
        <v>9270</v>
      </c>
    </row>
    <row r="33">
      <c r="A33" s="5">
        <v>30.0</v>
      </c>
      <c r="B33" s="8">
        <f t="shared" si="3"/>
        <v>0.9958231105</v>
      </c>
      <c r="C33" s="1">
        <f t="shared" ref="C33:K33" si="63">IF(ISBLANK(C$2),"",C$1-_xlfn.FLOOR.MATH(C$1*(180-MIN(180,$A33))/180))</f>
        <v>3</v>
      </c>
      <c r="D33" s="4">
        <f t="shared" si="63"/>
        <v>1</v>
      </c>
      <c r="E33" s="1">
        <f t="shared" si="63"/>
        <v>1</v>
      </c>
      <c r="F33" s="1">
        <f t="shared" si="63"/>
        <v>1</v>
      </c>
      <c r="G33" s="10">
        <f t="shared" si="63"/>
        <v>1</v>
      </c>
      <c r="H33" s="1">
        <f t="shared" si="63"/>
        <v>1</v>
      </c>
      <c r="I33" s="1">
        <f t="shared" si="63"/>
        <v>1</v>
      </c>
      <c r="J33" s="1">
        <f t="shared" si="63"/>
        <v>1</v>
      </c>
      <c r="K33" s="1">
        <f t="shared" si="63"/>
        <v>1</v>
      </c>
      <c r="L33" s="1">
        <f t="shared" ref="L33:O33" si="64">H33*L$1</f>
        <v>1900</v>
      </c>
      <c r="M33" s="1">
        <f t="shared" si="64"/>
        <v>2900</v>
      </c>
      <c r="N33" s="1">
        <f t="shared" si="64"/>
        <v>1780</v>
      </c>
      <c r="O33" s="1">
        <f t="shared" si="64"/>
        <v>2690</v>
      </c>
      <c r="P33" s="1">
        <f t="shared" si="6"/>
        <v>9270</v>
      </c>
    </row>
    <row r="34">
      <c r="A34" s="5">
        <v>31.0</v>
      </c>
      <c r="B34" s="8">
        <f t="shared" si="3"/>
        <v>0.995515332</v>
      </c>
      <c r="C34" s="1">
        <f t="shared" ref="C34:K34" si="65">IF(ISBLANK(C$2),"",C$1-_xlfn.FLOOR.MATH(C$1*(180-MIN(180,$A34))/180))</f>
        <v>3</v>
      </c>
      <c r="D34" s="4">
        <f t="shared" si="65"/>
        <v>2</v>
      </c>
      <c r="E34" s="1">
        <f t="shared" si="65"/>
        <v>1</v>
      </c>
      <c r="F34" s="1">
        <f t="shared" si="65"/>
        <v>1</v>
      </c>
      <c r="G34" s="10">
        <f t="shared" si="65"/>
        <v>2</v>
      </c>
      <c r="H34" s="1">
        <f t="shared" si="65"/>
        <v>1</v>
      </c>
      <c r="I34" s="1">
        <f t="shared" si="65"/>
        <v>1</v>
      </c>
      <c r="J34" s="1">
        <f t="shared" si="65"/>
        <v>1</v>
      </c>
      <c r="K34" s="1">
        <f t="shared" si="65"/>
        <v>1</v>
      </c>
      <c r="L34" s="1">
        <f t="shared" ref="L34:O34" si="66">H34*L$1</f>
        <v>1900</v>
      </c>
      <c r="M34" s="1">
        <f t="shared" si="66"/>
        <v>2900</v>
      </c>
      <c r="N34" s="1">
        <f t="shared" si="66"/>
        <v>1780</v>
      </c>
      <c r="O34" s="1">
        <f t="shared" si="66"/>
        <v>2690</v>
      </c>
      <c r="P34" s="1">
        <f t="shared" si="6"/>
        <v>9270</v>
      </c>
    </row>
    <row r="35">
      <c r="A35" s="5">
        <v>32.0</v>
      </c>
      <c r="B35" s="8">
        <f t="shared" si="3"/>
        <v>0.9951850385</v>
      </c>
      <c r="C35" s="1">
        <f t="shared" ref="C35:K35" si="67">IF(ISBLANK(C$2),"",C$1-_xlfn.FLOOR.MATH(C$1*(180-MIN(180,$A35))/180))</f>
        <v>3</v>
      </c>
      <c r="D35" s="4">
        <f t="shared" si="67"/>
        <v>2</v>
      </c>
      <c r="E35" s="1">
        <f t="shared" si="67"/>
        <v>1</v>
      </c>
      <c r="F35" s="1">
        <f t="shared" si="67"/>
        <v>1</v>
      </c>
      <c r="G35" s="10">
        <f t="shared" si="67"/>
        <v>2</v>
      </c>
      <c r="H35" s="1">
        <f t="shared" si="67"/>
        <v>1</v>
      </c>
      <c r="I35" s="1">
        <f t="shared" si="67"/>
        <v>1</v>
      </c>
      <c r="J35" s="1">
        <f t="shared" si="67"/>
        <v>1</v>
      </c>
      <c r="K35" s="1">
        <f t="shared" si="67"/>
        <v>1</v>
      </c>
      <c r="L35" s="1">
        <f t="shared" ref="L35:O35" si="68">H35*L$1</f>
        <v>1900</v>
      </c>
      <c r="M35" s="1">
        <f t="shared" si="68"/>
        <v>2900</v>
      </c>
      <c r="N35" s="1">
        <f t="shared" si="68"/>
        <v>1780</v>
      </c>
      <c r="O35" s="1">
        <f t="shared" si="68"/>
        <v>2690</v>
      </c>
      <c r="P35" s="1">
        <f t="shared" si="6"/>
        <v>9270</v>
      </c>
    </row>
    <row r="36">
      <c r="A36" s="5">
        <v>33.0</v>
      </c>
      <c r="B36" s="8">
        <f t="shared" si="3"/>
        <v>0.994830608</v>
      </c>
      <c r="C36" s="1">
        <f t="shared" ref="C36:K36" si="69">IF(ISBLANK(C$2),"",C$1-_xlfn.FLOOR.MATH(C$1*(180-MIN(180,$A36))/180))</f>
        <v>3</v>
      </c>
      <c r="D36" s="4">
        <f t="shared" si="69"/>
        <v>2</v>
      </c>
      <c r="E36" s="1">
        <f t="shared" si="69"/>
        <v>1</v>
      </c>
      <c r="F36" s="1">
        <f t="shared" si="69"/>
        <v>1</v>
      </c>
      <c r="G36" s="10">
        <f t="shared" si="69"/>
        <v>2</v>
      </c>
      <c r="H36" s="1">
        <f t="shared" si="69"/>
        <v>1</v>
      </c>
      <c r="I36" s="1">
        <f t="shared" si="69"/>
        <v>1</v>
      </c>
      <c r="J36" s="1">
        <f t="shared" si="69"/>
        <v>1</v>
      </c>
      <c r="K36" s="1">
        <f t="shared" si="69"/>
        <v>1</v>
      </c>
      <c r="L36" s="1">
        <f t="shared" ref="L36:O36" si="70">H36*L$1</f>
        <v>1900</v>
      </c>
      <c r="M36" s="1">
        <f t="shared" si="70"/>
        <v>2900</v>
      </c>
      <c r="N36" s="1">
        <f t="shared" si="70"/>
        <v>1780</v>
      </c>
      <c r="O36" s="1">
        <f t="shared" si="70"/>
        <v>2690</v>
      </c>
      <c r="P36" s="1">
        <f t="shared" si="6"/>
        <v>9270</v>
      </c>
    </row>
    <row r="37">
      <c r="A37" s="5">
        <v>34.0</v>
      </c>
      <c r="B37" s="8">
        <f t="shared" si="3"/>
        <v>0.9944503054</v>
      </c>
      <c r="C37" s="1">
        <f t="shared" ref="C37:K37" si="71">IF(ISBLANK(C$2),"",C$1-_xlfn.FLOOR.MATH(C$1*(180-MIN(180,$A37))/180))</f>
        <v>4</v>
      </c>
      <c r="D37" s="4">
        <f t="shared" si="71"/>
        <v>2</v>
      </c>
      <c r="E37" s="1">
        <f t="shared" si="71"/>
        <v>1</v>
      </c>
      <c r="F37" s="1">
        <f t="shared" si="71"/>
        <v>1</v>
      </c>
      <c r="G37" s="10">
        <f t="shared" si="71"/>
        <v>2</v>
      </c>
      <c r="H37" s="1">
        <f t="shared" si="71"/>
        <v>1</v>
      </c>
      <c r="I37" s="1">
        <f t="shared" si="71"/>
        <v>1</v>
      </c>
      <c r="J37" s="1">
        <f t="shared" si="71"/>
        <v>1</v>
      </c>
      <c r="K37" s="1">
        <f t="shared" si="71"/>
        <v>1</v>
      </c>
      <c r="L37" s="1">
        <f t="shared" ref="L37:O37" si="72">H37*L$1</f>
        <v>1900</v>
      </c>
      <c r="M37" s="1">
        <f t="shared" si="72"/>
        <v>2900</v>
      </c>
      <c r="N37" s="1">
        <f t="shared" si="72"/>
        <v>1780</v>
      </c>
      <c r="O37" s="1">
        <f t="shared" si="72"/>
        <v>2690</v>
      </c>
      <c r="P37" s="1">
        <f t="shared" si="6"/>
        <v>9270</v>
      </c>
    </row>
    <row r="38">
      <c r="A38" s="5">
        <v>35.0</v>
      </c>
      <c r="B38" s="8">
        <f t="shared" si="3"/>
        <v>0.9940422755</v>
      </c>
      <c r="C38" s="1">
        <f t="shared" ref="C38:K38" si="73">IF(ISBLANK(C$2),"",C$1-_xlfn.FLOOR.MATH(C$1*(180-MIN(180,$A38))/180))</f>
        <v>4</v>
      </c>
      <c r="D38" s="4">
        <f t="shared" si="73"/>
        <v>2</v>
      </c>
      <c r="E38" s="1">
        <f t="shared" si="73"/>
        <v>1</v>
      </c>
      <c r="F38" s="1">
        <f t="shared" si="73"/>
        <v>1</v>
      </c>
      <c r="G38" s="10">
        <f t="shared" si="73"/>
        <v>2</v>
      </c>
      <c r="H38" s="1">
        <f t="shared" si="73"/>
        <v>1</v>
      </c>
      <c r="I38" s="1">
        <f t="shared" si="73"/>
        <v>1</v>
      </c>
      <c r="J38" s="1">
        <f t="shared" si="73"/>
        <v>1</v>
      </c>
      <c r="K38" s="1">
        <f t="shared" si="73"/>
        <v>1</v>
      </c>
      <c r="L38" s="1">
        <f t="shared" ref="L38:O38" si="74">H38*L$1</f>
        <v>1900</v>
      </c>
      <c r="M38" s="1">
        <f t="shared" si="74"/>
        <v>2900</v>
      </c>
      <c r="N38" s="1">
        <f t="shared" si="74"/>
        <v>1780</v>
      </c>
      <c r="O38" s="1">
        <f t="shared" si="74"/>
        <v>2690</v>
      </c>
      <c r="P38" s="1">
        <f t="shared" si="6"/>
        <v>9270</v>
      </c>
    </row>
    <row r="39">
      <c r="A39" s="5">
        <v>36.0</v>
      </c>
      <c r="B39" s="8">
        <f t="shared" si="3"/>
        <v>0.9936045347</v>
      </c>
      <c r="C39" s="1">
        <f t="shared" ref="C39:K39" si="75">IF(ISBLANK(C$2),"",C$1-_xlfn.FLOOR.MATH(C$1*(180-MIN(180,$A39))/180))</f>
        <v>4</v>
      </c>
      <c r="D39" s="4">
        <f t="shared" si="75"/>
        <v>2</v>
      </c>
      <c r="E39" s="1">
        <f t="shared" si="75"/>
        <v>1</v>
      </c>
      <c r="F39" s="1">
        <f t="shared" si="75"/>
        <v>1</v>
      </c>
      <c r="G39" s="10">
        <f t="shared" si="75"/>
        <v>2</v>
      </c>
      <c r="H39" s="1">
        <f t="shared" si="75"/>
        <v>1</v>
      </c>
      <c r="I39" s="1">
        <f t="shared" si="75"/>
        <v>1</v>
      </c>
      <c r="J39" s="1">
        <f t="shared" si="75"/>
        <v>1</v>
      </c>
      <c r="K39" s="1">
        <f t="shared" si="75"/>
        <v>1</v>
      </c>
      <c r="L39" s="1">
        <f t="shared" ref="L39:O39" si="76">H39*L$1</f>
        <v>1900</v>
      </c>
      <c r="M39" s="1">
        <f t="shared" si="76"/>
        <v>2900</v>
      </c>
      <c r="N39" s="1">
        <f t="shared" si="76"/>
        <v>1780</v>
      </c>
      <c r="O39" s="1">
        <f t="shared" si="76"/>
        <v>2690</v>
      </c>
      <c r="P39" s="1">
        <f t="shared" si="6"/>
        <v>9270</v>
      </c>
    </row>
    <row r="40">
      <c r="A40" s="5">
        <v>37.0</v>
      </c>
      <c r="B40" s="8">
        <f t="shared" si="3"/>
        <v>0.9931349636</v>
      </c>
      <c r="C40" s="1">
        <f t="shared" ref="C40:K40" si="77">IF(ISBLANK(C$2),"",C$1-_xlfn.FLOOR.MATH(C$1*(180-MIN(180,$A40))/180))</f>
        <v>4</v>
      </c>
      <c r="D40" s="4">
        <f t="shared" si="77"/>
        <v>2</v>
      </c>
      <c r="E40" s="1">
        <f t="shared" si="77"/>
        <v>1</v>
      </c>
      <c r="F40" s="1">
        <f t="shared" si="77"/>
        <v>1</v>
      </c>
      <c r="G40" s="10">
        <f t="shared" si="77"/>
        <v>2</v>
      </c>
      <c r="H40" s="1">
        <f t="shared" si="77"/>
        <v>1</v>
      </c>
      <c r="I40" s="1">
        <f t="shared" si="77"/>
        <v>1</v>
      </c>
      <c r="J40" s="1">
        <f t="shared" si="77"/>
        <v>1</v>
      </c>
      <c r="K40" s="1">
        <f t="shared" si="77"/>
        <v>1</v>
      </c>
      <c r="L40" s="1">
        <f t="shared" ref="L40:O40" si="78">H40*L$1</f>
        <v>1900</v>
      </c>
      <c r="M40" s="1">
        <f t="shared" si="78"/>
        <v>2900</v>
      </c>
      <c r="N40" s="1">
        <f t="shared" si="78"/>
        <v>1780</v>
      </c>
      <c r="O40" s="1">
        <f t="shared" si="78"/>
        <v>2690</v>
      </c>
      <c r="P40" s="1">
        <f t="shared" si="6"/>
        <v>9270</v>
      </c>
    </row>
    <row r="41">
      <c r="A41" s="5">
        <v>38.0</v>
      </c>
      <c r="B41" s="8">
        <f t="shared" si="3"/>
        <v>0.9926312983</v>
      </c>
      <c r="C41" s="1">
        <f t="shared" ref="C41:K41" si="79">IF(ISBLANK(C$2),"",C$1-_xlfn.FLOOR.MATH(C$1*(180-MIN(180,$A41))/180))</f>
        <v>4</v>
      </c>
      <c r="D41" s="4">
        <f t="shared" si="79"/>
        <v>2</v>
      </c>
      <c r="E41" s="1">
        <f t="shared" si="79"/>
        <v>1</v>
      </c>
      <c r="F41" s="1">
        <f t="shared" si="79"/>
        <v>1</v>
      </c>
      <c r="G41" s="10">
        <f t="shared" si="79"/>
        <v>2</v>
      </c>
      <c r="H41" s="1">
        <f t="shared" si="79"/>
        <v>1</v>
      </c>
      <c r="I41" s="1">
        <f t="shared" si="79"/>
        <v>1</v>
      </c>
      <c r="J41" s="1">
        <f t="shared" si="79"/>
        <v>1</v>
      </c>
      <c r="K41" s="1">
        <f t="shared" si="79"/>
        <v>1</v>
      </c>
      <c r="L41" s="1">
        <f t="shared" ref="L41:O41" si="80">H41*L$1</f>
        <v>1900</v>
      </c>
      <c r="M41" s="1">
        <f t="shared" si="80"/>
        <v>2900</v>
      </c>
      <c r="N41" s="1">
        <f t="shared" si="80"/>
        <v>1780</v>
      </c>
      <c r="O41" s="1">
        <f t="shared" si="80"/>
        <v>2690</v>
      </c>
      <c r="P41" s="1">
        <f t="shared" si="6"/>
        <v>9270</v>
      </c>
    </row>
    <row r="42">
      <c r="A42" s="5">
        <v>39.0</v>
      </c>
      <c r="B42" s="8">
        <f t="shared" si="3"/>
        <v>0.9920911215</v>
      </c>
      <c r="C42" s="1">
        <f t="shared" ref="C42:K42" si="81">IF(ISBLANK(C$2),"",C$1-_xlfn.FLOOR.MATH(C$1*(180-MIN(180,$A42))/180))</f>
        <v>4</v>
      </c>
      <c r="D42" s="4">
        <f t="shared" si="81"/>
        <v>2</v>
      </c>
      <c r="E42" s="1">
        <f t="shared" si="81"/>
        <v>1</v>
      </c>
      <c r="F42" s="1">
        <f t="shared" si="81"/>
        <v>1</v>
      </c>
      <c r="G42" s="10">
        <f t="shared" si="81"/>
        <v>2</v>
      </c>
      <c r="H42" s="1">
        <f t="shared" si="81"/>
        <v>1</v>
      </c>
      <c r="I42" s="1">
        <f t="shared" si="81"/>
        <v>1</v>
      </c>
      <c r="J42" s="1">
        <f t="shared" si="81"/>
        <v>1</v>
      </c>
      <c r="K42" s="1">
        <f t="shared" si="81"/>
        <v>1</v>
      </c>
      <c r="L42" s="1">
        <f t="shared" ref="L42:O42" si="82">H42*L$1</f>
        <v>1900</v>
      </c>
      <c r="M42" s="1">
        <f t="shared" si="82"/>
        <v>2900</v>
      </c>
      <c r="N42" s="1">
        <f t="shared" si="82"/>
        <v>1780</v>
      </c>
      <c r="O42" s="1">
        <f t="shared" si="82"/>
        <v>2690</v>
      </c>
      <c r="P42" s="1">
        <f t="shared" si="6"/>
        <v>9270</v>
      </c>
    </row>
    <row r="43">
      <c r="A43" s="5">
        <v>40.0</v>
      </c>
      <c r="B43" s="8">
        <f t="shared" si="3"/>
        <v>0.9915118532</v>
      </c>
      <c r="C43" s="1">
        <f t="shared" ref="C43:K43" si="83">IF(ISBLANK(C$2),"",C$1-_xlfn.FLOOR.MATH(C$1*(180-MIN(180,$A43))/180))</f>
        <v>4</v>
      </c>
      <c r="D43" s="4">
        <f t="shared" si="83"/>
        <v>2</v>
      </c>
      <c r="E43" s="1">
        <f t="shared" si="83"/>
        <v>1</v>
      </c>
      <c r="F43" s="1">
        <f t="shared" si="83"/>
        <v>1</v>
      </c>
      <c r="G43" s="10">
        <f t="shared" si="83"/>
        <v>2</v>
      </c>
      <c r="H43" s="1">
        <f t="shared" si="83"/>
        <v>1</v>
      </c>
      <c r="I43" s="1">
        <f t="shared" si="83"/>
        <v>1</v>
      </c>
      <c r="J43" s="1">
        <f t="shared" si="83"/>
        <v>1</v>
      </c>
      <c r="K43" s="1">
        <f t="shared" si="83"/>
        <v>1</v>
      </c>
      <c r="L43" s="1">
        <f t="shared" ref="L43:O43" si="84">H43*L$1</f>
        <v>1900</v>
      </c>
      <c r="M43" s="1">
        <f t="shared" si="84"/>
        <v>2900</v>
      </c>
      <c r="N43" s="1">
        <f t="shared" si="84"/>
        <v>1780</v>
      </c>
      <c r="O43" s="1">
        <f t="shared" si="84"/>
        <v>2690</v>
      </c>
      <c r="P43" s="1">
        <f t="shared" si="6"/>
        <v>9270</v>
      </c>
    </row>
    <row r="44">
      <c r="A44" s="5">
        <v>41.0</v>
      </c>
      <c r="B44" s="8">
        <f t="shared" si="3"/>
        <v>0.9908907413</v>
      </c>
      <c r="C44" s="1">
        <f t="shared" ref="C44:K44" si="85">IF(ISBLANK(C$2),"",C$1-_xlfn.FLOOR.MATH(C$1*(180-MIN(180,$A44))/180))</f>
        <v>4</v>
      </c>
      <c r="D44" s="4">
        <f t="shared" si="85"/>
        <v>2</v>
      </c>
      <c r="E44" s="1">
        <f t="shared" si="85"/>
        <v>1</v>
      </c>
      <c r="F44" s="1">
        <f t="shared" si="85"/>
        <v>1</v>
      </c>
      <c r="G44" s="10">
        <f t="shared" si="85"/>
        <v>2</v>
      </c>
      <c r="H44" s="1">
        <f t="shared" si="85"/>
        <v>1</v>
      </c>
      <c r="I44" s="1">
        <f t="shared" si="85"/>
        <v>1</v>
      </c>
      <c r="J44" s="1">
        <f t="shared" si="85"/>
        <v>1</v>
      </c>
      <c r="K44" s="1">
        <f t="shared" si="85"/>
        <v>1</v>
      </c>
      <c r="L44" s="1">
        <f t="shared" ref="L44:O44" si="86">H44*L$1</f>
        <v>1900</v>
      </c>
      <c r="M44" s="1">
        <f t="shared" si="86"/>
        <v>2900</v>
      </c>
      <c r="N44" s="1">
        <f t="shared" si="86"/>
        <v>1780</v>
      </c>
      <c r="O44" s="1">
        <f t="shared" si="86"/>
        <v>2690</v>
      </c>
      <c r="P44" s="1">
        <f t="shared" si="6"/>
        <v>9270</v>
      </c>
    </row>
    <row r="45">
      <c r="A45" s="5">
        <v>42.0</v>
      </c>
      <c r="B45" s="8">
        <f t="shared" si="3"/>
        <v>0.9902248519</v>
      </c>
      <c r="C45" s="1">
        <f t="shared" ref="C45:K45" si="87">IF(ISBLANK(C$2),"",C$1-_xlfn.FLOOR.MATH(C$1*(180-MIN(180,$A45))/180))</f>
        <v>4</v>
      </c>
      <c r="D45" s="4">
        <f t="shared" si="87"/>
        <v>2</v>
      </c>
      <c r="E45" s="1">
        <f t="shared" si="87"/>
        <v>1</v>
      </c>
      <c r="F45" s="1">
        <f t="shared" si="87"/>
        <v>1</v>
      </c>
      <c r="G45" s="10">
        <f t="shared" si="87"/>
        <v>2</v>
      </c>
      <c r="H45" s="1">
        <f t="shared" si="87"/>
        <v>1</v>
      </c>
      <c r="I45" s="1">
        <f t="shared" si="87"/>
        <v>1</v>
      </c>
      <c r="J45" s="1">
        <f t="shared" si="87"/>
        <v>1</v>
      </c>
      <c r="K45" s="1">
        <f t="shared" si="87"/>
        <v>1</v>
      </c>
      <c r="L45" s="1">
        <f t="shared" ref="L45:O45" si="88">H45*L$1</f>
        <v>1900</v>
      </c>
      <c r="M45" s="1">
        <f t="shared" si="88"/>
        <v>2900</v>
      </c>
      <c r="N45" s="1">
        <f t="shared" si="88"/>
        <v>1780</v>
      </c>
      <c r="O45" s="1">
        <f t="shared" si="88"/>
        <v>2690</v>
      </c>
      <c r="P45" s="1">
        <f t="shared" si="6"/>
        <v>9270</v>
      </c>
    </row>
    <row r="46">
      <c r="A46" s="5">
        <v>43.0</v>
      </c>
      <c r="B46" s="8">
        <f t="shared" si="3"/>
        <v>0.9895110582</v>
      </c>
      <c r="C46" s="1">
        <f t="shared" ref="C46:K46" si="89">IF(ISBLANK(C$2),"",C$1-_xlfn.FLOOR.MATH(C$1*(180-MIN(180,$A46))/180))</f>
        <v>4</v>
      </c>
      <c r="D46" s="4">
        <f t="shared" si="89"/>
        <v>2</v>
      </c>
      <c r="E46" s="1">
        <f t="shared" si="89"/>
        <v>1</v>
      </c>
      <c r="F46" s="1">
        <f t="shared" si="89"/>
        <v>1</v>
      </c>
      <c r="G46" s="10">
        <f t="shared" si="89"/>
        <v>2</v>
      </c>
      <c r="H46" s="1">
        <f t="shared" si="89"/>
        <v>1</v>
      </c>
      <c r="I46" s="1">
        <f t="shared" si="89"/>
        <v>1</v>
      </c>
      <c r="J46" s="1">
        <f t="shared" si="89"/>
        <v>1</v>
      </c>
      <c r="K46" s="1">
        <f t="shared" si="89"/>
        <v>1</v>
      </c>
      <c r="L46" s="1">
        <f t="shared" ref="L46:O46" si="90">H46*L$1</f>
        <v>1900</v>
      </c>
      <c r="M46" s="1">
        <f t="shared" si="90"/>
        <v>2900</v>
      </c>
      <c r="N46" s="1">
        <f t="shared" si="90"/>
        <v>1780</v>
      </c>
      <c r="O46" s="1">
        <f t="shared" si="90"/>
        <v>2690</v>
      </c>
      <c r="P46" s="1">
        <f t="shared" si="6"/>
        <v>9270</v>
      </c>
    </row>
    <row r="47">
      <c r="A47" s="5">
        <v>44.0</v>
      </c>
      <c r="B47" s="8">
        <f t="shared" si="3"/>
        <v>0.9887460309</v>
      </c>
      <c r="C47" s="1">
        <f t="shared" ref="C47:K47" si="91">IF(ISBLANK(C$2),"",C$1-_xlfn.FLOOR.MATH(C$1*(180-MIN(180,$A47))/180))</f>
        <v>4</v>
      </c>
      <c r="D47" s="4">
        <f t="shared" si="91"/>
        <v>2</v>
      </c>
      <c r="E47" s="1">
        <f t="shared" si="91"/>
        <v>1</v>
      </c>
      <c r="F47" s="1">
        <f t="shared" si="91"/>
        <v>1</v>
      </c>
      <c r="G47" s="10">
        <f t="shared" si="91"/>
        <v>2</v>
      </c>
      <c r="H47" s="1">
        <f t="shared" si="91"/>
        <v>1</v>
      </c>
      <c r="I47" s="1">
        <f t="shared" si="91"/>
        <v>1</v>
      </c>
      <c r="J47" s="1">
        <f t="shared" si="91"/>
        <v>1</v>
      </c>
      <c r="K47" s="1">
        <f t="shared" si="91"/>
        <v>1</v>
      </c>
      <c r="L47" s="1">
        <f t="shared" ref="L47:O47" si="92">H47*L$1</f>
        <v>1900</v>
      </c>
      <c r="M47" s="1">
        <f t="shared" si="92"/>
        <v>2900</v>
      </c>
      <c r="N47" s="1">
        <f t="shared" si="92"/>
        <v>1780</v>
      </c>
      <c r="O47" s="1">
        <f t="shared" si="92"/>
        <v>2690</v>
      </c>
      <c r="P47" s="1">
        <f t="shared" si="6"/>
        <v>9270</v>
      </c>
    </row>
    <row r="48">
      <c r="A48" s="5">
        <v>45.0</v>
      </c>
      <c r="B48" s="8">
        <f t="shared" si="3"/>
        <v>0.9879262267</v>
      </c>
      <c r="C48" s="1">
        <f t="shared" ref="C48:K48" si="93">IF(ISBLANK(C$2),"",C$1-_xlfn.FLOOR.MATH(C$1*(180-MIN(180,$A48))/180))</f>
        <v>4</v>
      </c>
      <c r="D48" s="4">
        <f t="shared" si="93"/>
        <v>2</v>
      </c>
      <c r="E48" s="1">
        <f t="shared" si="93"/>
        <v>1</v>
      </c>
      <c r="F48" s="1">
        <f t="shared" si="93"/>
        <v>1</v>
      </c>
      <c r="G48" s="10">
        <f t="shared" si="93"/>
        <v>2</v>
      </c>
      <c r="H48" s="1">
        <f t="shared" si="93"/>
        <v>1</v>
      </c>
      <c r="I48" s="1">
        <f t="shared" si="93"/>
        <v>1</v>
      </c>
      <c r="J48" s="1">
        <f t="shared" si="93"/>
        <v>1</v>
      </c>
      <c r="K48" s="1">
        <f t="shared" si="93"/>
        <v>1</v>
      </c>
      <c r="L48" s="1">
        <f t="shared" ref="L48:O48" si="94">H48*L$1</f>
        <v>1900</v>
      </c>
      <c r="M48" s="1">
        <f t="shared" si="94"/>
        <v>2900</v>
      </c>
      <c r="N48" s="1">
        <f t="shared" si="94"/>
        <v>1780</v>
      </c>
      <c r="O48" s="1">
        <f t="shared" si="94"/>
        <v>2690</v>
      </c>
      <c r="P48" s="1">
        <f t="shared" si="6"/>
        <v>9270</v>
      </c>
    </row>
    <row r="49">
      <c r="A49" s="5">
        <v>46.0</v>
      </c>
      <c r="B49" s="8">
        <f t="shared" si="3"/>
        <v>0.9870478773</v>
      </c>
      <c r="C49" s="1">
        <f t="shared" ref="C49:K49" si="95">IF(ISBLANK(C$2),"",C$1-_xlfn.FLOOR.MATH(C$1*(180-MIN(180,$A49))/180))</f>
        <v>5</v>
      </c>
      <c r="D49" s="4">
        <f t="shared" si="95"/>
        <v>2</v>
      </c>
      <c r="E49" s="1">
        <f t="shared" si="95"/>
        <v>1</v>
      </c>
      <c r="F49" s="1">
        <f t="shared" si="95"/>
        <v>1</v>
      </c>
      <c r="G49" s="10">
        <f t="shared" si="95"/>
        <v>2</v>
      </c>
      <c r="H49" s="1">
        <f t="shared" si="95"/>
        <v>2</v>
      </c>
      <c r="I49" s="1">
        <f t="shared" si="95"/>
        <v>1</v>
      </c>
      <c r="J49" s="1">
        <f t="shared" si="95"/>
        <v>1</v>
      </c>
      <c r="K49" s="1">
        <f t="shared" si="95"/>
        <v>1</v>
      </c>
      <c r="L49" s="1">
        <f t="shared" ref="L49:O49" si="96">H49*L$1</f>
        <v>3800</v>
      </c>
      <c r="M49" s="1">
        <f t="shared" si="96"/>
        <v>2900</v>
      </c>
      <c r="N49" s="1">
        <f t="shared" si="96"/>
        <v>1780</v>
      </c>
      <c r="O49" s="1">
        <f t="shared" si="96"/>
        <v>2690</v>
      </c>
      <c r="P49" s="1">
        <f t="shared" si="6"/>
        <v>11170</v>
      </c>
    </row>
    <row r="50">
      <c r="A50" s="5">
        <v>47.0</v>
      </c>
      <c r="B50" s="8">
        <f t="shared" si="3"/>
        <v>0.9861069787</v>
      </c>
      <c r="C50" s="1">
        <f t="shared" ref="C50:K50" si="97">IF(ISBLANK(C$2),"",C$1-_xlfn.FLOOR.MATH(C$1*(180-MIN(180,$A50))/180))</f>
        <v>5</v>
      </c>
      <c r="D50" s="4">
        <f t="shared" si="97"/>
        <v>2</v>
      </c>
      <c r="E50" s="1">
        <f t="shared" si="97"/>
        <v>1</v>
      </c>
      <c r="F50" s="1">
        <f t="shared" si="97"/>
        <v>1</v>
      </c>
      <c r="G50" s="10">
        <f t="shared" si="97"/>
        <v>2</v>
      </c>
      <c r="H50" s="1">
        <f t="shared" si="97"/>
        <v>2</v>
      </c>
      <c r="I50" s="1">
        <f t="shared" si="97"/>
        <v>1</v>
      </c>
      <c r="J50" s="1">
        <f t="shared" si="97"/>
        <v>1</v>
      </c>
      <c r="K50" s="1">
        <f t="shared" si="97"/>
        <v>1</v>
      </c>
      <c r="L50" s="1">
        <f t="shared" ref="L50:O50" si="98">H50*L$1</f>
        <v>3800</v>
      </c>
      <c r="M50" s="1">
        <f t="shared" si="98"/>
        <v>2900</v>
      </c>
      <c r="N50" s="1">
        <f t="shared" si="98"/>
        <v>1780</v>
      </c>
      <c r="O50" s="1">
        <f t="shared" si="98"/>
        <v>2690</v>
      </c>
      <c r="P50" s="1">
        <f t="shared" si="6"/>
        <v>11170</v>
      </c>
    </row>
    <row r="51">
      <c r="A51" s="5">
        <v>48.0</v>
      </c>
      <c r="B51" s="8">
        <f t="shared" si="3"/>
        <v>0.9850992791</v>
      </c>
      <c r="C51" s="1">
        <f t="shared" ref="C51:K51" si="99">IF(ISBLANK(C$2),"",C$1-_xlfn.FLOOR.MATH(C$1*(180-MIN(180,$A51))/180))</f>
        <v>5</v>
      </c>
      <c r="D51" s="4">
        <f t="shared" si="99"/>
        <v>2</v>
      </c>
      <c r="E51" s="1">
        <f t="shared" si="99"/>
        <v>1</v>
      </c>
      <c r="F51" s="1">
        <f t="shared" si="99"/>
        <v>1</v>
      </c>
      <c r="G51" s="10">
        <f t="shared" si="99"/>
        <v>2</v>
      </c>
      <c r="H51" s="1">
        <f t="shared" si="99"/>
        <v>2</v>
      </c>
      <c r="I51" s="1">
        <f t="shared" si="99"/>
        <v>1</v>
      </c>
      <c r="J51" s="1">
        <f t="shared" si="99"/>
        <v>1</v>
      </c>
      <c r="K51" s="1">
        <f t="shared" si="99"/>
        <v>1</v>
      </c>
      <c r="L51" s="1">
        <f t="shared" ref="L51:O51" si="100">H51*L$1</f>
        <v>3800</v>
      </c>
      <c r="M51" s="1">
        <f t="shared" si="100"/>
        <v>2900</v>
      </c>
      <c r="N51" s="1">
        <f t="shared" si="100"/>
        <v>1780</v>
      </c>
      <c r="O51" s="1">
        <f t="shared" si="100"/>
        <v>2690</v>
      </c>
      <c r="P51" s="1">
        <f t="shared" si="6"/>
        <v>11170</v>
      </c>
    </row>
    <row r="52">
      <c r="A52" s="5">
        <v>49.0</v>
      </c>
      <c r="B52" s="8">
        <f t="shared" si="3"/>
        <v>0.9840202684</v>
      </c>
      <c r="C52" s="1">
        <f t="shared" ref="C52:K52" si="101">IF(ISBLANK(C$2),"",C$1-_xlfn.FLOOR.MATH(C$1*(180-MIN(180,$A52))/180))</f>
        <v>5</v>
      </c>
      <c r="D52" s="4">
        <f t="shared" si="101"/>
        <v>2</v>
      </c>
      <c r="E52" s="1">
        <f t="shared" si="101"/>
        <v>1</v>
      </c>
      <c r="F52" s="1">
        <f t="shared" si="101"/>
        <v>1</v>
      </c>
      <c r="G52" s="10">
        <f t="shared" si="101"/>
        <v>2</v>
      </c>
      <c r="H52" s="1">
        <f t="shared" si="101"/>
        <v>2</v>
      </c>
      <c r="I52" s="1">
        <f t="shared" si="101"/>
        <v>1</v>
      </c>
      <c r="J52" s="1">
        <f t="shared" si="101"/>
        <v>1</v>
      </c>
      <c r="K52" s="1">
        <f t="shared" si="101"/>
        <v>1</v>
      </c>
      <c r="L52" s="1">
        <f t="shared" ref="L52:O52" si="102">H52*L$1</f>
        <v>3800</v>
      </c>
      <c r="M52" s="1">
        <f t="shared" si="102"/>
        <v>2900</v>
      </c>
      <c r="N52" s="1">
        <f t="shared" si="102"/>
        <v>1780</v>
      </c>
      <c r="O52" s="1">
        <f t="shared" si="102"/>
        <v>2690</v>
      </c>
      <c r="P52" s="1">
        <f t="shared" si="6"/>
        <v>11170</v>
      </c>
    </row>
    <row r="53">
      <c r="A53" s="5">
        <v>50.0</v>
      </c>
      <c r="B53" s="8">
        <f t="shared" si="3"/>
        <v>0.9828651667</v>
      </c>
      <c r="C53" s="1">
        <f t="shared" ref="C53:K53" si="103">IF(ISBLANK(C$2),"",C$1-_xlfn.FLOOR.MATH(C$1*(180-MIN(180,$A53))/180))</f>
        <v>5</v>
      </c>
      <c r="D53" s="4">
        <f t="shared" si="103"/>
        <v>2</v>
      </c>
      <c r="E53" s="1">
        <f t="shared" si="103"/>
        <v>1</v>
      </c>
      <c r="F53" s="1">
        <f t="shared" si="103"/>
        <v>1</v>
      </c>
      <c r="G53" s="10">
        <f t="shared" si="103"/>
        <v>2</v>
      </c>
      <c r="H53" s="1">
        <f t="shared" si="103"/>
        <v>2</v>
      </c>
      <c r="I53" s="1">
        <f t="shared" si="103"/>
        <v>1</v>
      </c>
      <c r="J53" s="1">
        <f t="shared" si="103"/>
        <v>1</v>
      </c>
      <c r="K53" s="1">
        <f t="shared" si="103"/>
        <v>1</v>
      </c>
      <c r="L53" s="1">
        <f t="shared" ref="L53:O53" si="104">H53*L$1</f>
        <v>3800</v>
      </c>
      <c r="M53" s="1">
        <f t="shared" si="104"/>
        <v>2900</v>
      </c>
      <c r="N53" s="1">
        <f t="shared" si="104"/>
        <v>1780</v>
      </c>
      <c r="O53" s="1">
        <f t="shared" si="104"/>
        <v>2690</v>
      </c>
      <c r="P53" s="1">
        <f t="shared" si="6"/>
        <v>11170</v>
      </c>
    </row>
    <row r="54">
      <c r="A54" s="5">
        <v>51.0</v>
      </c>
      <c r="B54" s="8">
        <f t="shared" si="3"/>
        <v>0.9816289134</v>
      </c>
      <c r="C54" s="1">
        <f t="shared" ref="C54:K54" si="105">IF(ISBLANK(C$2),"",C$1-_xlfn.FLOOR.MATH(C$1*(180-MIN(180,$A54))/180))</f>
        <v>5</v>
      </c>
      <c r="D54" s="4">
        <f t="shared" si="105"/>
        <v>2</v>
      </c>
      <c r="E54" s="1">
        <f t="shared" si="105"/>
        <v>1</v>
      </c>
      <c r="F54" s="1">
        <f t="shared" si="105"/>
        <v>1</v>
      </c>
      <c r="G54" s="10">
        <f t="shared" si="105"/>
        <v>2</v>
      </c>
      <c r="H54" s="1">
        <f t="shared" si="105"/>
        <v>2</v>
      </c>
      <c r="I54" s="1">
        <f t="shared" si="105"/>
        <v>1</v>
      </c>
      <c r="J54" s="1">
        <f t="shared" si="105"/>
        <v>1</v>
      </c>
      <c r="K54" s="1">
        <f t="shared" si="105"/>
        <v>1</v>
      </c>
      <c r="L54" s="1">
        <f t="shared" ref="L54:O54" si="106">H54*L$1</f>
        <v>3800</v>
      </c>
      <c r="M54" s="1">
        <f t="shared" si="106"/>
        <v>2900</v>
      </c>
      <c r="N54" s="1">
        <f t="shared" si="106"/>
        <v>1780</v>
      </c>
      <c r="O54" s="1">
        <f t="shared" si="106"/>
        <v>2690</v>
      </c>
      <c r="P54" s="1">
        <f t="shared" si="6"/>
        <v>11170</v>
      </c>
    </row>
    <row r="55">
      <c r="A55" s="5">
        <v>52.0</v>
      </c>
      <c r="B55" s="8">
        <f t="shared" si="3"/>
        <v>0.9803061567</v>
      </c>
      <c r="C55" s="1">
        <f t="shared" ref="C55:K55" si="107">IF(ISBLANK(C$2),"",C$1-_xlfn.FLOOR.MATH(C$1*(180-MIN(180,$A55))/180))</f>
        <v>5</v>
      </c>
      <c r="D55" s="4">
        <f t="shared" si="107"/>
        <v>2</v>
      </c>
      <c r="E55" s="1">
        <f t="shared" si="107"/>
        <v>1</v>
      </c>
      <c r="F55" s="1">
        <f t="shared" si="107"/>
        <v>1</v>
      </c>
      <c r="G55" s="10">
        <f t="shared" si="107"/>
        <v>2</v>
      </c>
      <c r="H55" s="1">
        <f t="shared" si="107"/>
        <v>2</v>
      </c>
      <c r="I55" s="1">
        <f t="shared" si="107"/>
        <v>1</v>
      </c>
      <c r="J55" s="1">
        <f t="shared" si="107"/>
        <v>1</v>
      </c>
      <c r="K55" s="1">
        <f t="shared" si="107"/>
        <v>1</v>
      </c>
      <c r="L55" s="1">
        <f t="shared" ref="L55:O55" si="108">H55*L$1</f>
        <v>3800</v>
      </c>
      <c r="M55" s="1">
        <f t="shared" si="108"/>
        <v>2900</v>
      </c>
      <c r="N55" s="1">
        <f t="shared" si="108"/>
        <v>1780</v>
      </c>
      <c r="O55" s="1">
        <f t="shared" si="108"/>
        <v>2690</v>
      </c>
      <c r="P55" s="1">
        <f t="shared" si="6"/>
        <v>11170</v>
      </c>
    </row>
    <row r="56">
      <c r="A56" s="5">
        <v>53.0</v>
      </c>
      <c r="B56" s="8">
        <f t="shared" si="3"/>
        <v>0.9788912441</v>
      </c>
      <c r="C56" s="1">
        <f t="shared" ref="C56:K56" si="109">IF(ISBLANK(C$2),"",C$1-_xlfn.FLOOR.MATH(C$1*(180-MIN(180,$A56))/180))</f>
        <v>5</v>
      </c>
      <c r="D56" s="4">
        <f t="shared" si="109"/>
        <v>2</v>
      </c>
      <c r="E56" s="1">
        <f t="shared" si="109"/>
        <v>1</v>
      </c>
      <c r="F56" s="1">
        <f t="shared" si="109"/>
        <v>1</v>
      </c>
      <c r="G56" s="10">
        <f t="shared" si="109"/>
        <v>2</v>
      </c>
      <c r="H56" s="1">
        <f t="shared" si="109"/>
        <v>2</v>
      </c>
      <c r="I56" s="1">
        <f t="shared" si="109"/>
        <v>1</v>
      </c>
      <c r="J56" s="1">
        <f t="shared" si="109"/>
        <v>1</v>
      </c>
      <c r="K56" s="1">
        <f t="shared" si="109"/>
        <v>1</v>
      </c>
      <c r="L56" s="1">
        <f t="shared" ref="L56:O56" si="110">H56*L$1</f>
        <v>3800</v>
      </c>
      <c r="M56" s="1">
        <f t="shared" si="110"/>
        <v>2900</v>
      </c>
      <c r="N56" s="1">
        <f t="shared" si="110"/>
        <v>1780</v>
      </c>
      <c r="O56" s="1">
        <f t="shared" si="110"/>
        <v>2690</v>
      </c>
      <c r="P56" s="1">
        <f t="shared" si="6"/>
        <v>11170</v>
      </c>
    </row>
    <row r="57">
      <c r="A57" s="5">
        <v>54.0</v>
      </c>
      <c r="B57" s="8">
        <f t="shared" si="3"/>
        <v>0.9773782126</v>
      </c>
      <c r="C57" s="1">
        <f t="shared" ref="C57:K57" si="111">IF(ISBLANK(C$2),"",C$1-_xlfn.FLOOR.MATH(C$1*(180-MIN(180,$A57))/180))</f>
        <v>5</v>
      </c>
      <c r="D57" s="4">
        <f t="shared" si="111"/>
        <v>2</v>
      </c>
      <c r="E57" s="1">
        <f t="shared" si="111"/>
        <v>1</v>
      </c>
      <c r="F57" s="1">
        <f t="shared" si="111"/>
        <v>1</v>
      </c>
      <c r="G57" s="10">
        <f t="shared" si="111"/>
        <v>2</v>
      </c>
      <c r="H57" s="1">
        <f t="shared" si="111"/>
        <v>2</v>
      </c>
      <c r="I57" s="1">
        <f t="shared" si="111"/>
        <v>1</v>
      </c>
      <c r="J57" s="1">
        <f t="shared" si="111"/>
        <v>1</v>
      </c>
      <c r="K57" s="1">
        <f t="shared" si="111"/>
        <v>1</v>
      </c>
      <c r="L57" s="1">
        <f t="shared" ref="L57:O57" si="112">H57*L$1</f>
        <v>3800</v>
      </c>
      <c r="M57" s="1">
        <f t="shared" si="112"/>
        <v>2900</v>
      </c>
      <c r="N57" s="1">
        <f t="shared" si="112"/>
        <v>1780</v>
      </c>
      <c r="O57" s="1">
        <f t="shared" si="112"/>
        <v>2690</v>
      </c>
      <c r="P57" s="1">
        <f t="shared" si="6"/>
        <v>11170</v>
      </c>
    </row>
    <row r="58">
      <c r="A58" s="5">
        <v>55.0</v>
      </c>
      <c r="B58" s="8">
        <f t="shared" si="3"/>
        <v>0.9757607813</v>
      </c>
      <c r="C58" s="1">
        <f t="shared" ref="C58:K58" si="113">IF(ISBLANK(C$2),"",C$1-_xlfn.FLOOR.MATH(C$1*(180-MIN(180,$A58))/180))</f>
        <v>5</v>
      </c>
      <c r="D58" s="4">
        <f t="shared" si="113"/>
        <v>2</v>
      </c>
      <c r="E58" s="1">
        <f t="shared" si="113"/>
        <v>1</v>
      </c>
      <c r="F58" s="1">
        <f t="shared" si="113"/>
        <v>1</v>
      </c>
      <c r="G58" s="10">
        <f t="shared" si="113"/>
        <v>2</v>
      </c>
      <c r="H58" s="1">
        <f t="shared" si="113"/>
        <v>2</v>
      </c>
      <c r="I58" s="1">
        <f t="shared" si="113"/>
        <v>1</v>
      </c>
      <c r="J58" s="1">
        <f t="shared" si="113"/>
        <v>1</v>
      </c>
      <c r="K58" s="1">
        <f t="shared" si="113"/>
        <v>1</v>
      </c>
      <c r="L58" s="1">
        <f t="shared" ref="L58:O58" si="114">H58*L$1</f>
        <v>3800</v>
      </c>
      <c r="M58" s="1">
        <f t="shared" si="114"/>
        <v>2900</v>
      </c>
      <c r="N58" s="1">
        <f t="shared" si="114"/>
        <v>1780</v>
      </c>
      <c r="O58" s="1">
        <f t="shared" si="114"/>
        <v>2690</v>
      </c>
      <c r="P58" s="1">
        <f t="shared" si="6"/>
        <v>11170</v>
      </c>
    </row>
    <row r="59">
      <c r="A59" s="5">
        <v>56.0</v>
      </c>
      <c r="B59" s="8">
        <f t="shared" si="3"/>
        <v>0.9740323444</v>
      </c>
      <c r="C59" s="1">
        <f t="shared" ref="C59:K59" si="115">IF(ISBLANK(C$2),"",C$1-_xlfn.FLOOR.MATH(C$1*(180-MIN(180,$A59))/180))</f>
        <v>5</v>
      </c>
      <c r="D59" s="4">
        <f t="shared" si="115"/>
        <v>2</v>
      </c>
      <c r="E59" s="1">
        <f t="shared" si="115"/>
        <v>1</v>
      </c>
      <c r="F59" s="1">
        <f t="shared" si="115"/>
        <v>1</v>
      </c>
      <c r="G59" s="10">
        <f t="shared" si="115"/>
        <v>2</v>
      </c>
      <c r="H59" s="1">
        <f t="shared" si="115"/>
        <v>2</v>
      </c>
      <c r="I59" s="1">
        <f t="shared" si="115"/>
        <v>1</v>
      </c>
      <c r="J59" s="1">
        <f t="shared" si="115"/>
        <v>1</v>
      </c>
      <c r="K59" s="1">
        <f t="shared" si="115"/>
        <v>1</v>
      </c>
      <c r="L59" s="1">
        <f t="shared" ref="L59:O59" si="116">H59*L$1</f>
        <v>3800</v>
      </c>
      <c r="M59" s="1">
        <f t="shared" si="116"/>
        <v>2900</v>
      </c>
      <c r="N59" s="1">
        <f t="shared" si="116"/>
        <v>1780</v>
      </c>
      <c r="O59" s="1">
        <f t="shared" si="116"/>
        <v>2690</v>
      </c>
      <c r="P59" s="1">
        <f t="shared" si="6"/>
        <v>11170</v>
      </c>
    </row>
    <row r="60">
      <c r="A60" s="5">
        <v>57.0</v>
      </c>
      <c r="B60" s="8">
        <f t="shared" si="3"/>
        <v>0.9721859656</v>
      </c>
      <c r="C60" s="1">
        <f t="shared" ref="C60:K60" si="117">IF(ISBLANK(C$2),"",C$1-_xlfn.FLOOR.MATH(C$1*(180-MIN(180,$A60))/180))</f>
        <v>6</v>
      </c>
      <c r="D60" s="4">
        <f t="shared" si="117"/>
        <v>2</v>
      </c>
      <c r="E60" s="1">
        <f t="shared" si="117"/>
        <v>1</v>
      </c>
      <c r="F60" s="1">
        <f t="shared" si="117"/>
        <v>1</v>
      </c>
      <c r="G60" s="10">
        <f t="shared" si="117"/>
        <v>2</v>
      </c>
      <c r="H60" s="1">
        <f t="shared" si="117"/>
        <v>2</v>
      </c>
      <c r="I60" s="1">
        <f t="shared" si="117"/>
        <v>1</v>
      </c>
      <c r="J60" s="1">
        <f t="shared" si="117"/>
        <v>1</v>
      </c>
      <c r="K60" s="1">
        <f t="shared" si="117"/>
        <v>1</v>
      </c>
      <c r="L60" s="1">
        <f t="shared" ref="L60:O60" si="118">H60*L$1</f>
        <v>3800</v>
      </c>
      <c r="M60" s="1">
        <f t="shared" si="118"/>
        <v>2900</v>
      </c>
      <c r="N60" s="1">
        <f t="shared" si="118"/>
        <v>1780</v>
      </c>
      <c r="O60" s="1">
        <f t="shared" si="118"/>
        <v>2690</v>
      </c>
      <c r="P60" s="1">
        <f t="shared" si="6"/>
        <v>11170</v>
      </c>
    </row>
    <row r="61">
      <c r="A61" s="5">
        <v>58.0</v>
      </c>
      <c r="B61" s="8">
        <f t="shared" si="3"/>
        <v>0.9702143754</v>
      </c>
      <c r="C61" s="1">
        <f t="shared" ref="C61:K61" si="119">IF(ISBLANK(C$2),"",C$1-_xlfn.FLOOR.MATH(C$1*(180-MIN(180,$A61))/180))</f>
        <v>6</v>
      </c>
      <c r="D61" s="4">
        <f t="shared" si="119"/>
        <v>2</v>
      </c>
      <c r="E61" s="1">
        <f t="shared" si="119"/>
        <v>1</v>
      </c>
      <c r="F61" s="1">
        <f t="shared" si="119"/>
        <v>1</v>
      </c>
      <c r="G61" s="10">
        <f t="shared" si="119"/>
        <v>2</v>
      </c>
      <c r="H61" s="1">
        <f t="shared" si="119"/>
        <v>2</v>
      </c>
      <c r="I61" s="1">
        <f t="shared" si="119"/>
        <v>1</v>
      </c>
      <c r="J61" s="1">
        <f t="shared" si="119"/>
        <v>1</v>
      </c>
      <c r="K61" s="1">
        <f t="shared" si="119"/>
        <v>1</v>
      </c>
      <c r="L61" s="1">
        <f t="shared" ref="L61:O61" si="120">H61*L$1</f>
        <v>3800</v>
      </c>
      <c r="M61" s="1">
        <f t="shared" si="120"/>
        <v>2900</v>
      </c>
      <c r="N61" s="1">
        <f t="shared" si="120"/>
        <v>1780</v>
      </c>
      <c r="O61" s="1">
        <f t="shared" si="120"/>
        <v>2690</v>
      </c>
      <c r="P61" s="1">
        <f t="shared" si="6"/>
        <v>11170</v>
      </c>
    </row>
    <row r="62">
      <c r="A62" s="5">
        <v>59.0</v>
      </c>
      <c r="B62" s="8">
        <f t="shared" si="3"/>
        <v>0.9681099696</v>
      </c>
      <c r="C62" s="1">
        <f t="shared" ref="C62:K62" si="121">IF(ISBLANK(C$2),"",C$1-_xlfn.FLOOR.MATH(C$1*(180-MIN(180,$A62))/180))</f>
        <v>6</v>
      </c>
      <c r="D62" s="4">
        <f t="shared" si="121"/>
        <v>2</v>
      </c>
      <c r="E62" s="1">
        <f t="shared" si="121"/>
        <v>1</v>
      </c>
      <c r="F62" s="1">
        <f t="shared" si="121"/>
        <v>1</v>
      </c>
      <c r="G62" s="10">
        <f t="shared" si="121"/>
        <v>2</v>
      </c>
      <c r="H62" s="1">
        <f t="shared" si="121"/>
        <v>2</v>
      </c>
      <c r="I62" s="1">
        <f t="shared" si="121"/>
        <v>1</v>
      </c>
      <c r="J62" s="1">
        <f t="shared" si="121"/>
        <v>1</v>
      </c>
      <c r="K62" s="1">
        <f t="shared" si="121"/>
        <v>1</v>
      </c>
      <c r="L62" s="1">
        <f t="shared" ref="L62:O62" si="122">H62*L$1</f>
        <v>3800</v>
      </c>
      <c r="M62" s="1">
        <f t="shared" si="122"/>
        <v>2900</v>
      </c>
      <c r="N62" s="1">
        <f t="shared" si="122"/>
        <v>1780</v>
      </c>
      <c r="O62" s="1">
        <f t="shared" si="122"/>
        <v>2690</v>
      </c>
      <c r="P62" s="1">
        <f t="shared" si="6"/>
        <v>11170</v>
      </c>
    </row>
    <row r="63">
      <c r="A63" s="5">
        <v>60.0</v>
      </c>
      <c r="B63" s="8">
        <f t="shared" si="3"/>
        <v>0.9658648113</v>
      </c>
      <c r="C63" s="1">
        <f t="shared" ref="C63:K63" si="123">IF(ISBLANK(C$2),"",C$1-_xlfn.FLOOR.MATH(C$1*(180-MIN(180,$A63))/180))</f>
        <v>6</v>
      </c>
      <c r="D63" s="4">
        <f t="shared" si="123"/>
        <v>2</v>
      </c>
      <c r="E63" s="1">
        <f t="shared" si="123"/>
        <v>1</v>
      </c>
      <c r="F63" s="1">
        <f t="shared" si="123"/>
        <v>1</v>
      </c>
      <c r="G63" s="10">
        <f t="shared" si="123"/>
        <v>2</v>
      </c>
      <c r="H63" s="1">
        <f t="shared" si="123"/>
        <v>2</v>
      </c>
      <c r="I63" s="1">
        <f t="shared" si="123"/>
        <v>1</v>
      </c>
      <c r="J63" s="1">
        <f t="shared" si="123"/>
        <v>1</v>
      </c>
      <c r="K63" s="1">
        <f t="shared" si="123"/>
        <v>1</v>
      </c>
      <c r="L63" s="1">
        <f t="shared" ref="L63:O63" si="124">H63*L$1</f>
        <v>3800</v>
      </c>
      <c r="M63" s="1">
        <f t="shared" si="124"/>
        <v>2900</v>
      </c>
      <c r="N63" s="1">
        <f t="shared" si="124"/>
        <v>1780</v>
      </c>
      <c r="O63" s="1">
        <f t="shared" si="124"/>
        <v>2690</v>
      </c>
      <c r="P63" s="1">
        <f t="shared" si="6"/>
        <v>11170</v>
      </c>
    </row>
    <row r="64">
      <c r="A64" s="5">
        <v>61.0</v>
      </c>
      <c r="B64" s="8">
        <f t="shared" si="3"/>
        <v>0.9634706354</v>
      </c>
      <c r="C64" s="1">
        <f t="shared" ref="C64:K64" si="125">IF(ISBLANK(C$2),"",C$1-_xlfn.FLOOR.MATH(C$1*(180-MIN(180,$A64))/180))</f>
        <v>6</v>
      </c>
      <c r="D64" s="4">
        <f t="shared" si="125"/>
        <v>3</v>
      </c>
      <c r="E64" s="1">
        <f t="shared" si="125"/>
        <v>2</v>
      </c>
      <c r="F64" s="1">
        <f t="shared" si="125"/>
        <v>1</v>
      </c>
      <c r="G64" s="10">
        <f t="shared" si="125"/>
        <v>3</v>
      </c>
      <c r="H64" s="1">
        <f t="shared" si="125"/>
        <v>2</v>
      </c>
      <c r="I64" s="1">
        <f t="shared" si="125"/>
        <v>2</v>
      </c>
      <c r="J64" s="1">
        <f t="shared" si="125"/>
        <v>1</v>
      </c>
      <c r="K64" s="1">
        <f t="shared" si="125"/>
        <v>1</v>
      </c>
      <c r="L64" s="1">
        <f t="shared" ref="L64:O64" si="126">H64*L$1</f>
        <v>3800</v>
      </c>
      <c r="M64" s="1">
        <f t="shared" si="126"/>
        <v>5800</v>
      </c>
      <c r="N64" s="1">
        <f t="shared" si="126"/>
        <v>1780</v>
      </c>
      <c r="O64" s="1">
        <f t="shared" si="126"/>
        <v>2690</v>
      </c>
      <c r="P64" s="1">
        <f t="shared" si="6"/>
        <v>14070</v>
      </c>
    </row>
    <row r="65">
      <c r="A65" s="5">
        <v>62.0</v>
      </c>
      <c r="B65" s="8">
        <f t="shared" si="3"/>
        <v>0.9609188575</v>
      </c>
      <c r="C65" s="1">
        <f t="shared" ref="C65:K65" si="127">IF(ISBLANK(C$2),"",C$1-_xlfn.FLOOR.MATH(C$1*(180-MIN(180,$A65))/180))</f>
        <v>6</v>
      </c>
      <c r="D65" s="4">
        <f t="shared" si="127"/>
        <v>3</v>
      </c>
      <c r="E65" s="1">
        <f t="shared" si="127"/>
        <v>2</v>
      </c>
      <c r="F65" s="1">
        <f t="shared" si="127"/>
        <v>1</v>
      </c>
      <c r="G65" s="10">
        <f t="shared" si="127"/>
        <v>3</v>
      </c>
      <c r="H65" s="1">
        <f t="shared" si="127"/>
        <v>2</v>
      </c>
      <c r="I65" s="1">
        <f t="shared" si="127"/>
        <v>2</v>
      </c>
      <c r="J65" s="1">
        <f t="shared" si="127"/>
        <v>1</v>
      </c>
      <c r="K65" s="1">
        <f t="shared" si="127"/>
        <v>1</v>
      </c>
      <c r="L65" s="1">
        <f t="shared" ref="L65:O65" si="128">H65*L$1</f>
        <v>3800</v>
      </c>
      <c r="M65" s="1">
        <f t="shared" si="128"/>
        <v>5800</v>
      </c>
      <c r="N65" s="1">
        <f t="shared" si="128"/>
        <v>1780</v>
      </c>
      <c r="O65" s="1">
        <f t="shared" si="128"/>
        <v>2690</v>
      </c>
      <c r="P65" s="1">
        <f t="shared" si="6"/>
        <v>14070</v>
      </c>
    </row>
    <row r="66">
      <c r="A66" s="5">
        <v>63.0</v>
      </c>
      <c r="B66" s="8">
        <f t="shared" si="3"/>
        <v>0.958200586</v>
      </c>
      <c r="C66" s="1">
        <f t="shared" ref="C66:K66" si="129">IF(ISBLANK(C$2),"",C$1-_xlfn.FLOOR.MATH(C$1*(180-MIN(180,$A66))/180))</f>
        <v>6</v>
      </c>
      <c r="D66" s="4">
        <f t="shared" si="129"/>
        <v>3</v>
      </c>
      <c r="E66" s="1">
        <f t="shared" si="129"/>
        <v>2</v>
      </c>
      <c r="F66" s="1">
        <f t="shared" si="129"/>
        <v>1</v>
      </c>
      <c r="G66" s="10">
        <f t="shared" si="129"/>
        <v>3</v>
      </c>
      <c r="H66" s="1">
        <f t="shared" si="129"/>
        <v>2</v>
      </c>
      <c r="I66" s="1">
        <f t="shared" si="129"/>
        <v>2</v>
      </c>
      <c r="J66" s="1">
        <f t="shared" si="129"/>
        <v>1</v>
      </c>
      <c r="K66" s="1">
        <f t="shared" si="129"/>
        <v>1</v>
      </c>
      <c r="L66" s="1">
        <f t="shared" ref="L66:O66" si="130">H66*L$1</f>
        <v>3800</v>
      </c>
      <c r="M66" s="1">
        <f t="shared" si="130"/>
        <v>5800</v>
      </c>
      <c r="N66" s="1">
        <f t="shared" si="130"/>
        <v>1780</v>
      </c>
      <c r="O66" s="1">
        <f t="shared" si="130"/>
        <v>2690</v>
      </c>
      <c r="P66" s="1">
        <f t="shared" si="6"/>
        <v>14070</v>
      </c>
    </row>
    <row r="67">
      <c r="A67" s="5">
        <v>64.0</v>
      </c>
      <c r="B67" s="8">
        <f t="shared" si="3"/>
        <v>0.9553066396</v>
      </c>
      <c r="C67" s="1">
        <f t="shared" ref="C67:K67" si="131">IF(ISBLANK(C$2),"",C$1-_xlfn.FLOOR.MATH(C$1*(180-MIN(180,$A67))/180))</f>
        <v>6</v>
      </c>
      <c r="D67" s="4">
        <f t="shared" si="131"/>
        <v>3</v>
      </c>
      <c r="E67" s="1">
        <f t="shared" si="131"/>
        <v>2</v>
      </c>
      <c r="F67" s="1">
        <f t="shared" si="131"/>
        <v>1</v>
      </c>
      <c r="G67" s="10">
        <f t="shared" si="131"/>
        <v>3</v>
      </c>
      <c r="H67" s="1">
        <f t="shared" si="131"/>
        <v>2</v>
      </c>
      <c r="I67" s="1">
        <f t="shared" si="131"/>
        <v>2</v>
      </c>
      <c r="J67" s="1">
        <f t="shared" si="131"/>
        <v>1</v>
      </c>
      <c r="K67" s="1">
        <f t="shared" si="131"/>
        <v>1</v>
      </c>
      <c r="L67" s="1">
        <f t="shared" ref="L67:O67" si="132">H67*L$1</f>
        <v>3800</v>
      </c>
      <c r="M67" s="1">
        <f t="shared" si="132"/>
        <v>5800</v>
      </c>
      <c r="N67" s="1">
        <f t="shared" si="132"/>
        <v>1780</v>
      </c>
      <c r="O67" s="1">
        <f t="shared" si="132"/>
        <v>2690</v>
      </c>
      <c r="P67" s="1">
        <f t="shared" si="6"/>
        <v>14070</v>
      </c>
    </row>
    <row r="68">
      <c r="A68" s="5">
        <v>65.0</v>
      </c>
      <c r="B68" s="8">
        <f t="shared" si="3"/>
        <v>0.95222757</v>
      </c>
      <c r="C68" s="1">
        <f t="shared" ref="C68:K68" si="133">IF(ISBLANK(C$2),"",C$1-_xlfn.FLOOR.MATH(C$1*(180-MIN(180,$A68))/180))</f>
        <v>6</v>
      </c>
      <c r="D68" s="4">
        <f t="shared" si="133"/>
        <v>3</v>
      </c>
      <c r="E68" s="1">
        <f t="shared" si="133"/>
        <v>2</v>
      </c>
      <c r="F68" s="1">
        <f t="shared" si="133"/>
        <v>1</v>
      </c>
      <c r="G68" s="10">
        <f t="shared" si="133"/>
        <v>3</v>
      </c>
      <c r="H68" s="1">
        <f t="shared" si="133"/>
        <v>2</v>
      </c>
      <c r="I68" s="1">
        <f t="shared" si="133"/>
        <v>2</v>
      </c>
      <c r="J68" s="1">
        <f t="shared" si="133"/>
        <v>1</v>
      </c>
      <c r="K68" s="1">
        <f t="shared" si="133"/>
        <v>1</v>
      </c>
      <c r="L68" s="1">
        <f t="shared" ref="L68:O68" si="134">H68*L$1</f>
        <v>3800</v>
      </c>
      <c r="M68" s="1">
        <f t="shared" si="134"/>
        <v>5800</v>
      </c>
      <c r="N68" s="1">
        <f t="shared" si="134"/>
        <v>1780</v>
      </c>
      <c r="O68" s="1">
        <f t="shared" si="134"/>
        <v>2690</v>
      </c>
      <c r="P68" s="1">
        <f t="shared" si="6"/>
        <v>14070</v>
      </c>
    </row>
    <row r="69">
      <c r="A69" s="5">
        <v>66.0</v>
      </c>
      <c r="B69" s="8">
        <f t="shared" si="3"/>
        <v>0.9489536902</v>
      </c>
      <c r="C69" s="1">
        <f t="shared" ref="C69:K69" si="135">IF(ISBLANK(C$2),"",C$1-_xlfn.FLOOR.MATH(C$1*(180-MIN(180,$A69))/180))</f>
        <v>6</v>
      </c>
      <c r="D69" s="4">
        <f t="shared" si="135"/>
        <v>3</v>
      </c>
      <c r="E69" s="1">
        <f t="shared" si="135"/>
        <v>2</v>
      </c>
      <c r="F69" s="1">
        <f t="shared" si="135"/>
        <v>1</v>
      </c>
      <c r="G69" s="10">
        <f t="shared" si="135"/>
        <v>3</v>
      </c>
      <c r="H69" s="1">
        <f t="shared" si="135"/>
        <v>2</v>
      </c>
      <c r="I69" s="1">
        <f t="shared" si="135"/>
        <v>2</v>
      </c>
      <c r="J69" s="1">
        <f t="shared" si="135"/>
        <v>1</v>
      </c>
      <c r="K69" s="1">
        <f t="shared" si="135"/>
        <v>1</v>
      </c>
      <c r="L69" s="1">
        <f t="shared" ref="L69:O69" si="136">H69*L$1</f>
        <v>3800</v>
      </c>
      <c r="M69" s="1">
        <f t="shared" si="136"/>
        <v>5800</v>
      </c>
      <c r="N69" s="1">
        <f t="shared" si="136"/>
        <v>1780</v>
      </c>
      <c r="O69" s="1">
        <f t="shared" si="136"/>
        <v>2690</v>
      </c>
      <c r="P69" s="1">
        <f t="shared" si="6"/>
        <v>14070</v>
      </c>
    </row>
    <row r="70">
      <c r="A70" s="5">
        <v>67.0</v>
      </c>
      <c r="B70" s="8">
        <f t="shared" si="3"/>
        <v>0.9454751094</v>
      </c>
      <c r="C70" s="1">
        <f t="shared" ref="C70:K70" si="137">IF(ISBLANK(C$2),"",C$1-_xlfn.FLOOR.MATH(C$1*(180-MIN(180,$A70))/180))</f>
        <v>6</v>
      </c>
      <c r="D70" s="4">
        <f t="shared" si="137"/>
        <v>3</v>
      </c>
      <c r="E70" s="1">
        <f t="shared" si="137"/>
        <v>2</v>
      </c>
      <c r="F70" s="1">
        <f t="shared" si="137"/>
        <v>1</v>
      </c>
      <c r="G70" s="10">
        <f t="shared" si="137"/>
        <v>3</v>
      </c>
      <c r="H70" s="1">
        <f t="shared" si="137"/>
        <v>2</v>
      </c>
      <c r="I70" s="1">
        <f t="shared" si="137"/>
        <v>2</v>
      </c>
      <c r="J70" s="1">
        <f t="shared" si="137"/>
        <v>1</v>
      </c>
      <c r="K70" s="1">
        <f t="shared" si="137"/>
        <v>1</v>
      </c>
      <c r="L70" s="1">
        <f t="shared" ref="L70:O70" si="138">H70*L$1</f>
        <v>3800</v>
      </c>
      <c r="M70" s="1">
        <f t="shared" si="138"/>
        <v>5800</v>
      </c>
      <c r="N70" s="1">
        <f t="shared" si="138"/>
        <v>1780</v>
      </c>
      <c r="O70" s="1">
        <f t="shared" si="138"/>
        <v>2690</v>
      </c>
      <c r="P70" s="1">
        <f t="shared" si="6"/>
        <v>14070</v>
      </c>
    </row>
    <row r="71">
      <c r="A71" s="5">
        <v>68.0</v>
      </c>
      <c r="B71" s="8">
        <f t="shared" si="3"/>
        <v>0.9417817754</v>
      </c>
      <c r="C71" s="1">
        <f t="shared" ref="C71:K71" si="139">IF(ISBLANK(C$2),"",C$1-_xlfn.FLOOR.MATH(C$1*(180-MIN(180,$A71))/180))</f>
        <v>7</v>
      </c>
      <c r="D71" s="4">
        <f t="shared" si="139"/>
        <v>3</v>
      </c>
      <c r="E71" s="1">
        <f t="shared" si="139"/>
        <v>2</v>
      </c>
      <c r="F71" s="1">
        <f t="shared" si="139"/>
        <v>1</v>
      </c>
      <c r="G71" s="10">
        <f t="shared" si="139"/>
        <v>3</v>
      </c>
      <c r="H71" s="1">
        <f t="shared" si="139"/>
        <v>2</v>
      </c>
      <c r="I71" s="1">
        <f t="shared" si="139"/>
        <v>2</v>
      </c>
      <c r="J71" s="1">
        <f t="shared" si="139"/>
        <v>1</v>
      </c>
      <c r="K71" s="1">
        <f t="shared" si="139"/>
        <v>1</v>
      </c>
      <c r="L71" s="1">
        <f t="shared" ref="L71:O71" si="140">H71*L$1</f>
        <v>3800</v>
      </c>
      <c r="M71" s="1">
        <f t="shared" si="140"/>
        <v>5800</v>
      </c>
      <c r="N71" s="1">
        <f t="shared" si="140"/>
        <v>1780</v>
      </c>
      <c r="O71" s="1">
        <f t="shared" si="140"/>
        <v>2690</v>
      </c>
      <c r="P71" s="1">
        <f t="shared" si="6"/>
        <v>14070</v>
      </c>
    </row>
    <row r="72">
      <c r="A72" s="5">
        <v>69.0</v>
      </c>
      <c r="B72" s="8">
        <f t="shared" si="3"/>
        <v>0.9378635241</v>
      </c>
      <c r="C72" s="1">
        <f t="shared" ref="C72:K72" si="141">IF(ISBLANK(C$2),"",C$1-_xlfn.FLOOR.MATH(C$1*(180-MIN(180,$A72))/180))</f>
        <v>7</v>
      </c>
      <c r="D72" s="4">
        <f t="shared" si="141"/>
        <v>3</v>
      </c>
      <c r="E72" s="1">
        <f t="shared" si="141"/>
        <v>2</v>
      </c>
      <c r="F72" s="1">
        <f t="shared" si="141"/>
        <v>1</v>
      </c>
      <c r="G72" s="10">
        <f t="shared" si="141"/>
        <v>3</v>
      </c>
      <c r="H72" s="1">
        <f t="shared" si="141"/>
        <v>2</v>
      </c>
      <c r="I72" s="1">
        <f t="shared" si="141"/>
        <v>2</v>
      </c>
      <c r="J72" s="1">
        <f t="shared" si="141"/>
        <v>1</v>
      </c>
      <c r="K72" s="1">
        <f t="shared" si="141"/>
        <v>1</v>
      </c>
      <c r="L72" s="1">
        <f t="shared" ref="L72:O72" si="142">H72*L$1</f>
        <v>3800</v>
      </c>
      <c r="M72" s="1">
        <f t="shared" si="142"/>
        <v>5800</v>
      </c>
      <c r="N72" s="1">
        <f t="shared" si="142"/>
        <v>1780</v>
      </c>
      <c r="O72" s="1">
        <f t="shared" si="142"/>
        <v>2690</v>
      </c>
      <c r="P72" s="1">
        <f t="shared" si="6"/>
        <v>14070</v>
      </c>
    </row>
    <row r="73">
      <c r="A73" s="5">
        <v>70.0</v>
      </c>
      <c r="B73" s="8">
        <f t="shared" si="3"/>
        <v>0.9337101377</v>
      </c>
      <c r="C73" s="1">
        <f t="shared" ref="C73:K73" si="143">IF(ISBLANK(C$2),"",C$1-_xlfn.FLOOR.MATH(C$1*(180-MIN(180,$A73))/180))</f>
        <v>7</v>
      </c>
      <c r="D73" s="4">
        <f t="shared" si="143"/>
        <v>3</v>
      </c>
      <c r="E73" s="1">
        <f t="shared" si="143"/>
        <v>2</v>
      </c>
      <c r="F73" s="1">
        <f t="shared" si="143"/>
        <v>1</v>
      </c>
      <c r="G73" s="10">
        <f t="shared" si="143"/>
        <v>3</v>
      </c>
      <c r="H73" s="1">
        <f t="shared" si="143"/>
        <v>2</v>
      </c>
      <c r="I73" s="1">
        <f t="shared" si="143"/>
        <v>2</v>
      </c>
      <c r="J73" s="1">
        <f t="shared" si="143"/>
        <v>1</v>
      </c>
      <c r="K73" s="1">
        <f t="shared" si="143"/>
        <v>1</v>
      </c>
      <c r="L73" s="1">
        <f t="shared" ref="L73:O73" si="144">H73*L$1</f>
        <v>3800</v>
      </c>
      <c r="M73" s="1">
        <f t="shared" si="144"/>
        <v>5800</v>
      </c>
      <c r="N73" s="1">
        <f t="shared" si="144"/>
        <v>1780</v>
      </c>
      <c r="O73" s="1">
        <f t="shared" si="144"/>
        <v>2690</v>
      </c>
      <c r="P73" s="1">
        <f t="shared" si="6"/>
        <v>14070</v>
      </c>
    </row>
    <row r="74">
      <c r="A74" s="5">
        <v>71.0</v>
      </c>
      <c r="B74" s="8">
        <f t="shared" si="3"/>
        <v>0.9293114117</v>
      </c>
      <c r="C74" s="1">
        <f t="shared" ref="C74:K74" si="145">IF(ISBLANK(C$2),"",C$1-_xlfn.FLOOR.MATH(C$1*(180-MIN(180,$A74))/180))</f>
        <v>7</v>
      </c>
      <c r="D74" s="4">
        <f t="shared" si="145"/>
        <v>3</v>
      </c>
      <c r="E74" s="1">
        <f t="shared" si="145"/>
        <v>2</v>
      </c>
      <c r="F74" s="1">
        <f t="shared" si="145"/>
        <v>1</v>
      </c>
      <c r="G74" s="10">
        <f t="shared" si="145"/>
        <v>3</v>
      </c>
      <c r="H74" s="1">
        <f t="shared" si="145"/>
        <v>2</v>
      </c>
      <c r="I74" s="1">
        <f t="shared" si="145"/>
        <v>2</v>
      </c>
      <c r="J74" s="1">
        <f t="shared" si="145"/>
        <v>1</v>
      </c>
      <c r="K74" s="1">
        <f t="shared" si="145"/>
        <v>1</v>
      </c>
      <c r="L74" s="1">
        <f t="shared" ref="L74:O74" si="146">H74*L$1</f>
        <v>3800</v>
      </c>
      <c r="M74" s="1">
        <f t="shared" si="146"/>
        <v>5800</v>
      </c>
      <c r="N74" s="1">
        <f t="shared" si="146"/>
        <v>1780</v>
      </c>
      <c r="O74" s="1">
        <f t="shared" si="146"/>
        <v>2690</v>
      </c>
      <c r="P74" s="1">
        <f t="shared" si="6"/>
        <v>14070</v>
      </c>
    </row>
    <row r="75">
      <c r="A75" s="5">
        <v>72.0</v>
      </c>
      <c r="B75" s="8">
        <f t="shared" si="3"/>
        <v>0.9246572309</v>
      </c>
      <c r="C75" s="1">
        <f t="shared" ref="C75:K75" si="147">IF(ISBLANK(C$2),"",C$1-_xlfn.FLOOR.MATH(C$1*(180-MIN(180,$A75))/180))</f>
        <v>7</v>
      </c>
      <c r="D75" s="4">
        <f t="shared" si="147"/>
        <v>3</v>
      </c>
      <c r="E75" s="1">
        <f t="shared" si="147"/>
        <v>2</v>
      </c>
      <c r="F75" s="1">
        <f t="shared" si="147"/>
        <v>1</v>
      </c>
      <c r="G75" s="10">
        <f t="shared" si="147"/>
        <v>3</v>
      </c>
      <c r="H75" s="1">
        <f t="shared" si="147"/>
        <v>2</v>
      </c>
      <c r="I75" s="1">
        <f t="shared" si="147"/>
        <v>2</v>
      </c>
      <c r="J75" s="1">
        <f t="shared" si="147"/>
        <v>1</v>
      </c>
      <c r="K75" s="1">
        <f t="shared" si="147"/>
        <v>1</v>
      </c>
      <c r="L75" s="1">
        <f t="shared" ref="L75:O75" si="148">H75*L$1</f>
        <v>3800</v>
      </c>
      <c r="M75" s="1">
        <f t="shared" si="148"/>
        <v>5800</v>
      </c>
      <c r="N75" s="1">
        <f t="shared" si="148"/>
        <v>1780</v>
      </c>
      <c r="O75" s="1">
        <f t="shared" si="148"/>
        <v>2690</v>
      </c>
      <c r="P75" s="1">
        <f t="shared" si="6"/>
        <v>14070</v>
      </c>
    </row>
    <row r="76">
      <c r="A76" s="5">
        <v>73.0</v>
      </c>
      <c r="B76" s="8">
        <f t="shared" si="3"/>
        <v>0.9197376548</v>
      </c>
      <c r="C76" s="1">
        <f t="shared" ref="C76:K76" si="149">IF(ISBLANK(C$2),"",C$1-_xlfn.FLOOR.MATH(C$1*(180-MIN(180,$A76))/180))</f>
        <v>7</v>
      </c>
      <c r="D76" s="4">
        <f t="shared" si="149"/>
        <v>3</v>
      </c>
      <c r="E76" s="1">
        <f t="shared" si="149"/>
        <v>2</v>
      </c>
      <c r="F76" s="1">
        <f t="shared" si="149"/>
        <v>1</v>
      </c>
      <c r="G76" s="10">
        <f t="shared" si="149"/>
        <v>3</v>
      </c>
      <c r="H76" s="1">
        <f t="shared" si="149"/>
        <v>2</v>
      </c>
      <c r="I76" s="1">
        <f t="shared" si="149"/>
        <v>2</v>
      </c>
      <c r="J76" s="1">
        <f t="shared" si="149"/>
        <v>1</v>
      </c>
      <c r="K76" s="1">
        <f t="shared" si="149"/>
        <v>1</v>
      </c>
      <c r="L76" s="1">
        <f t="shared" ref="L76:O76" si="150">H76*L$1</f>
        <v>3800</v>
      </c>
      <c r="M76" s="1">
        <f t="shared" si="150"/>
        <v>5800</v>
      </c>
      <c r="N76" s="1">
        <f t="shared" si="150"/>
        <v>1780</v>
      </c>
      <c r="O76" s="1">
        <f t="shared" si="150"/>
        <v>2690</v>
      </c>
      <c r="P76" s="1">
        <f t="shared" si="6"/>
        <v>14070</v>
      </c>
    </row>
    <row r="77">
      <c r="A77" s="5">
        <v>74.0</v>
      </c>
      <c r="B77" s="8">
        <f t="shared" si="3"/>
        <v>0.9145430134</v>
      </c>
      <c r="C77" s="1">
        <f t="shared" ref="C77:K77" si="151">IF(ISBLANK(C$2),"",C$1-_xlfn.FLOOR.MATH(C$1*(180-MIN(180,$A77))/180))</f>
        <v>7</v>
      </c>
      <c r="D77" s="4">
        <f t="shared" si="151"/>
        <v>3</v>
      </c>
      <c r="E77" s="1">
        <f t="shared" si="151"/>
        <v>2</v>
      </c>
      <c r="F77" s="1">
        <f t="shared" si="151"/>
        <v>1</v>
      </c>
      <c r="G77" s="10">
        <f t="shared" si="151"/>
        <v>3</v>
      </c>
      <c r="H77" s="1">
        <f t="shared" si="151"/>
        <v>2</v>
      </c>
      <c r="I77" s="1">
        <f t="shared" si="151"/>
        <v>2</v>
      </c>
      <c r="J77" s="1">
        <f t="shared" si="151"/>
        <v>1</v>
      </c>
      <c r="K77" s="1">
        <f t="shared" si="151"/>
        <v>1</v>
      </c>
      <c r="L77" s="1">
        <f t="shared" ref="L77:O77" si="152">H77*L$1</f>
        <v>3800</v>
      </c>
      <c r="M77" s="1">
        <f t="shared" si="152"/>
        <v>5800</v>
      </c>
      <c r="N77" s="1">
        <f t="shared" si="152"/>
        <v>1780</v>
      </c>
      <c r="O77" s="1">
        <f t="shared" si="152"/>
        <v>2690</v>
      </c>
      <c r="P77" s="1">
        <f t="shared" si="6"/>
        <v>14070</v>
      </c>
    </row>
    <row r="78">
      <c r="A78" s="5">
        <v>75.0</v>
      </c>
      <c r="B78" s="8">
        <f t="shared" si="3"/>
        <v>0.9090640122</v>
      </c>
      <c r="C78" s="1">
        <f t="shared" ref="C78:K78" si="153">IF(ISBLANK(C$2),"",C$1-_xlfn.FLOOR.MATH(C$1*(180-MIN(180,$A78))/180))</f>
        <v>7</v>
      </c>
      <c r="D78" s="4">
        <f t="shared" si="153"/>
        <v>3</v>
      </c>
      <c r="E78" s="1">
        <f t="shared" si="153"/>
        <v>2</v>
      </c>
      <c r="F78" s="1">
        <f t="shared" si="153"/>
        <v>1</v>
      </c>
      <c r="G78" s="10">
        <f t="shared" si="153"/>
        <v>3</v>
      </c>
      <c r="H78" s="1">
        <f t="shared" si="153"/>
        <v>2</v>
      </c>
      <c r="I78" s="1">
        <f t="shared" si="153"/>
        <v>2</v>
      </c>
      <c r="J78" s="1">
        <f t="shared" si="153"/>
        <v>1</v>
      </c>
      <c r="K78" s="1">
        <f t="shared" si="153"/>
        <v>1</v>
      </c>
      <c r="L78" s="1">
        <f t="shared" ref="L78:O78" si="154">H78*L$1</f>
        <v>3800</v>
      </c>
      <c r="M78" s="1">
        <f t="shared" si="154"/>
        <v>5800</v>
      </c>
      <c r="N78" s="1">
        <f t="shared" si="154"/>
        <v>1780</v>
      </c>
      <c r="O78" s="1">
        <f t="shared" si="154"/>
        <v>2690</v>
      </c>
      <c r="P78" s="1">
        <f t="shared" si="6"/>
        <v>14070</v>
      </c>
    </row>
    <row r="79">
      <c r="A79" s="5">
        <v>76.0</v>
      </c>
      <c r="B79" s="8">
        <f t="shared" si="3"/>
        <v>0.9032918464</v>
      </c>
      <c r="C79" s="1">
        <f t="shared" ref="C79:K79" si="155">IF(ISBLANK(C$2),"",C$1-_xlfn.FLOOR.MATH(C$1*(180-MIN(180,$A79))/180))</f>
        <v>7</v>
      </c>
      <c r="D79" s="4">
        <f t="shared" si="155"/>
        <v>3</v>
      </c>
      <c r="E79" s="1">
        <f t="shared" si="155"/>
        <v>2</v>
      </c>
      <c r="F79" s="1">
        <f t="shared" si="155"/>
        <v>1</v>
      </c>
      <c r="G79" s="10">
        <f t="shared" si="155"/>
        <v>3</v>
      </c>
      <c r="H79" s="1">
        <f t="shared" si="155"/>
        <v>2</v>
      </c>
      <c r="I79" s="1">
        <f t="shared" si="155"/>
        <v>2</v>
      </c>
      <c r="J79" s="1">
        <f t="shared" si="155"/>
        <v>1</v>
      </c>
      <c r="K79" s="1">
        <f t="shared" si="155"/>
        <v>1</v>
      </c>
      <c r="L79" s="1">
        <f t="shared" ref="L79:O79" si="156">H79*L$1</f>
        <v>3800</v>
      </c>
      <c r="M79" s="1">
        <f t="shared" si="156"/>
        <v>5800</v>
      </c>
      <c r="N79" s="1">
        <f t="shared" si="156"/>
        <v>1780</v>
      </c>
      <c r="O79" s="1">
        <f t="shared" si="156"/>
        <v>2690</v>
      </c>
      <c r="P79" s="1">
        <f t="shared" si="6"/>
        <v>14070</v>
      </c>
    </row>
    <row r="80">
      <c r="A80" s="5">
        <v>77.0</v>
      </c>
      <c r="B80" s="8">
        <f t="shared" si="3"/>
        <v>0.8972183246</v>
      </c>
      <c r="C80" s="1">
        <f t="shared" ref="C80:K80" si="157">IF(ISBLANK(C$2),"",C$1-_xlfn.FLOOR.MATH(C$1*(180-MIN(180,$A80))/180))</f>
        <v>7</v>
      </c>
      <c r="D80" s="4">
        <f t="shared" si="157"/>
        <v>3</v>
      </c>
      <c r="E80" s="1">
        <f t="shared" si="157"/>
        <v>2</v>
      </c>
      <c r="F80" s="1">
        <f t="shared" si="157"/>
        <v>1</v>
      </c>
      <c r="G80" s="10">
        <f t="shared" si="157"/>
        <v>3</v>
      </c>
      <c r="H80" s="1">
        <f t="shared" si="157"/>
        <v>2</v>
      </c>
      <c r="I80" s="1">
        <f t="shared" si="157"/>
        <v>2</v>
      </c>
      <c r="J80" s="1">
        <f t="shared" si="157"/>
        <v>1</v>
      </c>
      <c r="K80" s="1">
        <f t="shared" si="157"/>
        <v>1</v>
      </c>
      <c r="L80" s="1">
        <f t="shared" ref="L80:O80" si="158">H80*L$1</f>
        <v>3800</v>
      </c>
      <c r="M80" s="1">
        <f t="shared" si="158"/>
        <v>5800</v>
      </c>
      <c r="N80" s="1">
        <f t="shared" si="158"/>
        <v>1780</v>
      </c>
      <c r="O80" s="1">
        <f t="shared" si="158"/>
        <v>2690</v>
      </c>
      <c r="P80" s="1">
        <f t="shared" si="6"/>
        <v>14070</v>
      </c>
    </row>
    <row r="81">
      <c r="A81" s="5">
        <v>78.0</v>
      </c>
      <c r="B81" s="8">
        <f t="shared" si="3"/>
        <v>0.890836001</v>
      </c>
      <c r="C81" s="1">
        <f t="shared" ref="C81:K81" si="159">IF(ISBLANK(C$2),"",C$1-_xlfn.FLOOR.MATH(C$1*(180-MIN(180,$A81))/180))</f>
        <v>7</v>
      </c>
      <c r="D81" s="4">
        <f t="shared" si="159"/>
        <v>3</v>
      </c>
      <c r="E81" s="1">
        <f t="shared" si="159"/>
        <v>2</v>
      </c>
      <c r="F81" s="1">
        <f t="shared" si="159"/>
        <v>1</v>
      </c>
      <c r="G81" s="10">
        <f t="shared" si="159"/>
        <v>3</v>
      </c>
      <c r="H81" s="1">
        <f t="shared" si="159"/>
        <v>2</v>
      </c>
      <c r="I81" s="1">
        <f t="shared" si="159"/>
        <v>2</v>
      </c>
      <c r="J81" s="1">
        <f t="shared" si="159"/>
        <v>1</v>
      </c>
      <c r="K81" s="1">
        <f t="shared" si="159"/>
        <v>1</v>
      </c>
      <c r="L81" s="1">
        <f t="shared" ref="L81:O81" si="160">H81*L$1</f>
        <v>3800</v>
      </c>
      <c r="M81" s="1">
        <f t="shared" si="160"/>
        <v>5800</v>
      </c>
      <c r="N81" s="1">
        <f t="shared" si="160"/>
        <v>1780</v>
      </c>
      <c r="O81" s="1">
        <f t="shared" si="160"/>
        <v>2690</v>
      </c>
      <c r="P81" s="1">
        <f t="shared" si="6"/>
        <v>14070</v>
      </c>
    </row>
    <row r="82">
      <c r="A82" s="5">
        <v>79.0</v>
      </c>
      <c r="B82" s="8">
        <f t="shared" si="3"/>
        <v>0.8841383138</v>
      </c>
      <c r="C82" s="1">
        <f t="shared" ref="C82:K82" si="161">IF(ISBLANK(C$2),"",C$1-_xlfn.FLOOR.MATH(C$1*(180-MIN(180,$A82))/180))</f>
        <v>8</v>
      </c>
      <c r="D82" s="4">
        <f t="shared" si="161"/>
        <v>3</v>
      </c>
      <c r="E82" s="1">
        <f t="shared" si="161"/>
        <v>2</v>
      </c>
      <c r="F82" s="1">
        <f t="shared" si="161"/>
        <v>1</v>
      </c>
      <c r="G82" s="10">
        <f t="shared" si="161"/>
        <v>3</v>
      </c>
      <c r="H82" s="1">
        <f t="shared" si="161"/>
        <v>2</v>
      </c>
      <c r="I82" s="1">
        <f t="shared" si="161"/>
        <v>2</v>
      </c>
      <c r="J82" s="1">
        <f t="shared" si="161"/>
        <v>1</v>
      </c>
      <c r="K82" s="1">
        <f t="shared" si="161"/>
        <v>1</v>
      </c>
      <c r="L82" s="1">
        <f t="shared" ref="L82:O82" si="162">H82*L$1</f>
        <v>3800</v>
      </c>
      <c r="M82" s="1">
        <f t="shared" si="162"/>
        <v>5800</v>
      </c>
      <c r="N82" s="1">
        <f t="shared" si="162"/>
        <v>1780</v>
      </c>
      <c r="O82" s="1">
        <f t="shared" si="162"/>
        <v>2690</v>
      </c>
      <c r="P82" s="1">
        <f t="shared" si="6"/>
        <v>14070</v>
      </c>
    </row>
    <row r="83">
      <c r="A83" s="5">
        <v>80.0</v>
      </c>
      <c r="B83" s="8">
        <f t="shared" si="3"/>
        <v>0.8771197303</v>
      </c>
      <c r="C83" s="1">
        <f t="shared" ref="C83:K83" si="163">IF(ISBLANK(C$2),"",C$1-_xlfn.FLOOR.MATH(C$1*(180-MIN(180,$A83))/180))</f>
        <v>8</v>
      </c>
      <c r="D83" s="4">
        <f t="shared" si="163"/>
        <v>3</v>
      </c>
      <c r="E83" s="1">
        <f t="shared" si="163"/>
        <v>2</v>
      </c>
      <c r="F83" s="1">
        <f t="shared" si="163"/>
        <v>1</v>
      </c>
      <c r="G83" s="10">
        <f t="shared" si="163"/>
        <v>3</v>
      </c>
      <c r="H83" s="1">
        <f t="shared" si="163"/>
        <v>2</v>
      </c>
      <c r="I83" s="1">
        <f t="shared" si="163"/>
        <v>2</v>
      </c>
      <c r="J83" s="1">
        <f t="shared" si="163"/>
        <v>1</v>
      </c>
      <c r="K83" s="1">
        <f t="shared" si="163"/>
        <v>1</v>
      </c>
      <c r="L83" s="1">
        <f t="shared" ref="L83:O83" si="164">H83*L$1</f>
        <v>3800</v>
      </c>
      <c r="M83" s="1">
        <f t="shared" si="164"/>
        <v>5800</v>
      </c>
      <c r="N83" s="1">
        <f t="shared" si="164"/>
        <v>1780</v>
      </c>
      <c r="O83" s="1">
        <f t="shared" si="164"/>
        <v>2690</v>
      </c>
      <c r="P83" s="1">
        <f t="shared" si="6"/>
        <v>14070</v>
      </c>
    </row>
    <row r="84">
      <c r="A84" s="5">
        <v>81.0</v>
      </c>
      <c r="B84" s="8">
        <f t="shared" si="3"/>
        <v>0.8697758957</v>
      </c>
      <c r="C84" s="1">
        <f t="shared" ref="C84:K84" si="165">IF(ISBLANK(C$2),"",C$1-_xlfn.FLOOR.MATH(C$1*(180-MIN(180,$A84))/180))</f>
        <v>8</v>
      </c>
      <c r="D84" s="4">
        <f t="shared" si="165"/>
        <v>3</v>
      </c>
      <c r="E84" s="1">
        <f t="shared" si="165"/>
        <v>2</v>
      </c>
      <c r="F84" s="1">
        <f t="shared" si="165"/>
        <v>1</v>
      </c>
      <c r="G84" s="10">
        <f t="shared" si="165"/>
        <v>3</v>
      </c>
      <c r="H84" s="1">
        <f t="shared" si="165"/>
        <v>2</v>
      </c>
      <c r="I84" s="1">
        <f t="shared" si="165"/>
        <v>2</v>
      </c>
      <c r="J84" s="1">
        <f t="shared" si="165"/>
        <v>1</v>
      </c>
      <c r="K84" s="1">
        <f t="shared" si="165"/>
        <v>1</v>
      </c>
      <c r="L84" s="1">
        <f t="shared" ref="L84:O84" si="166">H84*L$1</f>
        <v>3800</v>
      </c>
      <c r="M84" s="1">
        <f t="shared" si="166"/>
        <v>5800</v>
      </c>
      <c r="N84" s="1">
        <f t="shared" si="166"/>
        <v>1780</v>
      </c>
      <c r="O84" s="1">
        <f t="shared" si="166"/>
        <v>2690</v>
      </c>
      <c r="P84" s="1">
        <f t="shared" si="6"/>
        <v>14070</v>
      </c>
    </row>
    <row r="85">
      <c r="A85" s="5">
        <v>82.0</v>
      </c>
      <c r="B85" s="8">
        <f t="shared" si="3"/>
        <v>0.862103783</v>
      </c>
      <c r="C85" s="1">
        <f t="shared" ref="C85:K85" si="167">IF(ISBLANK(C$2),"",C$1-_xlfn.FLOOR.MATH(C$1*(180-MIN(180,$A85))/180))</f>
        <v>8</v>
      </c>
      <c r="D85" s="4">
        <f t="shared" si="167"/>
        <v>3</v>
      </c>
      <c r="E85" s="1">
        <f t="shared" si="167"/>
        <v>2</v>
      </c>
      <c r="F85" s="1">
        <f t="shared" si="167"/>
        <v>1</v>
      </c>
      <c r="G85" s="10">
        <f t="shared" si="167"/>
        <v>3</v>
      </c>
      <c r="H85" s="1">
        <f t="shared" si="167"/>
        <v>2</v>
      </c>
      <c r="I85" s="1">
        <f t="shared" si="167"/>
        <v>2</v>
      </c>
      <c r="J85" s="1">
        <f t="shared" si="167"/>
        <v>1</v>
      </c>
      <c r="K85" s="1">
        <f t="shared" si="167"/>
        <v>1</v>
      </c>
      <c r="L85" s="1">
        <f t="shared" ref="L85:O85" si="168">H85*L$1</f>
        <v>3800</v>
      </c>
      <c r="M85" s="1">
        <f t="shared" si="168"/>
        <v>5800</v>
      </c>
      <c r="N85" s="1">
        <f t="shared" si="168"/>
        <v>1780</v>
      </c>
      <c r="O85" s="1">
        <f t="shared" si="168"/>
        <v>2690</v>
      </c>
      <c r="P85" s="1">
        <f t="shared" si="6"/>
        <v>14070</v>
      </c>
    </row>
    <row r="86">
      <c r="A86" s="5">
        <v>83.0</v>
      </c>
      <c r="B86" s="8">
        <f t="shared" si="3"/>
        <v>0.8541018431</v>
      </c>
      <c r="C86" s="1">
        <f t="shared" ref="C86:K86" si="169">IF(ISBLANK(C$2),"",C$1-_xlfn.FLOOR.MATH(C$1*(180-MIN(180,$A86))/180))</f>
        <v>8</v>
      </c>
      <c r="D86" s="4">
        <f t="shared" si="169"/>
        <v>3</v>
      </c>
      <c r="E86" s="1">
        <f t="shared" si="169"/>
        <v>2</v>
      </c>
      <c r="F86" s="1">
        <f t="shared" si="169"/>
        <v>1</v>
      </c>
      <c r="G86" s="10">
        <f t="shared" si="169"/>
        <v>3</v>
      </c>
      <c r="H86" s="1">
        <f t="shared" si="169"/>
        <v>2</v>
      </c>
      <c r="I86" s="1">
        <f t="shared" si="169"/>
        <v>2</v>
      </c>
      <c r="J86" s="1">
        <f t="shared" si="169"/>
        <v>1</v>
      </c>
      <c r="K86" s="1">
        <f t="shared" si="169"/>
        <v>1</v>
      </c>
      <c r="L86" s="1">
        <f t="shared" ref="L86:O86" si="170">H86*L$1</f>
        <v>3800</v>
      </c>
      <c r="M86" s="1">
        <f t="shared" si="170"/>
        <v>5800</v>
      </c>
      <c r="N86" s="1">
        <f t="shared" si="170"/>
        <v>1780</v>
      </c>
      <c r="O86" s="1">
        <f t="shared" si="170"/>
        <v>2690</v>
      </c>
      <c r="P86" s="1">
        <f t="shared" si="6"/>
        <v>14070</v>
      </c>
    </row>
    <row r="87">
      <c r="A87" s="5">
        <v>84.0</v>
      </c>
      <c r="B87" s="8">
        <f t="shared" si="3"/>
        <v>0.8457701502</v>
      </c>
      <c r="C87" s="1">
        <f t="shared" ref="C87:K87" si="171">IF(ISBLANK(C$2),"",C$1-_xlfn.FLOOR.MATH(C$1*(180-MIN(180,$A87))/180))</f>
        <v>8</v>
      </c>
      <c r="D87" s="4">
        <f t="shared" si="171"/>
        <v>3</v>
      </c>
      <c r="E87" s="1">
        <f t="shared" si="171"/>
        <v>2</v>
      </c>
      <c r="F87" s="1">
        <f t="shared" si="171"/>
        <v>1</v>
      </c>
      <c r="G87" s="10">
        <f t="shared" si="171"/>
        <v>3</v>
      </c>
      <c r="H87" s="1">
        <f t="shared" si="171"/>
        <v>2</v>
      </c>
      <c r="I87" s="1">
        <f t="shared" si="171"/>
        <v>2</v>
      </c>
      <c r="J87" s="1">
        <f t="shared" si="171"/>
        <v>1</v>
      </c>
      <c r="K87" s="1">
        <f t="shared" si="171"/>
        <v>1</v>
      </c>
      <c r="L87" s="1">
        <f t="shared" ref="L87:O87" si="172">H87*L$1</f>
        <v>3800</v>
      </c>
      <c r="M87" s="1">
        <f t="shared" si="172"/>
        <v>5800</v>
      </c>
      <c r="N87" s="1">
        <f t="shared" si="172"/>
        <v>1780</v>
      </c>
      <c r="O87" s="1">
        <f t="shared" si="172"/>
        <v>2690</v>
      </c>
      <c r="P87" s="1">
        <f t="shared" si="6"/>
        <v>14070</v>
      </c>
    </row>
    <row r="88">
      <c r="A88" s="5">
        <v>85.0</v>
      </c>
      <c r="B88" s="8">
        <f t="shared" si="3"/>
        <v>0.8371105405</v>
      </c>
      <c r="C88" s="1">
        <f t="shared" ref="C88:K88" si="173">IF(ISBLANK(C$2),"",C$1-_xlfn.FLOOR.MATH(C$1*(180-MIN(180,$A88))/180))</f>
        <v>8</v>
      </c>
      <c r="D88" s="4">
        <f t="shared" si="173"/>
        <v>3</v>
      </c>
      <c r="E88" s="1">
        <f t="shared" si="173"/>
        <v>2</v>
      </c>
      <c r="F88" s="1">
        <f t="shared" si="173"/>
        <v>1</v>
      </c>
      <c r="G88" s="10">
        <f t="shared" si="173"/>
        <v>3</v>
      </c>
      <c r="H88" s="1">
        <f t="shared" si="173"/>
        <v>2</v>
      </c>
      <c r="I88" s="1">
        <f t="shared" si="173"/>
        <v>2</v>
      </c>
      <c r="J88" s="1">
        <f t="shared" si="173"/>
        <v>1</v>
      </c>
      <c r="K88" s="1">
        <f t="shared" si="173"/>
        <v>1</v>
      </c>
      <c r="L88" s="1">
        <f t="shared" ref="L88:O88" si="174">H88*L$1</f>
        <v>3800</v>
      </c>
      <c r="M88" s="1">
        <f t="shared" si="174"/>
        <v>5800</v>
      </c>
      <c r="N88" s="1">
        <f t="shared" si="174"/>
        <v>1780</v>
      </c>
      <c r="O88" s="1">
        <f t="shared" si="174"/>
        <v>2690</v>
      </c>
      <c r="P88" s="1">
        <f t="shared" si="6"/>
        <v>14070</v>
      </c>
    </row>
    <row r="89">
      <c r="A89" s="5">
        <v>86.0</v>
      </c>
      <c r="B89" s="8">
        <f t="shared" si="3"/>
        <v>0.8281267403</v>
      </c>
      <c r="C89" s="1">
        <f t="shared" ref="C89:K89" si="175">IF(ISBLANK(C$2),"",C$1-_xlfn.FLOOR.MATH(C$1*(180-MIN(180,$A89))/180))</f>
        <v>8</v>
      </c>
      <c r="D89" s="4">
        <f t="shared" si="175"/>
        <v>3</v>
      </c>
      <c r="E89" s="1">
        <f t="shared" si="175"/>
        <v>2</v>
      </c>
      <c r="F89" s="1">
        <f t="shared" si="175"/>
        <v>1</v>
      </c>
      <c r="G89" s="10">
        <f t="shared" si="175"/>
        <v>3</v>
      </c>
      <c r="H89" s="1">
        <f t="shared" si="175"/>
        <v>2</v>
      </c>
      <c r="I89" s="1">
        <f t="shared" si="175"/>
        <v>2</v>
      </c>
      <c r="J89" s="1">
        <f t="shared" si="175"/>
        <v>1</v>
      </c>
      <c r="K89" s="1">
        <f t="shared" si="175"/>
        <v>1</v>
      </c>
      <c r="L89" s="1">
        <f t="shared" ref="L89:O89" si="176">H89*L$1</f>
        <v>3800</v>
      </c>
      <c r="M89" s="1">
        <f t="shared" si="176"/>
        <v>5800</v>
      </c>
      <c r="N89" s="1">
        <f t="shared" si="176"/>
        <v>1780</v>
      </c>
      <c r="O89" s="1">
        <f t="shared" si="176"/>
        <v>2690</v>
      </c>
      <c r="P89" s="1">
        <f t="shared" si="6"/>
        <v>14070</v>
      </c>
    </row>
    <row r="90">
      <c r="A90" s="5">
        <v>87.0</v>
      </c>
      <c r="B90" s="8">
        <f t="shared" si="3"/>
        <v>0.8188244796</v>
      </c>
      <c r="C90" s="1">
        <f t="shared" ref="C90:K90" si="177">IF(ISBLANK(C$2),"",C$1-_xlfn.FLOOR.MATH(C$1*(180-MIN(180,$A90))/180))</f>
        <v>8</v>
      </c>
      <c r="D90" s="4">
        <f t="shared" si="177"/>
        <v>3</v>
      </c>
      <c r="E90" s="1">
        <f t="shared" si="177"/>
        <v>2</v>
      </c>
      <c r="F90" s="1">
        <f t="shared" si="177"/>
        <v>1</v>
      </c>
      <c r="G90" s="10">
        <f t="shared" si="177"/>
        <v>3</v>
      </c>
      <c r="H90" s="1">
        <f t="shared" si="177"/>
        <v>2</v>
      </c>
      <c r="I90" s="1">
        <f t="shared" si="177"/>
        <v>2</v>
      </c>
      <c r="J90" s="1">
        <f t="shared" si="177"/>
        <v>1</v>
      </c>
      <c r="K90" s="1">
        <f t="shared" si="177"/>
        <v>1</v>
      </c>
      <c r="L90" s="1">
        <f t="shared" ref="L90:O90" si="178">H90*L$1</f>
        <v>3800</v>
      </c>
      <c r="M90" s="1">
        <f t="shared" si="178"/>
        <v>5800</v>
      </c>
      <c r="N90" s="1">
        <f t="shared" si="178"/>
        <v>1780</v>
      </c>
      <c r="O90" s="1">
        <f t="shared" si="178"/>
        <v>2690</v>
      </c>
      <c r="P90" s="1">
        <f t="shared" si="6"/>
        <v>14070</v>
      </c>
    </row>
    <row r="91">
      <c r="A91" s="5">
        <v>88.0</v>
      </c>
      <c r="B91" s="8">
        <f t="shared" si="3"/>
        <v>0.8092115873</v>
      </c>
      <c r="C91" s="1">
        <f t="shared" ref="C91:K91" si="179">IF(ISBLANK(C$2),"",C$1-_xlfn.FLOOR.MATH(C$1*(180-MIN(180,$A91))/180))</f>
        <v>8</v>
      </c>
      <c r="D91" s="4">
        <f t="shared" si="179"/>
        <v>3</v>
      </c>
      <c r="E91" s="1">
        <f t="shared" si="179"/>
        <v>2</v>
      </c>
      <c r="F91" s="1">
        <f t="shared" si="179"/>
        <v>1</v>
      </c>
      <c r="G91" s="10">
        <f t="shared" si="179"/>
        <v>3</v>
      </c>
      <c r="H91" s="1">
        <f t="shared" si="179"/>
        <v>2</v>
      </c>
      <c r="I91" s="1">
        <f t="shared" si="179"/>
        <v>2</v>
      </c>
      <c r="J91" s="1">
        <f t="shared" si="179"/>
        <v>1</v>
      </c>
      <c r="K91" s="1">
        <f t="shared" si="179"/>
        <v>1</v>
      </c>
      <c r="L91" s="1">
        <f t="shared" ref="L91:O91" si="180">H91*L$1</f>
        <v>3800</v>
      </c>
      <c r="M91" s="1">
        <f t="shared" si="180"/>
        <v>5800</v>
      </c>
      <c r="N91" s="1">
        <f t="shared" si="180"/>
        <v>1780</v>
      </c>
      <c r="O91" s="1">
        <f t="shared" si="180"/>
        <v>2690</v>
      </c>
      <c r="P91" s="1">
        <f t="shared" si="6"/>
        <v>14070</v>
      </c>
    </row>
    <row r="92">
      <c r="A92" s="5">
        <v>89.0</v>
      </c>
      <c r="B92" s="8">
        <f t="shared" si="3"/>
        <v>0.7992980646</v>
      </c>
      <c r="C92" s="1">
        <f t="shared" ref="C92:K92" si="181">IF(ISBLANK(C$2),"",C$1-_xlfn.FLOOR.MATH(C$1*(180-MIN(180,$A92))/180))</f>
        <v>8</v>
      </c>
      <c r="D92" s="4">
        <f t="shared" si="181"/>
        <v>3</v>
      </c>
      <c r="E92" s="1">
        <f t="shared" si="181"/>
        <v>2</v>
      </c>
      <c r="F92" s="1">
        <f t="shared" si="181"/>
        <v>1</v>
      </c>
      <c r="G92" s="10">
        <f t="shared" si="181"/>
        <v>3</v>
      </c>
      <c r="H92" s="1">
        <f t="shared" si="181"/>
        <v>2</v>
      </c>
      <c r="I92" s="1">
        <f t="shared" si="181"/>
        <v>2</v>
      </c>
      <c r="J92" s="1">
        <f t="shared" si="181"/>
        <v>1</v>
      </c>
      <c r="K92" s="1">
        <f t="shared" si="181"/>
        <v>1</v>
      </c>
      <c r="L92" s="1">
        <f t="shared" ref="L92:O92" si="182">H92*L$1</f>
        <v>3800</v>
      </c>
      <c r="M92" s="1">
        <f t="shared" si="182"/>
        <v>5800</v>
      </c>
      <c r="N92" s="1">
        <f t="shared" si="182"/>
        <v>1780</v>
      </c>
      <c r="O92" s="1">
        <f t="shared" si="182"/>
        <v>2690</v>
      </c>
      <c r="P92" s="1">
        <f t="shared" si="6"/>
        <v>14070</v>
      </c>
    </row>
    <row r="93">
      <c r="A93" s="5">
        <v>90.0</v>
      </c>
      <c r="B93" s="8">
        <f t="shared" si="3"/>
        <v>0.7890961322</v>
      </c>
      <c r="C93" s="1">
        <f t="shared" ref="C93:K93" si="183">IF(ISBLANK(C$2),"",C$1-_xlfn.FLOOR.MATH(C$1*(180-MIN(180,$A93))/180))</f>
        <v>8</v>
      </c>
      <c r="D93" s="4">
        <f t="shared" si="183"/>
        <v>3</v>
      </c>
      <c r="E93" s="1">
        <f t="shared" si="183"/>
        <v>2</v>
      </c>
      <c r="F93" s="1">
        <f t="shared" si="183"/>
        <v>1</v>
      </c>
      <c r="G93" s="10">
        <f t="shared" si="183"/>
        <v>3</v>
      </c>
      <c r="H93" s="1">
        <f t="shared" si="183"/>
        <v>2</v>
      </c>
      <c r="I93" s="1">
        <f t="shared" si="183"/>
        <v>2</v>
      </c>
      <c r="J93" s="1">
        <f t="shared" si="183"/>
        <v>1</v>
      </c>
      <c r="K93" s="1">
        <f t="shared" si="183"/>
        <v>1</v>
      </c>
      <c r="L93" s="1">
        <f t="shared" ref="L93:O93" si="184">H93*L$1</f>
        <v>3800</v>
      </c>
      <c r="M93" s="1">
        <f t="shared" si="184"/>
        <v>5800</v>
      </c>
      <c r="N93" s="1">
        <f t="shared" si="184"/>
        <v>1780</v>
      </c>
      <c r="O93" s="1">
        <f t="shared" si="184"/>
        <v>2690</v>
      </c>
      <c r="P93" s="1">
        <f t="shared" si="6"/>
        <v>14070</v>
      </c>
    </row>
    <row r="94">
      <c r="A94" s="5">
        <v>91.0</v>
      </c>
      <c r="B94" s="8">
        <f t="shared" si="3"/>
        <v>0.7786202487</v>
      </c>
      <c r="C94" s="1">
        <f t="shared" ref="C94:K94" si="185">IF(ISBLANK(C$2),"",C$1-_xlfn.FLOOR.MATH(C$1*(180-MIN(180,$A94))/180))</f>
        <v>9</v>
      </c>
      <c r="D94" s="4">
        <f t="shared" si="185"/>
        <v>4</v>
      </c>
      <c r="E94" s="1">
        <f t="shared" si="185"/>
        <v>2</v>
      </c>
      <c r="F94" s="1">
        <f t="shared" si="185"/>
        <v>2</v>
      </c>
      <c r="G94" s="10">
        <f t="shared" si="185"/>
        <v>4</v>
      </c>
      <c r="H94" s="1">
        <f t="shared" si="185"/>
        <v>3</v>
      </c>
      <c r="I94" s="1">
        <f t="shared" si="185"/>
        <v>2</v>
      </c>
      <c r="J94" s="1">
        <f t="shared" si="185"/>
        <v>1</v>
      </c>
      <c r="K94" s="1">
        <f t="shared" si="185"/>
        <v>2</v>
      </c>
      <c r="L94" s="1">
        <f t="shared" ref="L94:O94" si="186">H94*L$1</f>
        <v>5700</v>
      </c>
      <c r="M94" s="1">
        <f t="shared" si="186"/>
        <v>5800</v>
      </c>
      <c r="N94" s="1">
        <f t="shared" si="186"/>
        <v>1780</v>
      </c>
      <c r="O94" s="1">
        <f t="shared" si="186"/>
        <v>5380</v>
      </c>
      <c r="P94" s="1">
        <f t="shared" si="6"/>
        <v>18660</v>
      </c>
    </row>
    <row r="95">
      <c r="A95" s="5">
        <v>92.0</v>
      </c>
      <c r="B95" s="8">
        <f t="shared" si="3"/>
        <v>0.7678870965</v>
      </c>
      <c r="C95" s="1">
        <f t="shared" ref="C95:K95" si="187">IF(ISBLANK(C$2),"",C$1-_xlfn.FLOOR.MATH(C$1*(180-MIN(180,$A95))/180))</f>
        <v>9</v>
      </c>
      <c r="D95" s="4">
        <f t="shared" si="187"/>
        <v>4</v>
      </c>
      <c r="E95" s="1">
        <f t="shared" si="187"/>
        <v>2</v>
      </c>
      <c r="F95" s="1">
        <f t="shared" si="187"/>
        <v>2</v>
      </c>
      <c r="G95" s="10">
        <f t="shared" si="187"/>
        <v>4</v>
      </c>
      <c r="H95" s="1">
        <f t="shared" si="187"/>
        <v>3</v>
      </c>
      <c r="I95" s="1">
        <f t="shared" si="187"/>
        <v>2</v>
      </c>
      <c r="J95" s="1">
        <f t="shared" si="187"/>
        <v>1</v>
      </c>
      <c r="K95" s="1">
        <f t="shared" si="187"/>
        <v>2</v>
      </c>
      <c r="L95" s="1">
        <f t="shared" ref="L95:O95" si="188">H95*L$1</f>
        <v>5700</v>
      </c>
      <c r="M95" s="1">
        <f t="shared" si="188"/>
        <v>5800</v>
      </c>
      <c r="N95" s="1">
        <f t="shared" si="188"/>
        <v>1780</v>
      </c>
      <c r="O95" s="1">
        <f t="shared" si="188"/>
        <v>5380</v>
      </c>
      <c r="P95" s="1">
        <f t="shared" si="6"/>
        <v>18660</v>
      </c>
    </row>
    <row r="96">
      <c r="A96" s="5">
        <v>93.0</v>
      </c>
      <c r="B96" s="8">
        <f t="shared" si="3"/>
        <v>0.7569155338</v>
      </c>
      <c r="C96" s="1">
        <f t="shared" ref="C96:K96" si="189">IF(ISBLANK(C$2),"",C$1-_xlfn.FLOOR.MATH(C$1*(180-MIN(180,$A96))/180))</f>
        <v>9</v>
      </c>
      <c r="D96" s="4">
        <f t="shared" si="189"/>
        <v>4</v>
      </c>
      <c r="E96" s="1">
        <f t="shared" si="189"/>
        <v>2</v>
      </c>
      <c r="F96" s="1">
        <f t="shared" si="189"/>
        <v>2</v>
      </c>
      <c r="G96" s="10">
        <f t="shared" si="189"/>
        <v>4</v>
      </c>
      <c r="H96" s="1">
        <f t="shared" si="189"/>
        <v>3</v>
      </c>
      <c r="I96" s="1">
        <f t="shared" si="189"/>
        <v>2</v>
      </c>
      <c r="J96" s="1">
        <f t="shared" si="189"/>
        <v>1</v>
      </c>
      <c r="K96" s="1">
        <f t="shared" si="189"/>
        <v>2</v>
      </c>
      <c r="L96" s="1">
        <f t="shared" ref="L96:O96" si="190">H96*L$1</f>
        <v>5700</v>
      </c>
      <c r="M96" s="1">
        <f t="shared" si="190"/>
        <v>5800</v>
      </c>
      <c r="N96" s="1">
        <f t="shared" si="190"/>
        <v>1780</v>
      </c>
      <c r="O96" s="1">
        <f t="shared" si="190"/>
        <v>5380</v>
      </c>
      <c r="P96" s="1">
        <f t="shared" si="6"/>
        <v>18660</v>
      </c>
    </row>
    <row r="97">
      <c r="A97" s="5">
        <v>94.0</v>
      </c>
      <c r="B97" s="8">
        <f t="shared" si="3"/>
        <v>0.7457265106</v>
      </c>
      <c r="C97" s="1">
        <f t="shared" ref="C97:K97" si="191">IF(ISBLANK(C$2),"",C$1-_xlfn.FLOOR.MATH(C$1*(180-MIN(180,$A97))/180))</f>
        <v>9</v>
      </c>
      <c r="D97" s="4">
        <f t="shared" si="191"/>
        <v>4</v>
      </c>
      <c r="E97" s="1">
        <f t="shared" si="191"/>
        <v>2</v>
      </c>
      <c r="F97" s="1">
        <f t="shared" si="191"/>
        <v>2</v>
      </c>
      <c r="G97" s="10">
        <f t="shared" si="191"/>
        <v>4</v>
      </c>
      <c r="H97" s="1">
        <f t="shared" si="191"/>
        <v>3</v>
      </c>
      <c r="I97" s="1">
        <f t="shared" si="191"/>
        <v>2</v>
      </c>
      <c r="J97" s="1">
        <f t="shared" si="191"/>
        <v>1</v>
      </c>
      <c r="K97" s="1">
        <f t="shared" si="191"/>
        <v>2</v>
      </c>
      <c r="L97" s="1">
        <f t="shared" ref="L97:O97" si="192">H97*L$1</f>
        <v>5700</v>
      </c>
      <c r="M97" s="1">
        <f t="shared" si="192"/>
        <v>5800</v>
      </c>
      <c r="N97" s="1">
        <f t="shared" si="192"/>
        <v>1780</v>
      </c>
      <c r="O97" s="1">
        <f t="shared" si="192"/>
        <v>5380</v>
      </c>
      <c r="P97" s="1">
        <f t="shared" si="6"/>
        <v>18660</v>
      </c>
    </row>
    <row r="98">
      <c r="A98" s="5">
        <v>95.0</v>
      </c>
      <c r="B98" s="8">
        <f t="shared" si="3"/>
        <v>0.734342948</v>
      </c>
      <c r="C98" s="1">
        <f t="shared" ref="C98:K98" si="193">IF(ISBLANK(C$2),"",C$1-_xlfn.FLOOR.MATH(C$1*(180-MIN(180,$A98))/180))</f>
        <v>9</v>
      </c>
      <c r="D98" s="4">
        <f t="shared" si="193"/>
        <v>4</v>
      </c>
      <c r="E98" s="1">
        <f t="shared" si="193"/>
        <v>2</v>
      </c>
      <c r="F98" s="1">
        <f t="shared" si="193"/>
        <v>2</v>
      </c>
      <c r="G98" s="10">
        <f t="shared" si="193"/>
        <v>4</v>
      </c>
      <c r="H98" s="1">
        <f t="shared" si="193"/>
        <v>3</v>
      </c>
      <c r="I98" s="1">
        <f t="shared" si="193"/>
        <v>2</v>
      </c>
      <c r="J98" s="1">
        <f t="shared" si="193"/>
        <v>1</v>
      </c>
      <c r="K98" s="1">
        <f t="shared" si="193"/>
        <v>2</v>
      </c>
      <c r="L98" s="1">
        <f t="shared" ref="L98:O98" si="194">H98*L$1</f>
        <v>5700</v>
      </c>
      <c r="M98" s="1">
        <f t="shared" si="194"/>
        <v>5800</v>
      </c>
      <c r="N98" s="1">
        <f t="shared" si="194"/>
        <v>1780</v>
      </c>
      <c r="O98" s="1">
        <f t="shared" si="194"/>
        <v>5380</v>
      </c>
      <c r="P98" s="1">
        <f t="shared" si="6"/>
        <v>18660</v>
      </c>
    </row>
    <row r="99">
      <c r="A99" s="5">
        <v>96.0</v>
      </c>
      <c r="B99" s="8">
        <f t="shared" si="3"/>
        <v>0.7227895813</v>
      </c>
      <c r="C99" s="1">
        <f t="shared" ref="C99:K99" si="195">IF(ISBLANK(C$2),"",C$1-_xlfn.FLOOR.MATH(C$1*(180-MIN(180,$A99))/180))</f>
        <v>9</v>
      </c>
      <c r="D99" s="4">
        <f t="shared" si="195"/>
        <v>4</v>
      </c>
      <c r="E99" s="1">
        <f t="shared" si="195"/>
        <v>2</v>
      </c>
      <c r="F99" s="1">
        <f t="shared" si="195"/>
        <v>2</v>
      </c>
      <c r="G99" s="10">
        <f t="shared" si="195"/>
        <v>4</v>
      </c>
      <c r="H99" s="1">
        <f t="shared" si="195"/>
        <v>3</v>
      </c>
      <c r="I99" s="1">
        <f t="shared" si="195"/>
        <v>2</v>
      </c>
      <c r="J99" s="1">
        <f t="shared" si="195"/>
        <v>1</v>
      </c>
      <c r="K99" s="1">
        <f t="shared" si="195"/>
        <v>2</v>
      </c>
      <c r="L99" s="1">
        <f t="shared" ref="L99:O99" si="196">H99*L$1</f>
        <v>5700</v>
      </c>
      <c r="M99" s="1">
        <f t="shared" si="196"/>
        <v>5800</v>
      </c>
      <c r="N99" s="1">
        <f t="shared" si="196"/>
        <v>1780</v>
      </c>
      <c r="O99" s="1">
        <f t="shared" si="196"/>
        <v>5380</v>
      </c>
      <c r="P99" s="1">
        <f t="shared" si="6"/>
        <v>18660</v>
      </c>
    </row>
    <row r="100">
      <c r="A100" s="5">
        <v>97.0</v>
      </c>
      <c r="B100" s="8">
        <f t="shared" si="3"/>
        <v>0.7110927695</v>
      </c>
      <c r="C100" s="1">
        <f t="shared" ref="C100:K100" si="197">IF(ISBLANK(C$2),"",C$1-_xlfn.FLOOR.MATH(C$1*(180-MIN(180,$A100))/180))</f>
        <v>9</v>
      </c>
      <c r="D100" s="4">
        <f t="shared" si="197"/>
        <v>4</v>
      </c>
      <c r="E100" s="1">
        <f t="shared" si="197"/>
        <v>2</v>
      </c>
      <c r="F100" s="1">
        <f t="shared" si="197"/>
        <v>2</v>
      </c>
      <c r="G100" s="10">
        <f t="shared" si="197"/>
        <v>4</v>
      </c>
      <c r="H100" s="1">
        <f t="shared" si="197"/>
        <v>3</v>
      </c>
      <c r="I100" s="1">
        <f t="shared" si="197"/>
        <v>2</v>
      </c>
      <c r="J100" s="1">
        <f t="shared" si="197"/>
        <v>1</v>
      </c>
      <c r="K100" s="1">
        <f t="shared" si="197"/>
        <v>2</v>
      </c>
      <c r="L100" s="1">
        <f t="shared" ref="L100:O100" si="198">H100*L$1</f>
        <v>5700</v>
      </c>
      <c r="M100" s="1">
        <f t="shared" si="198"/>
        <v>5800</v>
      </c>
      <c r="N100" s="1">
        <f t="shared" si="198"/>
        <v>1780</v>
      </c>
      <c r="O100" s="1">
        <f t="shared" si="198"/>
        <v>5380</v>
      </c>
      <c r="P100" s="1">
        <f t="shared" si="6"/>
        <v>18660</v>
      </c>
    </row>
    <row r="101">
      <c r="A101" s="5">
        <v>98.0</v>
      </c>
      <c r="B101" s="8">
        <f t="shared" si="3"/>
        <v>0.6992802711</v>
      </c>
      <c r="C101" s="1">
        <f t="shared" ref="C101:K101" si="199">IF(ISBLANK(C$2),"",C$1-_xlfn.FLOOR.MATH(C$1*(180-MIN(180,$A101))/180))</f>
        <v>9</v>
      </c>
      <c r="D101" s="4">
        <f t="shared" si="199"/>
        <v>4</v>
      </c>
      <c r="E101" s="1">
        <f t="shared" si="199"/>
        <v>2</v>
      </c>
      <c r="F101" s="1">
        <f t="shared" si="199"/>
        <v>2</v>
      </c>
      <c r="G101" s="10">
        <f t="shared" si="199"/>
        <v>4</v>
      </c>
      <c r="H101" s="1">
        <f t="shared" si="199"/>
        <v>3</v>
      </c>
      <c r="I101" s="1">
        <f t="shared" si="199"/>
        <v>2</v>
      </c>
      <c r="J101" s="1">
        <f t="shared" si="199"/>
        <v>1</v>
      </c>
      <c r="K101" s="1">
        <f t="shared" si="199"/>
        <v>2</v>
      </c>
      <c r="L101" s="1">
        <f t="shared" ref="L101:O101" si="200">H101*L$1</f>
        <v>5700</v>
      </c>
      <c r="M101" s="1">
        <f t="shared" si="200"/>
        <v>5800</v>
      </c>
      <c r="N101" s="1">
        <f t="shared" si="200"/>
        <v>1780</v>
      </c>
      <c r="O101" s="1">
        <f t="shared" si="200"/>
        <v>5380</v>
      </c>
      <c r="P101" s="1">
        <f t="shared" si="6"/>
        <v>18660</v>
      </c>
    </row>
    <row r="102">
      <c r="A102" s="5">
        <v>99.0</v>
      </c>
      <c r="B102" s="8">
        <f t="shared" si="3"/>
        <v>0.6873809928</v>
      </c>
      <c r="C102" s="1">
        <f t="shared" ref="C102:K102" si="201">IF(ISBLANK(C$2),"",C$1-_xlfn.FLOOR.MATH(C$1*(180-MIN(180,$A102))/180))</f>
        <v>9</v>
      </c>
      <c r="D102" s="4">
        <f t="shared" si="201"/>
        <v>4</v>
      </c>
      <c r="E102" s="1">
        <f t="shared" si="201"/>
        <v>2</v>
      </c>
      <c r="F102" s="1">
        <f t="shared" si="201"/>
        <v>2</v>
      </c>
      <c r="G102" s="10">
        <f t="shared" si="201"/>
        <v>4</v>
      </c>
      <c r="H102" s="1">
        <f t="shared" si="201"/>
        <v>3</v>
      </c>
      <c r="I102" s="1">
        <f t="shared" si="201"/>
        <v>2</v>
      </c>
      <c r="J102" s="1">
        <f t="shared" si="201"/>
        <v>1</v>
      </c>
      <c r="K102" s="1">
        <f t="shared" si="201"/>
        <v>2</v>
      </c>
      <c r="L102" s="1">
        <f t="shared" ref="L102:O102" si="202">H102*L$1</f>
        <v>5700</v>
      </c>
      <c r="M102" s="1">
        <f t="shared" si="202"/>
        <v>5800</v>
      </c>
      <c r="N102" s="1">
        <f t="shared" si="202"/>
        <v>1780</v>
      </c>
      <c r="O102" s="1">
        <f t="shared" si="202"/>
        <v>5380</v>
      </c>
      <c r="P102" s="1">
        <f t="shared" si="6"/>
        <v>18660</v>
      </c>
    </row>
    <row r="103">
      <c r="A103" s="5">
        <v>100.0</v>
      </c>
      <c r="B103" s="8">
        <f t="shared" si="3"/>
        <v>0.6754247141</v>
      </c>
      <c r="C103" s="1">
        <f t="shared" ref="C103:K103" si="203">IF(ISBLANK(C$2),"",C$1-_xlfn.FLOOR.MATH(C$1*(180-MIN(180,$A103))/180))</f>
        <v>9</v>
      </c>
      <c r="D103" s="4">
        <f t="shared" si="203"/>
        <v>4</v>
      </c>
      <c r="E103" s="1">
        <f t="shared" si="203"/>
        <v>2</v>
      </c>
      <c r="F103" s="1">
        <f t="shared" si="203"/>
        <v>2</v>
      </c>
      <c r="G103" s="10">
        <f t="shared" si="203"/>
        <v>4</v>
      </c>
      <c r="H103" s="1">
        <f t="shared" si="203"/>
        <v>3</v>
      </c>
      <c r="I103" s="1">
        <f t="shared" si="203"/>
        <v>2</v>
      </c>
      <c r="J103" s="1">
        <f t="shared" si="203"/>
        <v>1</v>
      </c>
      <c r="K103" s="1">
        <f t="shared" si="203"/>
        <v>2</v>
      </c>
      <c r="L103" s="1">
        <f t="shared" ref="L103:O103" si="204">H103*L$1</f>
        <v>5700</v>
      </c>
      <c r="M103" s="1">
        <f t="shared" si="204"/>
        <v>5800</v>
      </c>
      <c r="N103" s="1">
        <f t="shared" si="204"/>
        <v>1780</v>
      </c>
      <c r="O103" s="1">
        <f t="shared" si="204"/>
        <v>5380</v>
      </c>
      <c r="P103" s="1">
        <f t="shared" si="6"/>
        <v>18660</v>
      </c>
    </row>
    <row r="104">
      <c r="A104" s="5">
        <v>101.0</v>
      </c>
      <c r="B104" s="8">
        <f t="shared" si="3"/>
        <v>0.6634417922</v>
      </c>
      <c r="C104" s="1">
        <f t="shared" ref="C104:K104" si="205">IF(ISBLANK(C$2),"",C$1-_xlfn.FLOOR.MATH(C$1*(180-MIN(180,$A104))/180))</f>
        <v>9</v>
      </c>
      <c r="D104" s="4">
        <f t="shared" si="205"/>
        <v>4</v>
      </c>
      <c r="E104" s="1">
        <f t="shared" si="205"/>
        <v>2</v>
      </c>
      <c r="F104" s="1">
        <f t="shared" si="205"/>
        <v>2</v>
      </c>
      <c r="G104" s="10">
        <f t="shared" si="205"/>
        <v>4</v>
      </c>
      <c r="H104" s="1">
        <f t="shared" si="205"/>
        <v>3</v>
      </c>
      <c r="I104" s="1">
        <f t="shared" si="205"/>
        <v>2</v>
      </c>
      <c r="J104" s="1">
        <f t="shared" si="205"/>
        <v>1</v>
      </c>
      <c r="K104" s="1">
        <f t="shared" si="205"/>
        <v>2</v>
      </c>
      <c r="L104" s="1">
        <f t="shared" ref="L104:O104" si="206">H104*L$1</f>
        <v>5700</v>
      </c>
      <c r="M104" s="1">
        <f t="shared" si="206"/>
        <v>5800</v>
      </c>
      <c r="N104" s="1">
        <f t="shared" si="206"/>
        <v>1780</v>
      </c>
      <c r="O104" s="1">
        <f t="shared" si="206"/>
        <v>5380</v>
      </c>
      <c r="P104" s="1">
        <f t="shared" si="6"/>
        <v>18660</v>
      </c>
    </row>
    <row r="105">
      <c r="A105" s="5">
        <v>102.0</v>
      </c>
      <c r="B105" s="8">
        <f t="shared" si="3"/>
        <v>0.6514628566</v>
      </c>
      <c r="C105" s="1">
        <f t="shared" ref="C105:K105" si="207">IF(ISBLANK(C$2),"",C$1-_xlfn.FLOOR.MATH(C$1*(180-MIN(180,$A105))/180))</f>
        <v>10</v>
      </c>
      <c r="D105" s="4">
        <f t="shared" si="207"/>
        <v>4</v>
      </c>
      <c r="E105" s="1">
        <f t="shared" si="207"/>
        <v>2</v>
      </c>
      <c r="F105" s="1">
        <f t="shared" si="207"/>
        <v>2</v>
      </c>
      <c r="G105" s="10">
        <f t="shared" si="207"/>
        <v>4</v>
      </c>
      <c r="H105" s="1">
        <f t="shared" si="207"/>
        <v>3</v>
      </c>
      <c r="I105" s="1">
        <f t="shared" si="207"/>
        <v>2</v>
      </c>
      <c r="J105" s="1">
        <f t="shared" si="207"/>
        <v>1</v>
      </c>
      <c r="K105" s="1">
        <f t="shared" si="207"/>
        <v>2</v>
      </c>
      <c r="L105" s="1">
        <f t="shared" ref="L105:O105" si="208">H105*L$1</f>
        <v>5700</v>
      </c>
      <c r="M105" s="1">
        <f t="shared" si="208"/>
        <v>5800</v>
      </c>
      <c r="N105" s="1">
        <f t="shared" si="208"/>
        <v>1780</v>
      </c>
      <c r="O105" s="1">
        <f t="shared" si="208"/>
        <v>5380</v>
      </c>
      <c r="P105" s="1">
        <f t="shared" si="6"/>
        <v>18660</v>
      </c>
    </row>
    <row r="106">
      <c r="A106" s="5">
        <v>103.0</v>
      </c>
      <c r="B106" s="8">
        <f t="shared" si="3"/>
        <v>0.6395184956</v>
      </c>
      <c r="C106" s="1">
        <f t="shared" ref="C106:K106" si="209">IF(ISBLANK(C$2),"",C$1-_xlfn.FLOOR.MATH(C$1*(180-MIN(180,$A106))/180))</f>
        <v>10</v>
      </c>
      <c r="D106" s="4">
        <f t="shared" si="209"/>
        <v>4</v>
      </c>
      <c r="E106" s="1">
        <f t="shared" si="209"/>
        <v>2</v>
      </c>
      <c r="F106" s="1">
        <f t="shared" si="209"/>
        <v>2</v>
      </c>
      <c r="G106" s="10">
        <f t="shared" si="209"/>
        <v>4</v>
      </c>
      <c r="H106" s="1">
        <f t="shared" si="209"/>
        <v>3</v>
      </c>
      <c r="I106" s="1">
        <f t="shared" si="209"/>
        <v>2</v>
      </c>
      <c r="J106" s="1">
        <f t="shared" si="209"/>
        <v>1</v>
      </c>
      <c r="K106" s="1">
        <f t="shared" si="209"/>
        <v>2</v>
      </c>
      <c r="L106" s="1">
        <f t="shared" ref="L106:O106" si="210">H106*L$1</f>
        <v>5700</v>
      </c>
      <c r="M106" s="1">
        <f t="shared" si="210"/>
        <v>5800</v>
      </c>
      <c r="N106" s="1">
        <f t="shared" si="210"/>
        <v>1780</v>
      </c>
      <c r="O106" s="1">
        <f t="shared" si="210"/>
        <v>5380</v>
      </c>
      <c r="P106" s="1">
        <f t="shared" si="6"/>
        <v>18660</v>
      </c>
    </row>
    <row r="107">
      <c r="A107" s="5">
        <v>104.0</v>
      </c>
      <c r="B107" s="8">
        <f t="shared" si="3"/>
        <v>0.6276389456</v>
      </c>
      <c r="C107" s="1">
        <f t="shared" ref="C107:K107" si="211">IF(ISBLANK(C$2),"",C$1-_xlfn.FLOOR.MATH(C$1*(180-MIN(180,$A107))/180))</f>
        <v>10</v>
      </c>
      <c r="D107" s="4">
        <f t="shared" si="211"/>
        <v>4</v>
      </c>
      <c r="E107" s="1">
        <f t="shared" si="211"/>
        <v>2</v>
      </c>
      <c r="F107" s="1">
        <f t="shared" si="211"/>
        <v>2</v>
      </c>
      <c r="G107" s="10">
        <f t="shared" si="211"/>
        <v>4</v>
      </c>
      <c r="H107" s="1">
        <f t="shared" si="211"/>
        <v>3</v>
      </c>
      <c r="I107" s="1">
        <f t="shared" si="211"/>
        <v>2</v>
      </c>
      <c r="J107" s="1">
        <f t="shared" si="211"/>
        <v>1</v>
      </c>
      <c r="K107" s="1">
        <f t="shared" si="211"/>
        <v>2</v>
      </c>
      <c r="L107" s="1">
        <f t="shared" ref="L107:O107" si="212">H107*L$1</f>
        <v>5700</v>
      </c>
      <c r="M107" s="1">
        <f t="shared" si="212"/>
        <v>5800</v>
      </c>
      <c r="N107" s="1">
        <f t="shared" si="212"/>
        <v>1780</v>
      </c>
      <c r="O107" s="1">
        <f t="shared" si="212"/>
        <v>5380</v>
      </c>
      <c r="P107" s="1">
        <f t="shared" si="6"/>
        <v>18660</v>
      </c>
    </row>
    <row r="108">
      <c r="A108" s="5">
        <v>105.0</v>
      </c>
      <c r="B108" s="8">
        <f t="shared" si="3"/>
        <v>0.6158537866</v>
      </c>
      <c r="C108" s="1">
        <f t="shared" ref="C108:K108" si="213">IF(ISBLANK(C$2),"",C$1-_xlfn.FLOOR.MATH(C$1*(180-MIN(180,$A108))/180))</f>
        <v>10</v>
      </c>
      <c r="D108" s="4">
        <f t="shared" si="213"/>
        <v>4</v>
      </c>
      <c r="E108" s="1">
        <f t="shared" si="213"/>
        <v>2</v>
      </c>
      <c r="F108" s="1">
        <f t="shared" si="213"/>
        <v>2</v>
      </c>
      <c r="G108" s="10">
        <f t="shared" si="213"/>
        <v>4</v>
      </c>
      <c r="H108" s="1">
        <f t="shared" si="213"/>
        <v>3</v>
      </c>
      <c r="I108" s="1">
        <f t="shared" si="213"/>
        <v>2</v>
      </c>
      <c r="J108" s="1">
        <f t="shared" si="213"/>
        <v>1</v>
      </c>
      <c r="K108" s="1">
        <f t="shared" si="213"/>
        <v>2</v>
      </c>
      <c r="L108" s="1">
        <f t="shared" ref="L108:O108" si="214">H108*L$1</f>
        <v>5700</v>
      </c>
      <c r="M108" s="1">
        <f t="shared" si="214"/>
        <v>5800</v>
      </c>
      <c r="N108" s="1">
        <f t="shared" si="214"/>
        <v>1780</v>
      </c>
      <c r="O108" s="1">
        <f t="shared" si="214"/>
        <v>5380</v>
      </c>
      <c r="P108" s="1">
        <f t="shared" si="6"/>
        <v>18660</v>
      </c>
    </row>
    <row r="109">
      <c r="A109" s="5">
        <v>106.0</v>
      </c>
      <c r="B109" s="8">
        <f t="shared" si="3"/>
        <v>0.6041916524</v>
      </c>
      <c r="C109" s="1">
        <f t="shared" ref="C109:K109" si="215">IF(ISBLANK(C$2),"",C$1-_xlfn.FLOOR.MATH(C$1*(180-MIN(180,$A109))/180))</f>
        <v>10</v>
      </c>
      <c r="D109" s="4">
        <f t="shared" si="215"/>
        <v>4</v>
      </c>
      <c r="E109" s="1">
        <f t="shared" si="215"/>
        <v>2</v>
      </c>
      <c r="F109" s="1">
        <f t="shared" si="215"/>
        <v>2</v>
      </c>
      <c r="G109" s="10">
        <f t="shared" si="215"/>
        <v>4</v>
      </c>
      <c r="H109" s="1">
        <f t="shared" si="215"/>
        <v>3</v>
      </c>
      <c r="I109" s="1">
        <f t="shared" si="215"/>
        <v>2</v>
      </c>
      <c r="J109" s="1">
        <f t="shared" si="215"/>
        <v>1</v>
      </c>
      <c r="K109" s="1">
        <f t="shared" si="215"/>
        <v>2</v>
      </c>
      <c r="L109" s="1">
        <f t="shared" ref="L109:O109" si="216">H109*L$1</f>
        <v>5700</v>
      </c>
      <c r="M109" s="1">
        <f t="shared" si="216"/>
        <v>5800</v>
      </c>
      <c r="N109" s="1">
        <f t="shared" si="216"/>
        <v>1780</v>
      </c>
      <c r="O109" s="1">
        <f t="shared" si="216"/>
        <v>5380</v>
      </c>
      <c r="P109" s="1">
        <f t="shared" si="6"/>
        <v>18660</v>
      </c>
    </row>
    <row r="110">
      <c r="A110" s="5">
        <v>107.0</v>
      </c>
      <c r="B110" s="8">
        <f t="shared" si="3"/>
        <v>0.592679961</v>
      </c>
      <c r="C110" s="1">
        <f t="shared" ref="C110:K110" si="217">IF(ISBLANK(C$2),"",C$1-_xlfn.FLOOR.MATH(C$1*(180-MIN(180,$A110))/180))</f>
        <v>10</v>
      </c>
      <c r="D110" s="4">
        <f t="shared" si="217"/>
        <v>4</v>
      </c>
      <c r="E110" s="1">
        <f t="shared" si="217"/>
        <v>2</v>
      </c>
      <c r="F110" s="1">
        <f t="shared" si="217"/>
        <v>2</v>
      </c>
      <c r="G110" s="10">
        <f t="shared" si="217"/>
        <v>4</v>
      </c>
      <c r="H110" s="1">
        <f t="shared" si="217"/>
        <v>3</v>
      </c>
      <c r="I110" s="1">
        <f t="shared" si="217"/>
        <v>2</v>
      </c>
      <c r="J110" s="1">
        <f t="shared" si="217"/>
        <v>1</v>
      </c>
      <c r="K110" s="1">
        <f t="shared" si="217"/>
        <v>2</v>
      </c>
      <c r="L110" s="1">
        <f t="shared" ref="L110:O110" si="218">H110*L$1</f>
        <v>5700</v>
      </c>
      <c r="M110" s="1">
        <f t="shared" si="218"/>
        <v>5800</v>
      </c>
      <c r="N110" s="1">
        <f t="shared" si="218"/>
        <v>1780</v>
      </c>
      <c r="O110" s="1">
        <f t="shared" si="218"/>
        <v>5380</v>
      </c>
      <c r="P110" s="1">
        <f t="shared" si="6"/>
        <v>18660</v>
      </c>
    </row>
    <row r="111">
      <c r="A111" s="5">
        <v>108.0</v>
      </c>
      <c r="B111" s="8">
        <f t="shared" si="3"/>
        <v>0.5813446693</v>
      </c>
      <c r="C111" s="1">
        <f t="shared" ref="C111:K111" si="219">IF(ISBLANK(C$2),"",C$1-_xlfn.FLOOR.MATH(C$1*(180-MIN(180,$A111))/180))</f>
        <v>10</v>
      </c>
      <c r="D111" s="4">
        <f t="shared" si="219"/>
        <v>4</v>
      </c>
      <c r="E111" s="1">
        <f t="shared" si="219"/>
        <v>2</v>
      </c>
      <c r="F111" s="1">
        <f t="shared" si="219"/>
        <v>2</v>
      </c>
      <c r="G111" s="10">
        <f t="shared" si="219"/>
        <v>4</v>
      </c>
      <c r="H111" s="1">
        <f t="shared" si="219"/>
        <v>3</v>
      </c>
      <c r="I111" s="1">
        <f t="shared" si="219"/>
        <v>2</v>
      </c>
      <c r="J111" s="1">
        <f t="shared" si="219"/>
        <v>1</v>
      </c>
      <c r="K111" s="1">
        <f t="shared" si="219"/>
        <v>2</v>
      </c>
      <c r="L111" s="1">
        <f t="shared" ref="L111:O111" si="220">H111*L$1</f>
        <v>5700</v>
      </c>
      <c r="M111" s="1">
        <f t="shared" si="220"/>
        <v>5800</v>
      </c>
      <c r="N111" s="1">
        <f t="shared" si="220"/>
        <v>1780</v>
      </c>
      <c r="O111" s="1">
        <f t="shared" si="220"/>
        <v>5380</v>
      </c>
      <c r="P111" s="1">
        <f t="shared" si="6"/>
        <v>18660</v>
      </c>
    </row>
    <row r="112">
      <c r="A112" s="5">
        <v>109.0</v>
      </c>
      <c r="B112" s="8">
        <f t="shared" si="3"/>
        <v>0.570210058</v>
      </c>
      <c r="C112" s="1">
        <f t="shared" ref="C112:K112" si="221">IF(ISBLANK(C$2),"",C$1-_xlfn.FLOOR.MATH(C$1*(180-MIN(180,$A112))/180))</f>
        <v>10</v>
      </c>
      <c r="D112" s="4">
        <f t="shared" si="221"/>
        <v>4</v>
      </c>
      <c r="E112" s="1">
        <f t="shared" si="221"/>
        <v>2</v>
      </c>
      <c r="F112" s="1">
        <f t="shared" si="221"/>
        <v>2</v>
      </c>
      <c r="G112" s="10">
        <f t="shared" si="221"/>
        <v>4</v>
      </c>
      <c r="H112" s="1">
        <f t="shared" si="221"/>
        <v>3</v>
      </c>
      <c r="I112" s="1">
        <f t="shared" si="221"/>
        <v>2</v>
      </c>
      <c r="J112" s="1">
        <f t="shared" si="221"/>
        <v>1</v>
      </c>
      <c r="K112" s="1">
        <f t="shared" si="221"/>
        <v>2</v>
      </c>
      <c r="L112" s="1">
        <f t="shared" ref="L112:O112" si="222">H112*L$1</f>
        <v>5700</v>
      </c>
      <c r="M112" s="1">
        <f t="shared" si="222"/>
        <v>5800</v>
      </c>
      <c r="N112" s="1">
        <f t="shared" si="222"/>
        <v>1780</v>
      </c>
      <c r="O112" s="1">
        <f t="shared" si="222"/>
        <v>5380</v>
      </c>
      <c r="P112" s="1">
        <f t="shared" si="6"/>
        <v>18660</v>
      </c>
    </row>
    <row r="113">
      <c r="A113" s="5">
        <v>110.0</v>
      </c>
      <c r="B113" s="8">
        <f t="shared" si="3"/>
        <v>0.5592985494</v>
      </c>
      <c r="C113" s="1">
        <f t="shared" ref="C113:K113" si="223">IF(ISBLANK(C$2),"",C$1-_xlfn.FLOOR.MATH(C$1*(180-MIN(180,$A113))/180))</f>
        <v>10</v>
      </c>
      <c r="D113" s="4">
        <f t="shared" si="223"/>
        <v>4</v>
      </c>
      <c r="E113" s="1">
        <f t="shared" si="223"/>
        <v>2</v>
      </c>
      <c r="F113" s="1">
        <f t="shared" si="223"/>
        <v>2</v>
      </c>
      <c r="G113" s="10">
        <f t="shared" si="223"/>
        <v>4</v>
      </c>
      <c r="H113" s="1">
        <f t="shared" si="223"/>
        <v>3</v>
      </c>
      <c r="I113" s="1">
        <f t="shared" si="223"/>
        <v>2</v>
      </c>
      <c r="J113" s="1">
        <f t="shared" si="223"/>
        <v>1</v>
      </c>
      <c r="K113" s="1">
        <f t="shared" si="223"/>
        <v>2</v>
      </c>
      <c r="L113" s="1">
        <f t="shared" ref="L113:O113" si="224">H113*L$1</f>
        <v>5700</v>
      </c>
      <c r="M113" s="1">
        <f t="shared" si="224"/>
        <v>5800</v>
      </c>
      <c r="N113" s="1">
        <f t="shared" si="224"/>
        <v>1780</v>
      </c>
      <c r="O113" s="1">
        <f t="shared" si="224"/>
        <v>5380</v>
      </c>
      <c r="P113" s="1">
        <f t="shared" si="6"/>
        <v>18660</v>
      </c>
    </row>
    <row r="114">
      <c r="A114" s="5">
        <v>111.0</v>
      </c>
      <c r="B114" s="8">
        <f t="shared" si="3"/>
        <v>0.5486305595</v>
      </c>
      <c r="C114" s="1">
        <f t="shared" ref="C114:K114" si="225">IF(ISBLANK(C$2),"",C$1-_xlfn.FLOOR.MATH(C$1*(180-MIN(180,$A114))/180))</f>
        <v>10</v>
      </c>
      <c r="D114" s="4">
        <f t="shared" si="225"/>
        <v>4</v>
      </c>
      <c r="E114" s="1">
        <f t="shared" si="225"/>
        <v>2</v>
      </c>
      <c r="F114" s="1">
        <f t="shared" si="225"/>
        <v>2</v>
      </c>
      <c r="G114" s="10">
        <f t="shared" si="225"/>
        <v>4</v>
      </c>
      <c r="H114" s="1">
        <f t="shared" si="225"/>
        <v>3</v>
      </c>
      <c r="I114" s="1">
        <f t="shared" si="225"/>
        <v>2</v>
      </c>
      <c r="J114" s="1">
        <f t="shared" si="225"/>
        <v>1</v>
      </c>
      <c r="K114" s="1">
        <f t="shared" si="225"/>
        <v>2</v>
      </c>
      <c r="L114" s="1">
        <f t="shared" ref="L114:O114" si="226">H114*L$1</f>
        <v>5700</v>
      </c>
      <c r="M114" s="1">
        <f t="shared" si="226"/>
        <v>5800</v>
      </c>
      <c r="N114" s="1">
        <f t="shared" si="226"/>
        <v>1780</v>
      </c>
      <c r="O114" s="1">
        <f t="shared" si="226"/>
        <v>5380</v>
      </c>
      <c r="P114" s="1">
        <f t="shared" si="6"/>
        <v>18660</v>
      </c>
    </row>
    <row r="115">
      <c r="A115" s="5">
        <v>112.0</v>
      </c>
      <c r="B115" s="8">
        <f t="shared" si="3"/>
        <v>0.5382243877</v>
      </c>
      <c r="C115" s="1">
        <f t="shared" ref="C115:K115" si="227">IF(ISBLANK(C$2),"",C$1-_xlfn.FLOOR.MATH(C$1*(180-MIN(180,$A115))/180))</f>
        <v>10</v>
      </c>
      <c r="D115" s="4">
        <f t="shared" si="227"/>
        <v>4</v>
      </c>
      <c r="E115" s="1">
        <f t="shared" si="227"/>
        <v>2</v>
      </c>
      <c r="F115" s="1">
        <f t="shared" si="227"/>
        <v>2</v>
      </c>
      <c r="G115" s="10">
        <f t="shared" si="227"/>
        <v>4</v>
      </c>
      <c r="H115" s="1">
        <f t="shared" si="227"/>
        <v>3</v>
      </c>
      <c r="I115" s="1">
        <f t="shared" si="227"/>
        <v>2</v>
      </c>
      <c r="J115" s="1">
        <f t="shared" si="227"/>
        <v>1</v>
      </c>
      <c r="K115" s="1">
        <f t="shared" si="227"/>
        <v>2</v>
      </c>
      <c r="L115" s="1">
        <f t="shared" ref="L115:O115" si="228">H115*L$1</f>
        <v>5700</v>
      </c>
      <c r="M115" s="1">
        <f t="shared" si="228"/>
        <v>5800</v>
      </c>
      <c r="N115" s="1">
        <f t="shared" si="228"/>
        <v>1780</v>
      </c>
      <c r="O115" s="1">
        <f t="shared" si="228"/>
        <v>5380</v>
      </c>
      <c r="P115" s="1">
        <f t="shared" si="6"/>
        <v>18660</v>
      </c>
    </row>
    <row r="116">
      <c r="A116" s="5">
        <v>113.0</v>
      </c>
      <c r="B116" s="8">
        <f t="shared" si="3"/>
        <v>0.5280961414</v>
      </c>
      <c r="C116" s="1">
        <f t="shared" ref="C116:K116" si="229">IF(ISBLANK(C$2),"",C$1-_xlfn.FLOOR.MATH(C$1*(180-MIN(180,$A116))/180))</f>
        <v>11</v>
      </c>
      <c r="D116" s="4">
        <f t="shared" si="229"/>
        <v>4</v>
      </c>
      <c r="E116" s="1">
        <f t="shared" si="229"/>
        <v>2</v>
      </c>
      <c r="F116" s="1">
        <f t="shared" si="229"/>
        <v>2</v>
      </c>
      <c r="G116" s="10">
        <f t="shared" si="229"/>
        <v>4</v>
      </c>
      <c r="H116" s="1">
        <f t="shared" si="229"/>
        <v>3</v>
      </c>
      <c r="I116" s="1">
        <f t="shared" si="229"/>
        <v>2</v>
      </c>
      <c r="J116" s="1">
        <f t="shared" si="229"/>
        <v>1</v>
      </c>
      <c r="K116" s="1">
        <f t="shared" si="229"/>
        <v>2</v>
      </c>
      <c r="L116" s="1">
        <f t="shared" ref="L116:O116" si="230">H116*L$1</f>
        <v>5700</v>
      </c>
      <c r="M116" s="1">
        <f t="shared" si="230"/>
        <v>5800</v>
      </c>
      <c r="N116" s="1">
        <f t="shared" si="230"/>
        <v>1780</v>
      </c>
      <c r="O116" s="1">
        <f t="shared" si="230"/>
        <v>5380</v>
      </c>
      <c r="P116" s="1">
        <f t="shared" si="6"/>
        <v>18660</v>
      </c>
    </row>
    <row r="117">
      <c r="A117" s="5">
        <v>114.0</v>
      </c>
      <c r="B117" s="8">
        <f t="shared" si="3"/>
        <v>0.5182596972</v>
      </c>
      <c r="C117" s="1">
        <f t="shared" ref="C117:K117" si="231">IF(ISBLANK(C$2),"",C$1-_xlfn.FLOOR.MATH(C$1*(180-MIN(180,$A117))/180))</f>
        <v>11</v>
      </c>
      <c r="D117" s="4">
        <f t="shared" si="231"/>
        <v>4</v>
      </c>
      <c r="E117" s="1">
        <f t="shared" si="231"/>
        <v>2</v>
      </c>
      <c r="F117" s="1">
        <f t="shared" si="231"/>
        <v>2</v>
      </c>
      <c r="G117" s="10">
        <f t="shared" si="231"/>
        <v>4</v>
      </c>
      <c r="H117" s="1">
        <f t="shared" si="231"/>
        <v>3</v>
      </c>
      <c r="I117" s="1">
        <f t="shared" si="231"/>
        <v>2</v>
      </c>
      <c r="J117" s="1">
        <f t="shared" si="231"/>
        <v>1</v>
      </c>
      <c r="K117" s="1">
        <f t="shared" si="231"/>
        <v>2</v>
      </c>
      <c r="L117" s="1">
        <f t="shared" ref="L117:O117" si="232">H117*L$1</f>
        <v>5700</v>
      </c>
      <c r="M117" s="1">
        <f t="shared" si="232"/>
        <v>5800</v>
      </c>
      <c r="N117" s="1">
        <f t="shared" si="232"/>
        <v>1780</v>
      </c>
      <c r="O117" s="1">
        <f t="shared" si="232"/>
        <v>5380</v>
      </c>
      <c r="P117" s="1">
        <f t="shared" si="6"/>
        <v>18660</v>
      </c>
    </row>
    <row r="118">
      <c r="A118" s="5">
        <v>115.0</v>
      </c>
      <c r="B118" s="8">
        <f t="shared" si="3"/>
        <v>0.5087266959</v>
      </c>
      <c r="C118" s="1">
        <f t="shared" ref="C118:K118" si="233">IF(ISBLANK(C$2),"",C$1-_xlfn.FLOOR.MATH(C$1*(180-MIN(180,$A118))/180))</f>
        <v>11</v>
      </c>
      <c r="D118" s="4">
        <f t="shared" si="233"/>
        <v>4</v>
      </c>
      <c r="E118" s="1">
        <f t="shared" si="233"/>
        <v>2</v>
      </c>
      <c r="F118" s="1">
        <f t="shared" si="233"/>
        <v>2</v>
      </c>
      <c r="G118" s="10">
        <f t="shared" si="233"/>
        <v>4</v>
      </c>
      <c r="H118" s="1">
        <f t="shared" si="233"/>
        <v>3</v>
      </c>
      <c r="I118" s="1">
        <f t="shared" si="233"/>
        <v>2</v>
      </c>
      <c r="J118" s="1">
        <f t="shared" si="233"/>
        <v>1</v>
      </c>
      <c r="K118" s="1">
        <f t="shared" si="233"/>
        <v>2</v>
      </c>
      <c r="L118" s="1">
        <f t="shared" ref="L118:O118" si="234">H118*L$1</f>
        <v>5700</v>
      </c>
      <c r="M118" s="1">
        <f t="shared" si="234"/>
        <v>5800</v>
      </c>
      <c r="N118" s="1">
        <f t="shared" si="234"/>
        <v>1780</v>
      </c>
      <c r="O118" s="1">
        <f t="shared" si="234"/>
        <v>5380</v>
      </c>
      <c r="P118" s="1">
        <f t="shared" si="6"/>
        <v>18660</v>
      </c>
    </row>
    <row r="119">
      <c r="A119" s="5">
        <v>116.0</v>
      </c>
      <c r="B119" s="8">
        <f t="shared" si="3"/>
        <v>0.4995065681</v>
      </c>
      <c r="C119" s="1">
        <f t="shared" ref="C119:K119" si="235">IF(ISBLANK(C$2),"",C$1-_xlfn.FLOOR.MATH(C$1*(180-MIN(180,$A119))/180))</f>
        <v>11</v>
      </c>
      <c r="D119" s="4">
        <f t="shared" si="235"/>
        <v>4</v>
      </c>
      <c r="E119" s="1">
        <f t="shared" si="235"/>
        <v>2</v>
      </c>
      <c r="F119" s="1">
        <f t="shared" si="235"/>
        <v>2</v>
      </c>
      <c r="G119" s="10">
        <f t="shared" si="235"/>
        <v>4</v>
      </c>
      <c r="H119" s="1">
        <f t="shared" si="235"/>
        <v>3</v>
      </c>
      <c r="I119" s="1">
        <f t="shared" si="235"/>
        <v>2</v>
      </c>
      <c r="J119" s="1">
        <f t="shared" si="235"/>
        <v>1</v>
      </c>
      <c r="K119" s="1">
        <f t="shared" si="235"/>
        <v>2</v>
      </c>
      <c r="L119" s="1">
        <f t="shared" ref="L119:O119" si="236">H119*L$1</f>
        <v>5700</v>
      </c>
      <c r="M119" s="1">
        <f t="shared" si="236"/>
        <v>5800</v>
      </c>
      <c r="N119" s="1">
        <f t="shared" si="236"/>
        <v>1780</v>
      </c>
      <c r="O119" s="1">
        <f t="shared" si="236"/>
        <v>5380</v>
      </c>
      <c r="P119" s="1">
        <f t="shared" si="6"/>
        <v>18660</v>
      </c>
    </row>
    <row r="120">
      <c r="A120" s="5">
        <v>117.0</v>
      </c>
      <c r="B120" s="8">
        <f t="shared" si="3"/>
        <v>0.4906065889</v>
      </c>
      <c r="C120" s="1">
        <f t="shared" ref="C120:K120" si="237">IF(ISBLANK(C$2),"",C$1-_xlfn.FLOOR.MATH(C$1*(180-MIN(180,$A120))/180))</f>
        <v>11</v>
      </c>
      <c r="D120" s="4">
        <f t="shared" si="237"/>
        <v>4</v>
      </c>
      <c r="E120" s="1">
        <f t="shared" si="237"/>
        <v>2</v>
      </c>
      <c r="F120" s="1">
        <f t="shared" si="237"/>
        <v>2</v>
      </c>
      <c r="G120" s="10">
        <f t="shared" si="237"/>
        <v>4</v>
      </c>
      <c r="H120" s="1">
        <f t="shared" si="237"/>
        <v>3</v>
      </c>
      <c r="I120" s="1">
        <f t="shared" si="237"/>
        <v>2</v>
      </c>
      <c r="J120" s="1">
        <f t="shared" si="237"/>
        <v>1</v>
      </c>
      <c r="K120" s="1">
        <f t="shared" si="237"/>
        <v>2</v>
      </c>
      <c r="L120" s="1">
        <f t="shared" ref="L120:O120" si="238">H120*L$1</f>
        <v>5700</v>
      </c>
      <c r="M120" s="1">
        <f t="shared" si="238"/>
        <v>5800</v>
      </c>
      <c r="N120" s="1">
        <f t="shared" si="238"/>
        <v>1780</v>
      </c>
      <c r="O120" s="1">
        <f t="shared" si="238"/>
        <v>5380</v>
      </c>
      <c r="P120" s="1">
        <f t="shared" si="6"/>
        <v>18660</v>
      </c>
    </row>
    <row r="121">
      <c r="A121" s="5">
        <v>118.0</v>
      </c>
      <c r="B121" s="8">
        <f t="shared" si="3"/>
        <v>0.4820319576</v>
      </c>
      <c r="C121" s="1">
        <f t="shared" ref="C121:K121" si="239">IF(ISBLANK(C$2),"",C$1-_xlfn.FLOOR.MATH(C$1*(180-MIN(180,$A121))/180))</f>
        <v>11</v>
      </c>
      <c r="D121" s="4">
        <f t="shared" si="239"/>
        <v>4</v>
      </c>
      <c r="E121" s="1">
        <f t="shared" si="239"/>
        <v>2</v>
      </c>
      <c r="F121" s="1">
        <f t="shared" si="239"/>
        <v>2</v>
      </c>
      <c r="G121" s="10">
        <f t="shared" si="239"/>
        <v>4</v>
      </c>
      <c r="H121" s="1">
        <f t="shared" si="239"/>
        <v>3</v>
      </c>
      <c r="I121" s="1">
        <f t="shared" si="239"/>
        <v>2</v>
      </c>
      <c r="J121" s="1">
        <f t="shared" si="239"/>
        <v>1</v>
      </c>
      <c r="K121" s="1">
        <f t="shared" si="239"/>
        <v>2</v>
      </c>
      <c r="L121" s="1">
        <f t="shared" ref="L121:O121" si="240">H121*L$1</f>
        <v>5700</v>
      </c>
      <c r="M121" s="1">
        <f t="shared" si="240"/>
        <v>5800</v>
      </c>
      <c r="N121" s="1">
        <f t="shared" si="240"/>
        <v>1780</v>
      </c>
      <c r="O121" s="1">
        <f t="shared" si="240"/>
        <v>5380</v>
      </c>
      <c r="P121" s="1">
        <f t="shared" si="6"/>
        <v>18660</v>
      </c>
    </row>
    <row r="122">
      <c r="A122" s="5">
        <v>119.0</v>
      </c>
      <c r="B122" s="8">
        <f t="shared" si="3"/>
        <v>0.4737858973</v>
      </c>
      <c r="C122" s="1">
        <f t="shared" ref="C122:K122" si="241">IF(ISBLANK(C$2),"",C$1-_xlfn.FLOOR.MATH(C$1*(180-MIN(180,$A122))/180))</f>
        <v>11</v>
      </c>
      <c r="D122" s="4">
        <f t="shared" si="241"/>
        <v>4</v>
      </c>
      <c r="E122" s="1">
        <f t="shared" si="241"/>
        <v>2</v>
      </c>
      <c r="F122" s="1">
        <f t="shared" si="241"/>
        <v>2</v>
      </c>
      <c r="G122" s="10">
        <f t="shared" si="241"/>
        <v>4</v>
      </c>
      <c r="H122" s="1">
        <f t="shared" si="241"/>
        <v>3</v>
      </c>
      <c r="I122" s="1">
        <f t="shared" si="241"/>
        <v>2</v>
      </c>
      <c r="J122" s="1">
        <f t="shared" si="241"/>
        <v>1</v>
      </c>
      <c r="K122" s="1">
        <f t="shared" si="241"/>
        <v>2</v>
      </c>
      <c r="L122" s="1">
        <f t="shared" ref="L122:O122" si="242">H122*L$1</f>
        <v>5700</v>
      </c>
      <c r="M122" s="1">
        <f t="shared" si="242"/>
        <v>5800</v>
      </c>
      <c r="N122" s="1">
        <f t="shared" si="242"/>
        <v>1780</v>
      </c>
      <c r="O122" s="1">
        <f t="shared" si="242"/>
        <v>5380</v>
      </c>
      <c r="P122" s="1">
        <f t="shared" si="6"/>
        <v>18660</v>
      </c>
    </row>
    <row r="123">
      <c r="A123" s="5">
        <v>120.0</v>
      </c>
      <c r="B123" s="8">
        <f t="shared" si="3"/>
        <v>0.4658697735</v>
      </c>
      <c r="C123" s="1">
        <f t="shared" ref="C123:K123" si="243">IF(ISBLANK(C$2),"",C$1-_xlfn.FLOOR.MATH(C$1*(180-MIN(180,$A123))/180))</f>
        <v>11</v>
      </c>
      <c r="D123" s="4">
        <f t="shared" si="243"/>
        <v>4</v>
      </c>
      <c r="E123" s="1">
        <f t="shared" si="243"/>
        <v>2</v>
      </c>
      <c r="F123" s="1">
        <f t="shared" si="243"/>
        <v>2</v>
      </c>
      <c r="G123" s="10">
        <f t="shared" si="243"/>
        <v>4</v>
      </c>
      <c r="H123" s="1">
        <f t="shared" si="243"/>
        <v>3</v>
      </c>
      <c r="I123" s="1">
        <f t="shared" si="243"/>
        <v>2</v>
      </c>
      <c r="J123" s="1">
        <f t="shared" si="243"/>
        <v>1</v>
      </c>
      <c r="K123" s="1">
        <f t="shared" si="243"/>
        <v>2</v>
      </c>
      <c r="L123" s="1">
        <f t="shared" ref="L123:O123" si="244">H123*L$1</f>
        <v>5700</v>
      </c>
      <c r="M123" s="1">
        <f t="shared" si="244"/>
        <v>5800</v>
      </c>
      <c r="N123" s="1">
        <f t="shared" si="244"/>
        <v>1780</v>
      </c>
      <c r="O123" s="1">
        <f t="shared" si="244"/>
        <v>5380</v>
      </c>
      <c r="P123" s="1">
        <f t="shared" si="6"/>
        <v>18660</v>
      </c>
    </row>
    <row r="124">
      <c r="A124" s="5">
        <v>121.0</v>
      </c>
      <c r="B124" s="8">
        <f t="shared" si="3"/>
        <v>0.4582832244</v>
      </c>
      <c r="C124" s="1">
        <f t="shared" ref="C124:K124" si="245">IF(ISBLANK(C$2),"",C$1-_xlfn.FLOOR.MATH(C$1*(180-MIN(180,$A124))/180))</f>
        <v>11</v>
      </c>
      <c r="D124" s="4">
        <f t="shared" si="245"/>
        <v>5</v>
      </c>
      <c r="E124" s="1">
        <f t="shared" si="245"/>
        <v>3</v>
      </c>
      <c r="F124" s="1">
        <f t="shared" si="245"/>
        <v>2</v>
      </c>
      <c r="G124" s="10">
        <f t="shared" si="245"/>
        <v>5</v>
      </c>
      <c r="H124" s="1">
        <f t="shared" si="245"/>
        <v>3</v>
      </c>
      <c r="I124" s="1">
        <f t="shared" si="245"/>
        <v>3</v>
      </c>
      <c r="J124" s="1">
        <f t="shared" si="245"/>
        <v>1</v>
      </c>
      <c r="K124" s="1">
        <f t="shared" si="245"/>
        <v>2</v>
      </c>
      <c r="L124" s="1">
        <f t="shared" ref="L124:O124" si="246">H124*L$1</f>
        <v>5700</v>
      </c>
      <c r="M124" s="1">
        <f t="shared" si="246"/>
        <v>8700</v>
      </c>
      <c r="N124" s="1">
        <f t="shared" si="246"/>
        <v>1780</v>
      </c>
      <c r="O124" s="1">
        <f t="shared" si="246"/>
        <v>5380</v>
      </c>
      <c r="P124" s="1">
        <f t="shared" si="6"/>
        <v>21560</v>
      </c>
    </row>
    <row r="125">
      <c r="A125" s="5">
        <v>122.0</v>
      </c>
      <c r="B125" s="8">
        <f t="shared" si="3"/>
        <v>0.4510243026</v>
      </c>
      <c r="C125" s="1">
        <f t="shared" ref="C125:K125" si="247">IF(ISBLANK(C$2),"",C$1-_xlfn.FLOOR.MATH(C$1*(180-MIN(180,$A125))/180))</f>
        <v>11</v>
      </c>
      <c r="D125" s="4">
        <f t="shared" si="247"/>
        <v>5</v>
      </c>
      <c r="E125" s="1">
        <f t="shared" si="247"/>
        <v>3</v>
      </c>
      <c r="F125" s="1">
        <f t="shared" si="247"/>
        <v>2</v>
      </c>
      <c r="G125" s="10">
        <f t="shared" si="247"/>
        <v>5</v>
      </c>
      <c r="H125" s="1">
        <f t="shared" si="247"/>
        <v>3</v>
      </c>
      <c r="I125" s="1">
        <f t="shared" si="247"/>
        <v>3</v>
      </c>
      <c r="J125" s="1">
        <f t="shared" si="247"/>
        <v>1</v>
      </c>
      <c r="K125" s="1">
        <f t="shared" si="247"/>
        <v>2</v>
      </c>
      <c r="L125" s="1">
        <f t="shared" ref="L125:O125" si="248">H125*L$1</f>
        <v>5700</v>
      </c>
      <c r="M125" s="1">
        <f t="shared" si="248"/>
        <v>8700</v>
      </c>
      <c r="N125" s="1">
        <f t="shared" si="248"/>
        <v>1780</v>
      </c>
      <c r="O125" s="1">
        <f t="shared" si="248"/>
        <v>5380</v>
      </c>
      <c r="P125" s="1">
        <f t="shared" si="6"/>
        <v>21560</v>
      </c>
    </row>
    <row r="126">
      <c r="A126" s="5">
        <v>123.0</v>
      </c>
      <c r="B126" s="8">
        <f t="shared" si="3"/>
        <v>0.4440896214</v>
      </c>
      <c r="C126" s="1">
        <f t="shared" ref="C126:K126" si="249">IF(ISBLANK(C$2),"",C$1-_xlfn.FLOOR.MATH(C$1*(180-MIN(180,$A126))/180))</f>
        <v>11</v>
      </c>
      <c r="D126" s="4">
        <f t="shared" si="249"/>
        <v>5</v>
      </c>
      <c r="E126" s="1">
        <f t="shared" si="249"/>
        <v>3</v>
      </c>
      <c r="F126" s="1">
        <f t="shared" si="249"/>
        <v>2</v>
      </c>
      <c r="G126" s="10">
        <f t="shared" si="249"/>
        <v>5</v>
      </c>
      <c r="H126" s="1">
        <f t="shared" si="249"/>
        <v>3</v>
      </c>
      <c r="I126" s="1">
        <f t="shared" si="249"/>
        <v>3</v>
      </c>
      <c r="J126" s="1">
        <f t="shared" si="249"/>
        <v>1</v>
      </c>
      <c r="K126" s="1">
        <f t="shared" si="249"/>
        <v>2</v>
      </c>
      <c r="L126" s="1">
        <f t="shared" ref="L126:O126" si="250">H126*L$1</f>
        <v>5700</v>
      </c>
      <c r="M126" s="1">
        <f t="shared" si="250"/>
        <v>8700</v>
      </c>
      <c r="N126" s="1">
        <f t="shared" si="250"/>
        <v>1780</v>
      </c>
      <c r="O126" s="1">
        <f t="shared" si="250"/>
        <v>5380</v>
      </c>
      <c r="P126" s="1">
        <f t="shared" si="6"/>
        <v>21560</v>
      </c>
    </row>
    <row r="127">
      <c r="A127" s="5">
        <v>124.0</v>
      </c>
      <c r="B127" s="8">
        <f t="shared" si="3"/>
        <v>0.4374745051</v>
      </c>
      <c r="C127" s="1">
        <f t="shared" ref="C127:K127" si="251">IF(ISBLANK(C$2),"",C$1-_xlfn.FLOOR.MATH(C$1*(180-MIN(180,$A127))/180))</f>
        <v>12</v>
      </c>
      <c r="D127" s="4">
        <f t="shared" si="251"/>
        <v>5</v>
      </c>
      <c r="E127" s="1">
        <f t="shared" si="251"/>
        <v>3</v>
      </c>
      <c r="F127" s="1">
        <f t="shared" si="251"/>
        <v>2</v>
      </c>
      <c r="G127" s="10">
        <f t="shared" si="251"/>
        <v>5</v>
      </c>
      <c r="H127" s="1">
        <f t="shared" si="251"/>
        <v>3</v>
      </c>
      <c r="I127" s="1">
        <f t="shared" si="251"/>
        <v>3</v>
      </c>
      <c r="J127" s="1">
        <f t="shared" si="251"/>
        <v>1</v>
      </c>
      <c r="K127" s="1">
        <f t="shared" si="251"/>
        <v>2</v>
      </c>
      <c r="L127" s="1">
        <f t="shared" ref="L127:O127" si="252">H127*L$1</f>
        <v>5700</v>
      </c>
      <c r="M127" s="1">
        <f t="shared" si="252"/>
        <v>8700</v>
      </c>
      <c r="N127" s="1">
        <f t="shared" si="252"/>
        <v>1780</v>
      </c>
      <c r="O127" s="1">
        <f t="shared" si="252"/>
        <v>5380</v>
      </c>
      <c r="P127" s="1">
        <f t="shared" si="6"/>
        <v>21560</v>
      </c>
    </row>
    <row r="128">
      <c r="A128" s="5">
        <v>125.0</v>
      </c>
      <c r="B128" s="8">
        <f t="shared" si="3"/>
        <v>0.4311731394</v>
      </c>
      <c r="C128" s="1">
        <f t="shared" ref="C128:K128" si="253">IF(ISBLANK(C$2),"",C$1-_xlfn.FLOOR.MATH(C$1*(180-MIN(180,$A128))/180))</f>
        <v>12</v>
      </c>
      <c r="D128" s="4">
        <f t="shared" si="253"/>
        <v>5</v>
      </c>
      <c r="E128" s="1">
        <f t="shared" si="253"/>
        <v>3</v>
      </c>
      <c r="F128" s="1">
        <f t="shared" si="253"/>
        <v>2</v>
      </c>
      <c r="G128" s="10">
        <f t="shared" si="253"/>
        <v>5</v>
      </c>
      <c r="H128" s="1">
        <f t="shared" si="253"/>
        <v>3</v>
      </c>
      <c r="I128" s="1">
        <f t="shared" si="253"/>
        <v>3</v>
      </c>
      <c r="J128" s="1">
        <f t="shared" si="253"/>
        <v>1</v>
      </c>
      <c r="K128" s="1">
        <f t="shared" si="253"/>
        <v>2</v>
      </c>
      <c r="L128" s="1">
        <f t="shared" ref="L128:O128" si="254">H128*L$1</f>
        <v>5700</v>
      </c>
      <c r="M128" s="1">
        <f t="shared" si="254"/>
        <v>8700</v>
      </c>
      <c r="N128" s="1">
        <f t="shared" si="254"/>
        <v>1780</v>
      </c>
      <c r="O128" s="1">
        <f t="shared" si="254"/>
        <v>5380</v>
      </c>
      <c r="P128" s="1">
        <f t="shared" si="6"/>
        <v>21560</v>
      </c>
    </row>
    <row r="129">
      <c r="A129" s="5">
        <v>126.0</v>
      </c>
      <c r="B129" s="8">
        <f t="shared" si="3"/>
        <v>0.425178719</v>
      </c>
      <c r="C129" s="1">
        <f t="shared" ref="C129:K129" si="255">IF(ISBLANK(C$2),"",C$1-_xlfn.FLOOR.MATH(C$1*(180-MIN(180,$A129))/180))</f>
        <v>12</v>
      </c>
      <c r="D129" s="4">
        <f t="shared" si="255"/>
        <v>5</v>
      </c>
      <c r="E129" s="1">
        <f t="shared" si="255"/>
        <v>3</v>
      </c>
      <c r="F129" s="1">
        <f t="shared" si="255"/>
        <v>2</v>
      </c>
      <c r="G129" s="10">
        <f t="shared" si="255"/>
        <v>5</v>
      </c>
      <c r="H129" s="1">
        <f t="shared" si="255"/>
        <v>3</v>
      </c>
      <c r="I129" s="1">
        <f t="shared" si="255"/>
        <v>3</v>
      </c>
      <c r="J129" s="1">
        <f t="shared" si="255"/>
        <v>1</v>
      </c>
      <c r="K129" s="1">
        <f t="shared" si="255"/>
        <v>2</v>
      </c>
      <c r="L129" s="1">
        <f t="shared" ref="L129:O129" si="256">H129*L$1</f>
        <v>5700</v>
      </c>
      <c r="M129" s="1">
        <f t="shared" si="256"/>
        <v>8700</v>
      </c>
      <c r="N129" s="1">
        <f t="shared" si="256"/>
        <v>1780</v>
      </c>
      <c r="O129" s="1">
        <f t="shared" si="256"/>
        <v>5380</v>
      </c>
      <c r="P129" s="1">
        <f t="shared" si="6"/>
        <v>21560</v>
      </c>
    </row>
    <row r="130">
      <c r="A130" s="5">
        <v>127.0</v>
      </c>
      <c r="B130" s="8">
        <f t="shared" si="3"/>
        <v>0.419483591</v>
      </c>
      <c r="C130" s="1">
        <f t="shared" ref="C130:K130" si="257">IF(ISBLANK(C$2),"",C$1-_xlfn.FLOOR.MATH(C$1*(180-MIN(180,$A130))/180))</f>
        <v>12</v>
      </c>
      <c r="D130" s="4">
        <f t="shared" si="257"/>
        <v>5</v>
      </c>
      <c r="E130" s="1">
        <f t="shared" si="257"/>
        <v>3</v>
      </c>
      <c r="F130" s="1">
        <f t="shared" si="257"/>
        <v>2</v>
      </c>
      <c r="G130" s="10">
        <f t="shared" si="257"/>
        <v>5</v>
      </c>
      <c r="H130" s="1">
        <f t="shared" si="257"/>
        <v>3</v>
      </c>
      <c r="I130" s="1">
        <f t="shared" si="257"/>
        <v>3</v>
      </c>
      <c r="J130" s="1">
        <f t="shared" si="257"/>
        <v>1</v>
      </c>
      <c r="K130" s="1">
        <f t="shared" si="257"/>
        <v>2</v>
      </c>
      <c r="L130" s="1">
        <f t="shared" ref="L130:O130" si="258">H130*L$1</f>
        <v>5700</v>
      </c>
      <c r="M130" s="1">
        <f t="shared" si="258"/>
        <v>8700</v>
      </c>
      <c r="N130" s="1">
        <f t="shared" si="258"/>
        <v>1780</v>
      </c>
      <c r="O130" s="1">
        <f t="shared" si="258"/>
        <v>5380</v>
      </c>
      <c r="P130" s="1">
        <f t="shared" si="6"/>
        <v>21560</v>
      </c>
    </row>
    <row r="131">
      <c r="A131" s="5">
        <v>128.0</v>
      </c>
      <c r="B131" s="8">
        <f t="shared" si="3"/>
        <v>0.4140793923</v>
      </c>
      <c r="C131" s="1">
        <f t="shared" ref="C131:K131" si="259">IF(ISBLANK(C$2),"",C$1-_xlfn.FLOOR.MATH(C$1*(180-MIN(180,$A131))/180))</f>
        <v>12</v>
      </c>
      <c r="D131" s="4">
        <f t="shared" si="259"/>
        <v>5</v>
      </c>
      <c r="E131" s="1">
        <f t="shared" si="259"/>
        <v>3</v>
      </c>
      <c r="F131" s="1">
        <f t="shared" si="259"/>
        <v>2</v>
      </c>
      <c r="G131" s="10">
        <f t="shared" si="259"/>
        <v>5</v>
      </c>
      <c r="H131" s="1">
        <f t="shared" si="259"/>
        <v>3</v>
      </c>
      <c r="I131" s="1">
        <f t="shared" si="259"/>
        <v>3</v>
      </c>
      <c r="J131" s="1">
        <f t="shared" si="259"/>
        <v>1</v>
      </c>
      <c r="K131" s="1">
        <f t="shared" si="259"/>
        <v>2</v>
      </c>
      <c r="L131" s="1">
        <f t="shared" ref="L131:O131" si="260">H131*L$1</f>
        <v>5700</v>
      </c>
      <c r="M131" s="1">
        <f t="shared" si="260"/>
        <v>8700</v>
      </c>
      <c r="N131" s="1">
        <f t="shared" si="260"/>
        <v>1780</v>
      </c>
      <c r="O131" s="1">
        <f t="shared" si="260"/>
        <v>5380</v>
      </c>
      <c r="P131" s="1">
        <f t="shared" si="6"/>
        <v>21560</v>
      </c>
    </row>
    <row r="132">
      <c r="A132" s="5">
        <v>129.0</v>
      </c>
      <c r="B132" s="8">
        <f t="shared" si="3"/>
        <v>0.4089571792</v>
      </c>
      <c r="C132" s="1">
        <f t="shared" ref="C132:K132" si="261">IF(ISBLANK(C$2),"",C$1-_xlfn.FLOOR.MATH(C$1*(180-MIN(180,$A132))/180))</f>
        <v>12</v>
      </c>
      <c r="D132" s="4">
        <f t="shared" si="261"/>
        <v>5</v>
      </c>
      <c r="E132" s="1">
        <f t="shared" si="261"/>
        <v>3</v>
      </c>
      <c r="F132" s="1">
        <f t="shared" si="261"/>
        <v>2</v>
      </c>
      <c r="G132" s="10">
        <f t="shared" si="261"/>
        <v>5</v>
      </c>
      <c r="H132" s="1">
        <f t="shared" si="261"/>
        <v>3</v>
      </c>
      <c r="I132" s="1">
        <f t="shared" si="261"/>
        <v>3</v>
      </c>
      <c r="J132" s="1">
        <f t="shared" si="261"/>
        <v>1</v>
      </c>
      <c r="K132" s="1">
        <f t="shared" si="261"/>
        <v>2</v>
      </c>
      <c r="L132" s="1">
        <f t="shared" ref="L132:O132" si="262">H132*L$1</f>
        <v>5700</v>
      </c>
      <c r="M132" s="1">
        <f t="shared" si="262"/>
        <v>8700</v>
      </c>
      <c r="N132" s="1">
        <f t="shared" si="262"/>
        <v>1780</v>
      </c>
      <c r="O132" s="1">
        <f t="shared" si="262"/>
        <v>5380</v>
      </c>
      <c r="P132" s="1">
        <f t="shared" si="6"/>
        <v>21560</v>
      </c>
    </row>
    <row r="133">
      <c r="A133" s="5">
        <v>130.0</v>
      </c>
      <c r="B133" s="8">
        <f t="shared" si="3"/>
        <v>0.4041075488</v>
      </c>
      <c r="C133" s="1">
        <f t="shared" ref="C133:K133" si="263">IF(ISBLANK(C$2),"",C$1-_xlfn.FLOOR.MATH(C$1*(180-MIN(180,$A133))/180))</f>
        <v>12</v>
      </c>
      <c r="D133" s="4">
        <f t="shared" si="263"/>
        <v>5</v>
      </c>
      <c r="E133" s="1">
        <f t="shared" si="263"/>
        <v>3</v>
      </c>
      <c r="F133" s="1">
        <f t="shared" si="263"/>
        <v>2</v>
      </c>
      <c r="G133" s="10">
        <f t="shared" si="263"/>
        <v>5</v>
      </c>
      <c r="H133" s="1">
        <f t="shared" si="263"/>
        <v>3</v>
      </c>
      <c r="I133" s="1">
        <f t="shared" si="263"/>
        <v>3</v>
      </c>
      <c r="J133" s="1">
        <f t="shared" si="263"/>
        <v>1</v>
      </c>
      <c r="K133" s="1">
        <f t="shared" si="263"/>
        <v>2</v>
      </c>
      <c r="L133" s="1">
        <f t="shared" ref="L133:O133" si="264">H133*L$1</f>
        <v>5700</v>
      </c>
      <c r="M133" s="1">
        <f t="shared" si="264"/>
        <v>8700</v>
      </c>
      <c r="N133" s="1">
        <f t="shared" si="264"/>
        <v>1780</v>
      </c>
      <c r="O133" s="1">
        <f t="shared" si="264"/>
        <v>5380</v>
      </c>
      <c r="P133" s="1">
        <f t="shared" si="6"/>
        <v>21560</v>
      </c>
    </row>
    <row r="134">
      <c r="A134" s="5">
        <v>131.0</v>
      </c>
      <c r="B134" s="8">
        <f t="shared" si="3"/>
        <v>0.3995207511</v>
      </c>
      <c r="C134" s="1">
        <f t="shared" ref="C134:K134" si="265">IF(ISBLANK(C$2),"",C$1-_xlfn.FLOOR.MATH(C$1*(180-MIN(180,$A134))/180))</f>
        <v>12</v>
      </c>
      <c r="D134" s="4">
        <f t="shared" si="265"/>
        <v>5</v>
      </c>
      <c r="E134" s="1">
        <f t="shared" si="265"/>
        <v>3</v>
      </c>
      <c r="F134" s="1">
        <f t="shared" si="265"/>
        <v>2</v>
      </c>
      <c r="G134" s="10">
        <f t="shared" si="265"/>
        <v>5</v>
      </c>
      <c r="H134" s="1">
        <f t="shared" si="265"/>
        <v>3</v>
      </c>
      <c r="I134" s="1">
        <f t="shared" si="265"/>
        <v>3</v>
      </c>
      <c r="J134" s="1">
        <f t="shared" si="265"/>
        <v>1</v>
      </c>
      <c r="K134" s="1">
        <f t="shared" si="265"/>
        <v>2</v>
      </c>
      <c r="L134" s="1">
        <f t="shared" ref="L134:O134" si="266">H134*L$1</f>
        <v>5700</v>
      </c>
      <c r="M134" s="1">
        <f t="shared" si="266"/>
        <v>8700</v>
      </c>
      <c r="N134" s="1">
        <f t="shared" si="266"/>
        <v>1780</v>
      </c>
      <c r="O134" s="1">
        <f t="shared" si="266"/>
        <v>5380</v>
      </c>
      <c r="P134" s="1">
        <f t="shared" si="6"/>
        <v>21560</v>
      </c>
    </row>
    <row r="135">
      <c r="A135" s="5">
        <v>132.0</v>
      </c>
      <c r="B135" s="8">
        <f t="shared" si="3"/>
        <v>0.3951867915</v>
      </c>
      <c r="C135" s="1">
        <f t="shared" ref="C135:K135" si="267">IF(ISBLANK(C$2),"",C$1-_xlfn.FLOOR.MATH(C$1*(180-MIN(180,$A135))/180))</f>
        <v>12</v>
      </c>
      <c r="D135" s="4">
        <f t="shared" si="267"/>
        <v>5</v>
      </c>
      <c r="E135" s="1">
        <f t="shared" si="267"/>
        <v>3</v>
      </c>
      <c r="F135" s="1">
        <f t="shared" si="267"/>
        <v>2</v>
      </c>
      <c r="G135" s="10">
        <f t="shared" si="267"/>
        <v>5</v>
      </c>
      <c r="H135" s="1">
        <f t="shared" si="267"/>
        <v>3</v>
      </c>
      <c r="I135" s="1">
        <f t="shared" si="267"/>
        <v>3</v>
      </c>
      <c r="J135" s="1">
        <f t="shared" si="267"/>
        <v>1</v>
      </c>
      <c r="K135" s="1">
        <f t="shared" si="267"/>
        <v>2</v>
      </c>
      <c r="L135" s="1">
        <f t="shared" ref="L135:O135" si="268">H135*L$1</f>
        <v>5700</v>
      </c>
      <c r="M135" s="1">
        <f t="shared" si="268"/>
        <v>8700</v>
      </c>
      <c r="N135" s="1">
        <f t="shared" si="268"/>
        <v>1780</v>
      </c>
      <c r="O135" s="1">
        <f t="shared" si="268"/>
        <v>5380</v>
      </c>
      <c r="P135" s="1">
        <f t="shared" si="6"/>
        <v>21560</v>
      </c>
    </row>
    <row r="136">
      <c r="A136" s="5">
        <v>133.0</v>
      </c>
      <c r="B136" s="8">
        <f t="shared" si="3"/>
        <v>0.3910955237</v>
      </c>
      <c r="C136" s="1">
        <f t="shared" ref="C136:K136" si="269">IF(ISBLANK(C$2),"",C$1-_xlfn.FLOOR.MATH(C$1*(180-MIN(180,$A136))/180))</f>
        <v>12</v>
      </c>
      <c r="D136" s="4">
        <f t="shared" si="269"/>
        <v>5</v>
      </c>
      <c r="E136" s="1">
        <f t="shared" si="269"/>
        <v>3</v>
      </c>
      <c r="F136" s="1">
        <f t="shared" si="269"/>
        <v>2</v>
      </c>
      <c r="G136" s="10">
        <f t="shared" si="269"/>
        <v>5</v>
      </c>
      <c r="H136" s="1">
        <f t="shared" si="269"/>
        <v>3</v>
      </c>
      <c r="I136" s="1">
        <f t="shared" si="269"/>
        <v>3</v>
      </c>
      <c r="J136" s="1">
        <f t="shared" si="269"/>
        <v>1</v>
      </c>
      <c r="K136" s="1">
        <f t="shared" si="269"/>
        <v>2</v>
      </c>
      <c r="L136" s="1">
        <f t="shared" ref="L136:O136" si="270">H136*L$1</f>
        <v>5700</v>
      </c>
      <c r="M136" s="1">
        <f t="shared" si="270"/>
        <v>8700</v>
      </c>
      <c r="N136" s="1">
        <f t="shared" si="270"/>
        <v>1780</v>
      </c>
      <c r="O136" s="1">
        <f t="shared" si="270"/>
        <v>5380</v>
      </c>
      <c r="P136" s="1">
        <f t="shared" si="6"/>
        <v>21560</v>
      </c>
    </row>
    <row r="137">
      <c r="A137" s="5">
        <v>134.0</v>
      </c>
      <c r="B137" s="8">
        <f t="shared" si="3"/>
        <v>0.3872367328</v>
      </c>
      <c r="C137" s="1">
        <f t="shared" ref="C137:K137" si="271">IF(ISBLANK(C$2),"",C$1-_xlfn.FLOOR.MATH(C$1*(180-MIN(180,$A137))/180))</f>
        <v>12</v>
      </c>
      <c r="D137" s="4">
        <f t="shared" si="271"/>
        <v>5</v>
      </c>
      <c r="E137" s="1">
        <f t="shared" si="271"/>
        <v>3</v>
      </c>
      <c r="F137" s="1">
        <f t="shared" si="271"/>
        <v>2</v>
      </c>
      <c r="G137" s="10">
        <f t="shared" si="271"/>
        <v>5</v>
      </c>
      <c r="H137" s="1">
        <f t="shared" si="271"/>
        <v>3</v>
      </c>
      <c r="I137" s="1">
        <f t="shared" si="271"/>
        <v>3</v>
      </c>
      <c r="J137" s="1">
        <f t="shared" si="271"/>
        <v>1</v>
      </c>
      <c r="K137" s="1">
        <f t="shared" si="271"/>
        <v>2</v>
      </c>
      <c r="L137" s="1">
        <f t="shared" ref="L137:O137" si="272">H137*L$1</f>
        <v>5700</v>
      </c>
      <c r="M137" s="1">
        <f t="shared" si="272"/>
        <v>8700</v>
      </c>
      <c r="N137" s="1">
        <f t="shared" si="272"/>
        <v>1780</v>
      </c>
      <c r="O137" s="1">
        <f t="shared" si="272"/>
        <v>5380</v>
      </c>
      <c r="P137" s="1">
        <f t="shared" si="6"/>
        <v>21560</v>
      </c>
    </row>
    <row r="138">
      <c r="A138" s="5">
        <v>135.0</v>
      </c>
      <c r="B138" s="8">
        <f t="shared" si="3"/>
        <v>0.3836002089</v>
      </c>
      <c r="C138" s="1">
        <f t="shared" ref="C138:K138" si="273">IF(ISBLANK(C$2),"",C$1-_xlfn.FLOOR.MATH(C$1*(180-MIN(180,$A138))/180))</f>
        <v>12</v>
      </c>
      <c r="D138" s="4">
        <f t="shared" si="273"/>
        <v>5</v>
      </c>
      <c r="E138" s="1">
        <f t="shared" si="273"/>
        <v>3</v>
      </c>
      <c r="F138" s="1">
        <f t="shared" si="273"/>
        <v>2</v>
      </c>
      <c r="G138" s="10">
        <f t="shared" si="273"/>
        <v>5</v>
      </c>
      <c r="H138" s="1">
        <f t="shared" si="273"/>
        <v>3</v>
      </c>
      <c r="I138" s="1">
        <f t="shared" si="273"/>
        <v>3</v>
      </c>
      <c r="J138" s="1">
        <f t="shared" si="273"/>
        <v>1</v>
      </c>
      <c r="K138" s="1">
        <f t="shared" si="273"/>
        <v>2</v>
      </c>
      <c r="L138" s="1">
        <f t="shared" ref="L138:O138" si="274">H138*L$1</f>
        <v>5700</v>
      </c>
      <c r="M138" s="1">
        <f t="shared" si="274"/>
        <v>8700</v>
      </c>
      <c r="N138" s="1">
        <f t="shared" si="274"/>
        <v>1780</v>
      </c>
      <c r="O138" s="1">
        <f t="shared" si="274"/>
        <v>5380</v>
      </c>
      <c r="P138" s="1">
        <f t="shared" si="6"/>
        <v>21560</v>
      </c>
    </row>
    <row r="139">
      <c r="A139" s="5">
        <v>136.0</v>
      </c>
      <c r="B139" s="8">
        <f t="shared" si="3"/>
        <v>0.3801758116</v>
      </c>
      <c r="C139" s="1">
        <f t="shared" ref="C139:K139" si="275">IF(ISBLANK(C$2),"",C$1-_xlfn.FLOOR.MATH(C$1*(180-MIN(180,$A139))/180))</f>
        <v>13</v>
      </c>
      <c r="D139" s="4">
        <f t="shared" si="275"/>
        <v>5</v>
      </c>
      <c r="E139" s="1">
        <f t="shared" si="275"/>
        <v>3</v>
      </c>
      <c r="F139" s="1">
        <f t="shared" si="275"/>
        <v>2</v>
      </c>
      <c r="G139" s="10">
        <f t="shared" si="275"/>
        <v>5</v>
      </c>
      <c r="H139" s="1">
        <f t="shared" si="275"/>
        <v>4</v>
      </c>
      <c r="I139" s="1">
        <f t="shared" si="275"/>
        <v>3</v>
      </c>
      <c r="J139" s="1">
        <f t="shared" si="275"/>
        <v>1</v>
      </c>
      <c r="K139" s="1">
        <f t="shared" si="275"/>
        <v>2</v>
      </c>
      <c r="L139" s="1">
        <f t="shared" ref="L139:O139" si="276">H139*L$1</f>
        <v>7600</v>
      </c>
      <c r="M139" s="1">
        <f t="shared" si="276"/>
        <v>8700</v>
      </c>
      <c r="N139" s="1">
        <f t="shared" si="276"/>
        <v>1780</v>
      </c>
      <c r="O139" s="1">
        <f t="shared" si="276"/>
        <v>5380</v>
      </c>
      <c r="P139" s="1">
        <f t="shared" si="6"/>
        <v>23460</v>
      </c>
    </row>
    <row r="140">
      <c r="A140" s="5">
        <v>137.0</v>
      </c>
      <c r="B140" s="8">
        <f t="shared" si="3"/>
        <v>0.3769535264</v>
      </c>
      <c r="C140" s="1">
        <f t="shared" ref="C140:K140" si="277">IF(ISBLANK(C$2),"",C$1-_xlfn.FLOOR.MATH(C$1*(180-MIN(180,$A140))/180))</f>
        <v>13</v>
      </c>
      <c r="D140" s="4">
        <f t="shared" si="277"/>
        <v>5</v>
      </c>
      <c r="E140" s="1">
        <f t="shared" si="277"/>
        <v>3</v>
      </c>
      <c r="F140" s="1">
        <f t="shared" si="277"/>
        <v>2</v>
      </c>
      <c r="G140" s="10">
        <f t="shared" si="277"/>
        <v>5</v>
      </c>
      <c r="H140" s="1">
        <f t="shared" si="277"/>
        <v>4</v>
      </c>
      <c r="I140" s="1">
        <f t="shared" si="277"/>
        <v>3</v>
      </c>
      <c r="J140" s="1">
        <f t="shared" si="277"/>
        <v>1</v>
      </c>
      <c r="K140" s="1">
        <f t="shared" si="277"/>
        <v>2</v>
      </c>
      <c r="L140" s="1">
        <f t="shared" ref="L140:O140" si="278">H140*L$1</f>
        <v>7600</v>
      </c>
      <c r="M140" s="1">
        <f t="shared" si="278"/>
        <v>8700</v>
      </c>
      <c r="N140" s="1">
        <f t="shared" si="278"/>
        <v>1780</v>
      </c>
      <c r="O140" s="1">
        <f t="shared" si="278"/>
        <v>5380</v>
      </c>
      <c r="P140" s="1">
        <f t="shared" si="6"/>
        <v>23460</v>
      </c>
    </row>
    <row r="141">
      <c r="A141" s="5">
        <v>138.0</v>
      </c>
      <c r="B141" s="8">
        <f t="shared" si="3"/>
        <v>0.3739235116</v>
      </c>
      <c r="C141" s="1">
        <f t="shared" ref="C141:K141" si="279">IF(ISBLANK(C$2),"",C$1-_xlfn.FLOOR.MATH(C$1*(180-MIN(180,$A141))/180))</f>
        <v>13</v>
      </c>
      <c r="D141" s="4">
        <f t="shared" si="279"/>
        <v>5</v>
      </c>
      <c r="E141" s="1">
        <f t="shared" si="279"/>
        <v>3</v>
      </c>
      <c r="F141" s="1">
        <f t="shared" si="279"/>
        <v>2</v>
      </c>
      <c r="G141" s="10">
        <f t="shared" si="279"/>
        <v>5</v>
      </c>
      <c r="H141" s="1">
        <f t="shared" si="279"/>
        <v>4</v>
      </c>
      <c r="I141" s="1">
        <f t="shared" si="279"/>
        <v>3</v>
      </c>
      <c r="J141" s="1">
        <f t="shared" si="279"/>
        <v>1</v>
      </c>
      <c r="K141" s="1">
        <f t="shared" si="279"/>
        <v>2</v>
      </c>
      <c r="L141" s="1">
        <f t="shared" ref="L141:O141" si="280">H141*L$1</f>
        <v>7600</v>
      </c>
      <c r="M141" s="1">
        <f t="shared" si="280"/>
        <v>8700</v>
      </c>
      <c r="N141" s="1">
        <f t="shared" si="280"/>
        <v>1780</v>
      </c>
      <c r="O141" s="1">
        <f t="shared" si="280"/>
        <v>5380</v>
      </c>
      <c r="P141" s="1">
        <f t="shared" si="6"/>
        <v>23460</v>
      </c>
    </row>
    <row r="142">
      <c r="A142" s="5">
        <v>139.0</v>
      </c>
      <c r="B142" s="8">
        <f t="shared" si="3"/>
        <v>0.3710761393</v>
      </c>
      <c r="C142" s="1">
        <f t="shared" ref="C142:K142" si="281">IF(ISBLANK(C$2),"",C$1-_xlfn.FLOOR.MATH(C$1*(180-MIN(180,$A142))/180))</f>
        <v>13</v>
      </c>
      <c r="D142" s="4">
        <f t="shared" si="281"/>
        <v>5</v>
      </c>
      <c r="E142" s="1">
        <f t="shared" si="281"/>
        <v>3</v>
      </c>
      <c r="F142" s="1">
        <f t="shared" si="281"/>
        <v>2</v>
      </c>
      <c r="G142" s="10">
        <f t="shared" si="281"/>
        <v>5</v>
      </c>
      <c r="H142" s="1">
        <f t="shared" si="281"/>
        <v>4</v>
      </c>
      <c r="I142" s="1">
        <f t="shared" si="281"/>
        <v>3</v>
      </c>
      <c r="J142" s="1">
        <f t="shared" si="281"/>
        <v>1</v>
      </c>
      <c r="K142" s="1">
        <f t="shared" si="281"/>
        <v>2</v>
      </c>
      <c r="L142" s="1">
        <f t="shared" ref="L142:O142" si="282">H142*L$1</f>
        <v>7600</v>
      </c>
      <c r="M142" s="1">
        <f t="shared" si="282"/>
        <v>8700</v>
      </c>
      <c r="N142" s="1">
        <f t="shared" si="282"/>
        <v>1780</v>
      </c>
      <c r="O142" s="1">
        <f t="shared" si="282"/>
        <v>5380</v>
      </c>
      <c r="P142" s="1">
        <f t="shared" si="6"/>
        <v>23460</v>
      </c>
    </row>
    <row r="143">
      <c r="A143" s="5">
        <v>140.0</v>
      </c>
      <c r="B143" s="8">
        <f t="shared" si="3"/>
        <v>0.368402028</v>
      </c>
      <c r="C143" s="1">
        <f t="shared" ref="C143:K143" si="283">IF(ISBLANK(C$2),"",C$1-_xlfn.FLOOR.MATH(C$1*(180-MIN(180,$A143))/180))</f>
        <v>13</v>
      </c>
      <c r="D143" s="4">
        <f t="shared" si="283"/>
        <v>5</v>
      </c>
      <c r="E143" s="1">
        <f t="shared" si="283"/>
        <v>3</v>
      </c>
      <c r="F143" s="1">
        <f t="shared" si="283"/>
        <v>2</v>
      </c>
      <c r="G143" s="10">
        <f t="shared" si="283"/>
        <v>5</v>
      </c>
      <c r="H143" s="1">
        <f t="shared" si="283"/>
        <v>4</v>
      </c>
      <c r="I143" s="1">
        <f t="shared" si="283"/>
        <v>3</v>
      </c>
      <c r="J143" s="1">
        <f t="shared" si="283"/>
        <v>1</v>
      </c>
      <c r="K143" s="1">
        <f t="shared" si="283"/>
        <v>2</v>
      </c>
      <c r="L143" s="1">
        <f t="shared" ref="L143:O143" si="284">H143*L$1</f>
        <v>7600</v>
      </c>
      <c r="M143" s="1">
        <f t="shared" si="284"/>
        <v>8700</v>
      </c>
      <c r="N143" s="1">
        <f t="shared" si="284"/>
        <v>1780</v>
      </c>
      <c r="O143" s="1">
        <f t="shared" si="284"/>
        <v>5380</v>
      </c>
      <c r="P143" s="1">
        <f t="shared" si="6"/>
        <v>23460</v>
      </c>
    </row>
    <row r="144">
      <c r="A144" s="5">
        <v>141.0</v>
      </c>
      <c r="B144" s="8">
        <f t="shared" si="3"/>
        <v>0.3658920699</v>
      </c>
      <c r="C144" s="1">
        <f t="shared" ref="C144:K144" si="285">IF(ISBLANK(C$2),"",C$1-_xlfn.FLOOR.MATH(C$1*(180-MIN(180,$A144))/180))</f>
        <v>13</v>
      </c>
      <c r="D144" s="4">
        <f t="shared" si="285"/>
        <v>5</v>
      </c>
      <c r="E144" s="1">
        <f t="shared" si="285"/>
        <v>3</v>
      </c>
      <c r="F144" s="1">
        <f t="shared" si="285"/>
        <v>2</v>
      </c>
      <c r="G144" s="10">
        <f t="shared" si="285"/>
        <v>5</v>
      </c>
      <c r="H144" s="1">
        <f t="shared" si="285"/>
        <v>4</v>
      </c>
      <c r="I144" s="1">
        <f t="shared" si="285"/>
        <v>3</v>
      </c>
      <c r="J144" s="1">
        <f t="shared" si="285"/>
        <v>1</v>
      </c>
      <c r="K144" s="1">
        <f t="shared" si="285"/>
        <v>2</v>
      </c>
      <c r="L144" s="1">
        <f t="shared" ref="L144:O144" si="286">H144*L$1</f>
        <v>7600</v>
      </c>
      <c r="M144" s="1">
        <f t="shared" si="286"/>
        <v>8700</v>
      </c>
      <c r="N144" s="1">
        <f t="shared" si="286"/>
        <v>1780</v>
      </c>
      <c r="O144" s="1">
        <f t="shared" si="286"/>
        <v>5380</v>
      </c>
      <c r="P144" s="1">
        <f t="shared" si="6"/>
        <v>23460</v>
      </c>
    </row>
    <row r="145">
      <c r="A145" s="5">
        <v>142.0</v>
      </c>
      <c r="B145" s="8">
        <f t="shared" si="3"/>
        <v>0.3635374517</v>
      </c>
      <c r="C145" s="1">
        <f t="shared" ref="C145:K145" si="287">IF(ISBLANK(C$2),"",C$1-_xlfn.FLOOR.MATH(C$1*(180-MIN(180,$A145))/180))</f>
        <v>13</v>
      </c>
      <c r="D145" s="4">
        <f t="shared" si="287"/>
        <v>5</v>
      </c>
      <c r="E145" s="1">
        <f t="shared" si="287"/>
        <v>3</v>
      </c>
      <c r="F145" s="1">
        <f t="shared" si="287"/>
        <v>2</v>
      </c>
      <c r="G145" s="10">
        <f t="shared" si="287"/>
        <v>5</v>
      </c>
      <c r="H145" s="1">
        <f t="shared" si="287"/>
        <v>4</v>
      </c>
      <c r="I145" s="1">
        <f t="shared" si="287"/>
        <v>3</v>
      </c>
      <c r="J145" s="1">
        <f t="shared" si="287"/>
        <v>1</v>
      </c>
      <c r="K145" s="1">
        <f t="shared" si="287"/>
        <v>2</v>
      </c>
      <c r="L145" s="1">
        <f t="shared" ref="L145:O145" si="288">H145*L$1</f>
        <v>7600</v>
      </c>
      <c r="M145" s="1">
        <f t="shared" si="288"/>
        <v>8700</v>
      </c>
      <c r="N145" s="1">
        <f t="shared" si="288"/>
        <v>1780</v>
      </c>
      <c r="O145" s="1">
        <f t="shared" si="288"/>
        <v>5380</v>
      </c>
      <c r="P145" s="1">
        <f t="shared" si="6"/>
        <v>23460</v>
      </c>
    </row>
    <row r="146">
      <c r="A146" s="5">
        <v>143.0</v>
      </c>
      <c r="B146" s="8">
        <f t="shared" si="3"/>
        <v>0.361329671</v>
      </c>
      <c r="C146" s="1">
        <f t="shared" ref="C146:K146" si="289">IF(ISBLANK(C$2),"",C$1-_xlfn.FLOOR.MATH(C$1*(180-MIN(180,$A146))/180))</f>
        <v>13</v>
      </c>
      <c r="D146" s="4">
        <f t="shared" si="289"/>
        <v>5</v>
      </c>
      <c r="E146" s="1">
        <f t="shared" si="289"/>
        <v>3</v>
      </c>
      <c r="F146" s="1">
        <f t="shared" si="289"/>
        <v>2</v>
      </c>
      <c r="G146" s="10">
        <f t="shared" si="289"/>
        <v>5</v>
      </c>
      <c r="H146" s="1">
        <f t="shared" si="289"/>
        <v>4</v>
      </c>
      <c r="I146" s="1">
        <f t="shared" si="289"/>
        <v>3</v>
      </c>
      <c r="J146" s="1">
        <f t="shared" si="289"/>
        <v>1</v>
      </c>
      <c r="K146" s="1">
        <f t="shared" si="289"/>
        <v>2</v>
      </c>
      <c r="L146" s="1">
        <f t="shared" ref="L146:O146" si="290">H146*L$1</f>
        <v>7600</v>
      </c>
      <c r="M146" s="1">
        <f t="shared" si="290"/>
        <v>8700</v>
      </c>
      <c r="N146" s="1">
        <f t="shared" si="290"/>
        <v>1780</v>
      </c>
      <c r="O146" s="1">
        <f t="shared" si="290"/>
        <v>5380</v>
      </c>
      <c r="P146" s="1">
        <f t="shared" si="6"/>
        <v>23460</v>
      </c>
    </row>
    <row r="147">
      <c r="A147" s="5">
        <v>144.0</v>
      </c>
      <c r="B147" s="8">
        <f t="shared" si="3"/>
        <v>0.3592605474</v>
      </c>
      <c r="C147" s="1">
        <f t="shared" ref="C147:K147" si="291">IF(ISBLANK(C$2),"",C$1-_xlfn.FLOOR.MATH(C$1*(180-MIN(180,$A147))/180))</f>
        <v>13</v>
      </c>
      <c r="D147" s="4">
        <f t="shared" si="291"/>
        <v>5</v>
      </c>
      <c r="E147" s="1">
        <f t="shared" si="291"/>
        <v>3</v>
      </c>
      <c r="F147" s="1">
        <f t="shared" si="291"/>
        <v>2</v>
      </c>
      <c r="G147" s="10">
        <f t="shared" si="291"/>
        <v>5</v>
      </c>
      <c r="H147" s="1">
        <f t="shared" si="291"/>
        <v>4</v>
      </c>
      <c r="I147" s="1">
        <f t="shared" si="291"/>
        <v>3</v>
      </c>
      <c r="J147" s="1">
        <f t="shared" si="291"/>
        <v>1</v>
      </c>
      <c r="K147" s="1">
        <f t="shared" si="291"/>
        <v>2</v>
      </c>
      <c r="L147" s="1">
        <f t="shared" ref="L147:O147" si="292">H147*L$1</f>
        <v>7600</v>
      </c>
      <c r="M147" s="1">
        <f t="shared" si="292"/>
        <v>8700</v>
      </c>
      <c r="N147" s="1">
        <f t="shared" si="292"/>
        <v>1780</v>
      </c>
      <c r="O147" s="1">
        <f t="shared" si="292"/>
        <v>5380</v>
      </c>
      <c r="P147" s="1">
        <f t="shared" si="6"/>
        <v>23460</v>
      </c>
    </row>
    <row r="148">
      <c r="A148" s="5">
        <v>145.0</v>
      </c>
      <c r="B148" s="8">
        <f t="shared" si="3"/>
        <v>0.3573222302</v>
      </c>
      <c r="C148" s="1">
        <f t="shared" ref="C148:K148" si="293">IF(ISBLANK(C$2),"",C$1-_xlfn.FLOOR.MATH(C$1*(180-MIN(180,$A148))/180))</f>
        <v>13</v>
      </c>
      <c r="D148" s="4">
        <f t="shared" si="293"/>
        <v>5</v>
      </c>
      <c r="E148" s="1">
        <f t="shared" si="293"/>
        <v>3</v>
      </c>
      <c r="F148" s="1">
        <f t="shared" si="293"/>
        <v>2</v>
      </c>
      <c r="G148" s="10">
        <f t="shared" si="293"/>
        <v>5</v>
      </c>
      <c r="H148" s="1">
        <f t="shared" si="293"/>
        <v>4</v>
      </c>
      <c r="I148" s="1">
        <f t="shared" si="293"/>
        <v>3</v>
      </c>
      <c r="J148" s="1">
        <f t="shared" si="293"/>
        <v>1</v>
      </c>
      <c r="K148" s="1">
        <f t="shared" si="293"/>
        <v>2</v>
      </c>
      <c r="L148" s="1">
        <f t="shared" ref="L148:O148" si="294">H148*L$1</f>
        <v>7600</v>
      </c>
      <c r="M148" s="1">
        <f t="shared" si="294"/>
        <v>8700</v>
      </c>
      <c r="N148" s="1">
        <f t="shared" si="294"/>
        <v>1780</v>
      </c>
      <c r="O148" s="1">
        <f t="shared" si="294"/>
        <v>5380</v>
      </c>
      <c r="P148" s="1">
        <f t="shared" si="6"/>
        <v>23460</v>
      </c>
    </row>
    <row r="149">
      <c r="A149" s="5">
        <v>146.0</v>
      </c>
      <c r="B149" s="8">
        <f t="shared" si="3"/>
        <v>0.3555072021</v>
      </c>
      <c r="C149" s="1">
        <f t="shared" ref="C149:K149" si="295">IF(ISBLANK(C$2),"",C$1-_xlfn.FLOOR.MATH(C$1*(180-MIN(180,$A149))/180))</f>
        <v>13</v>
      </c>
      <c r="D149" s="4">
        <f t="shared" si="295"/>
        <v>5</v>
      </c>
      <c r="E149" s="1">
        <f t="shared" si="295"/>
        <v>3</v>
      </c>
      <c r="F149" s="1">
        <f t="shared" si="295"/>
        <v>2</v>
      </c>
      <c r="G149" s="10">
        <f t="shared" si="295"/>
        <v>5</v>
      </c>
      <c r="H149" s="1">
        <f t="shared" si="295"/>
        <v>4</v>
      </c>
      <c r="I149" s="1">
        <f t="shared" si="295"/>
        <v>3</v>
      </c>
      <c r="J149" s="1">
        <f t="shared" si="295"/>
        <v>1</v>
      </c>
      <c r="K149" s="1">
        <f t="shared" si="295"/>
        <v>2</v>
      </c>
      <c r="L149" s="1">
        <f t="shared" ref="L149:O149" si="296">H149*L$1</f>
        <v>7600</v>
      </c>
      <c r="M149" s="1">
        <f t="shared" si="296"/>
        <v>8700</v>
      </c>
      <c r="N149" s="1">
        <f t="shared" si="296"/>
        <v>1780</v>
      </c>
      <c r="O149" s="1">
        <f t="shared" si="296"/>
        <v>5380</v>
      </c>
      <c r="P149" s="1">
        <f t="shared" si="6"/>
        <v>23460</v>
      </c>
    </row>
    <row r="150">
      <c r="A150" s="5">
        <v>147.0</v>
      </c>
      <c r="B150" s="8">
        <f t="shared" si="3"/>
        <v>0.3538082805</v>
      </c>
      <c r="C150" s="1">
        <f t="shared" ref="C150:K150" si="297">IF(ISBLANK(C$2),"",C$1-_xlfn.FLOOR.MATH(C$1*(180-MIN(180,$A150))/180))</f>
        <v>14</v>
      </c>
      <c r="D150" s="4">
        <f t="shared" si="297"/>
        <v>5</v>
      </c>
      <c r="E150" s="1">
        <f t="shared" si="297"/>
        <v>3</v>
      </c>
      <c r="F150" s="1">
        <f t="shared" si="297"/>
        <v>2</v>
      </c>
      <c r="G150" s="10">
        <f t="shared" si="297"/>
        <v>5</v>
      </c>
      <c r="H150" s="1">
        <f t="shared" si="297"/>
        <v>4</v>
      </c>
      <c r="I150" s="1">
        <f t="shared" si="297"/>
        <v>3</v>
      </c>
      <c r="J150" s="1">
        <f t="shared" si="297"/>
        <v>1</v>
      </c>
      <c r="K150" s="1">
        <f t="shared" si="297"/>
        <v>2</v>
      </c>
      <c r="L150" s="1">
        <f t="shared" ref="L150:O150" si="298">H150*L$1</f>
        <v>7600</v>
      </c>
      <c r="M150" s="1">
        <f t="shared" si="298"/>
        <v>8700</v>
      </c>
      <c r="N150" s="1">
        <f t="shared" si="298"/>
        <v>1780</v>
      </c>
      <c r="O150" s="1">
        <f t="shared" si="298"/>
        <v>5380</v>
      </c>
      <c r="P150" s="1">
        <f t="shared" si="6"/>
        <v>23460</v>
      </c>
    </row>
    <row r="151">
      <c r="A151" s="5">
        <v>148.0</v>
      </c>
      <c r="B151" s="8">
        <f t="shared" si="3"/>
        <v>0.3522186154</v>
      </c>
      <c r="C151" s="1">
        <f t="shared" ref="C151:K151" si="299">IF(ISBLANK(C$2),"",C$1-_xlfn.FLOOR.MATH(C$1*(180-MIN(180,$A151))/180))</f>
        <v>14</v>
      </c>
      <c r="D151" s="4">
        <f t="shared" si="299"/>
        <v>5</v>
      </c>
      <c r="E151" s="1">
        <f t="shared" si="299"/>
        <v>3</v>
      </c>
      <c r="F151" s="1">
        <f t="shared" si="299"/>
        <v>2</v>
      </c>
      <c r="G151" s="10">
        <f t="shared" si="299"/>
        <v>5</v>
      </c>
      <c r="H151" s="1">
        <f t="shared" si="299"/>
        <v>4</v>
      </c>
      <c r="I151" s="1">
        <f t="shared" si="299"/>
        <v>3</v>
      </c>
      <c r="J151" s="1">
        <f t="shared" si="299"/>
        <v>1</v>
      </c>
      <c r="K151" s="1">
        <f t="shared" si="299"/>
        <v>2</v>
      </c>
      <c r="L151" s="1">
        <f t="shared" ref="L151:O151" si="300">H151*L$1</f>
        <v>7600</v>
      </c>
      <c r="M151" s="1">
        <f t="shared" si="300"/>
        <v>8700</v>
      </c>
      <c r="N151" s="1">
        <f t="shared" si="300"/>
        <v>1780</v>
      </c>
      <c r="O151" s="1">
        <f t="shared" si="300"/>
        <v>5380</v>
      </c>
      <c r="P151" s="1">
        <f t="shared" si="6"/>
        <v>23460</v>
      </c>
    </row>
    <row r="152">
      <c r="A152" s="5">
        <v>149.0</v>
      </c>
      <c r="B152" s="8">
        <f t="shared" si="3"/>
        <v>0.3507316861</v>
      </c>
      <c r="C152" s="1">
        <f t="shared" ref="C152:K152" si="301">IF(ISBLANK(C$2),"",C$1-_xlfn.FLOOR.MATH(C$1*(180-MIN(180,$A152))/180))</f>
        <v>14</v>
      </c>
      <c r="D152" s="4">
        <f t="shared" si="301"/>
        <v>5</v>
      </c>
      <c r="E152" s="1">
        <f t="shared" si="301"/>
        <v>3</v>
      </c>
      <c r="F152" s="1">
        <f t="shared" si="301"/>
        <v>2</v>
      </c>
      <c r="G152" s="10">
        <f t="shared" si="301"/>
        <v>5</v>
      </c>
      <c r="H152" s="1">
        <f t="shared" si="301"/>
        <v>4</v>
      </c>
      <c r="I152" s="1">
        <f t="shared" si="301"/>
        <v>3</v>
      </c>
      <c r="J152" s="1">
        <f t="shared" si="301"/>
        <v>1</v>
      </c>
      <c r="K152" s="1">
        <f t="shared" si="301"/>
        <v>2</v>
      </c>
      <c r="L152" s="1">
        <f t="shared" ref="L152:O152" si="302">H152*L$1</f>
        <v>7600</v>
      </c>
      <c r="M152" s="1">
        <f t="shared" si="302"/>
        <v>8700</v>
      </c>
      <c r="N152" s="1">
        <f t="shared" si="302"/>
        <v>1780</v>
      </c>
      <c r="O152" s="1">
        <f t="shared" si="302"/>
        <v>5380</v>
      </c>
      <c r="P152" s="1">
        <f t="shared" si="6"/>
        <v>23460</v>
      </c>
    </row>
    <row r="153">
      <c r="A153" s="5">
        <v>150.0</v>
      </c>
      <c r="B153" s="8">
        <f t="shared" si="3"/>
        <v>0.3493412949</v>
      </c>
      <c r="C153" s="1">
        <f t="shared" ref="C153:K153" si="303">IF(ISBLANK(C$2),"",C$1-_xlfn.FLOOR.MATH(C$1*(180-MIN(180,$A153))/180))</f>
        <v>14</v>
      </c>
      <c r="D153" s="4">
        <f t="shared" si="303"/>
        <v>5</v>
      </c>
      <c r="E153" s="1">
        <f t="shared" si="303"/>
        <v>3</v>
      </c>
      <c r="F153" s="1">
        <f t="shared" si="303"/>
        <v>2</v>
      </c>
      <c r="G153" s="10">
        <f t="shared" si="303"/>
        <v>5</v>
      </c>
      <c r="H153" s="1">
        <f t="shared" si="303"/>
        <v>4</v>
      </c>
      <c r="I153" s="1">
        <f t="shared" si="303"/>
        <v>3</v>
      </c>
      <c r="J153" s="1">
        <f t="shared" si="303"/>
        <v>1</v>
      </c>
      <c r="K153" s="1">
        <f t="shared" si="303"/>
        <v>2</v>
      </c>
      <c r="L153" s="1">
        <f t="shared" ref="L153:O153" si="304">H153*L$1</f>
        <v>7600</v>
      </c>
      <c r="M153" s="1">
        <f t="shared" si="304"/>
        <v>8700</v>
      </c>
      <c r="N153" s="1">
        <f t="shared" si="304"/>
        <v>1780</v>
      </c>
      <c r="O153" s="1">
        <f t="shared" si="304"/>
        <v>5380</v>
      </c>
      <c r="P153" s="1">
        <f t="shared" si="6"/>
        <v>23460</v>
      </c>
    </row>
    <row r="154">
      <c r="A154" s="5">
        <v>151.0</v>
      </c>
      <c r="B154" s="8">
        <f t="shared" si="3"/>
        <v>0.3480415606</v>
      </c>
      <c r="C154" s="1">
        <f t="shared" ref="C154:K154" si="305">IF(ISBLANK(C$2),"",C$1-_xlfn.FLOOR.MATH(C$1*(180-MIN(180,$A154))/180))</f>
        <v>14</v>
      </c>
      <c r="D154" s="4">
        <f t="shared" si="305"/>
        <v>6</v>
      </c>
      <c r="E154" s="1">
        <f t="shared" si="305"/>
        <v>3</v>
      </c>
      <c r="F154" s="1">
        <f t="shared" si="305"/>
        <v>2</v>
      </c>
      <c r="G154" s="10">
        <f t="shared" si="305"/>
        <v>6</v>
      </c>
      <c r="H154" s="1">
        <f t="shared" si="305"/>
        <v>4</v>
      </c>
      <c r="I154" s="1">
        <f t="shared" si="305"/>
        <v>3</v>
      </c>
      <c r="J154" s="1">
        <f t="shared" si="305"/>
        <v>1</v>
      </c>
      <c r="K154" s="1">
        <f t="shared" si="305"/>
        <v>2</v>
      </c>
      <c r="L154" s="1">
        <f t="shared" ref="L154:O154" si="306">H154*L$1</f>
        <v>7600</v>
      </c>
      <c r="M154" s="1">
        <f t="shared" si="306"/>
        <v>8700</v>
      </c>
      <c r="N154" s="1">
        <f t="shared" si="306"/>
        <v>1780</v>
      </c>
      <c r="O154" s="1">
        <f t="shared" si="306"/>
        <v>5380</v>
      </c>
      <c r="P154" s="1">
        <f t="shared" si="6"/>
        <v>23460</v>
      </c>
    </row>
    <row r="155">
      <c r="A155" s="5">
        <v>152.0</v>
      </c>
      <c r="B155" s="8">
        <f t="shared" si="3"/>
        <v>0.3468269095</v>
      </c>
      <c r="C155" s="1">
        <f t="shared" ref="C155:K155" si="307">IF(ISBLANK(C$2),"",C$1-_xlfn.FLOOR.MATH(C$1*(180-MIN(180,$A155))/180))</f>
        <v>14</v>
      </c>
      <c r="D155" s="4">
        <f t="shared" si="307"/>
        <v>6</v>
      </c>
      <c r="E155" s="1">
        <f t="shared" si="307"/>
        <v>3</v>
      </c>
      <c r="F155" s="1">
        <f t="shared" si="307"/>
        <v>2</v>
      </c>
      <c r="G155" s="10">
        <f t="shared" si="307"/>
        <v>6</v>
      </c>
      <c r="H155" s="1">
        <f t="shared" si="307"/>
        <v>4</v>
      </c>
      <c r="I155" s="1">
        <f t="shared" si="307"/>
        <v>3</v>
      </c>
      <c r="J155" s="1">
        <f t="shared" si="307"/>
        <v>1</v>
      </c>
      <c r="K155" s="1">
        <f t="shared" si="307"/>
        <v>2</v>
      </c>
      <c r="L155" s="1">
        <f t="shared" ref="L155:O155" si="308">H155*L$1</f>
        <v>7600</v>
      </c>
      <c r="M155" s="1">
        <f t="shared" si="308"/>
        <v>8700</v>
      </c>
      <c r="N155" s="1">
        <f t="shared" si="308"/>
        <v>1780</v>
      </c>
      <c r="O155" s="1">
        <f t="shared" si="308"/>
        <v>5380</v>
      </c>
      <c r="P155" s="1">
        <f t="shared" si="6"/>
        <v>23460</v>
      </c>
    </row>
    <row r="156">
      <c r="A156" s="5">
        <v>153.0</v>
      </c>
      <c r="B156" s="8">
        <f t="shared" si="3"/>
        <v>0.3456920668</v>
      </c>
      <c r="C156" s="1">
        <f t="shared" ref="C156:K156" si="309">IF(ISBLANK(C$2),"",C$1-_xlfn.FLOOR.MATH(C$1*(180-MIN(180,$A156))/180))</f>
        <v>14</v>
      </c>
      <c r="D156" s="4">
        <f t="shared" si="309"/>
        <v>6</v>
      </c>
      <c r="E156" s="1">
        <f t="shared" si="309"/>
        <v>3</v>
      </c>
      <c r="F156" s="1">
        <f t="shared" si="309"/>
        <v>2</v>
      </c>
      <c r="G156" s="10">
        <f t="shared" si="309"/>
        <v>6</v>
      </c>
      <c r="H156" s="1">
        <f t="shared" si="309"/>
        <v>4</v>
      </c>
      <c r="I156" s="1">
        <f t="shared" si="309"/>
        <v>3</v>
      </c>
      <c r="J156" s="1">
        <f t="shared" si="309"/>
        <v>1</v>
      </c>
      <c r="K156" s="1">
        <f t="shared" si="309"/>
        <v>2</v>
      </c>
      <c r="L156" s="1">
        <f t="shared" ref="L156:O156" si="310">H156*L$1</f>
        <v>7600</v>
      </c>
      <c r="M156" s="1">
        <f t="shared" si="310"/>
        <v>8700</v>
      </c>
      <c r="N156" s="1">
        <f t="shared" si="310"/>
        <v>1780</v>
      </c>
      <c r="O156" s="1">
        <f t="shared" si="310"/>
        <v>5380</v>
      </c>
      <c r="P156" s="1">
        <f t="shared" si="6"/>
        <v>23460</v>
      </c>
    </row>
    <row r="157">
      <c r="A157" s="5">
        <v>154.0</v>
      </c>
      <c r="B157" s="8">
        <f t="shared" si="3"/>
        <v>0.3446320458</v>
      </c>
      <c r="C157" s="1">
        <f t="shared" ref="C157:K157" si="311">IF(ISBLANK(C$2),"",C$1-_xlfn.FLOOR.MATH(C$1*(180-MIN(180,$A157))/180))</f>
        <v>14</v>
      </c>
      <c r="D157" s="4">
        <f t="shared" si="311"/>
        <v>6</v>
      </c>
      <c r="E157" s="1">
        <f t="shared" si="311"/>
        <v>3</v>
      </c>
      <c r="F157" s="1">
        <f t="shared" si="311"/>
        <v>2</v>
      </c>
      <c r="G157" s="10">
        <f t="shared" si="311"/>
        <v>6</v>
      </c>
      <c r="H157" s="1">
        <f t="shared" si="311"/>
        <v>4</v>
      </c>
      <c r="I157" s="1">
        <f t="shared" si="311"/>
        <v>3</v>
      </c>
      <c r="J157" s="1">
        <f t="shared" si="311"/>
        <v>1</v>
      </c>
      <c r="K157" s="1">
        <f t="shared" si="311"/>
        <v>2</v>
      </c>
      <c r="L157" s="1">
        <f t="shared" ref="L157:O157" si="312">H157*L$1</f>
        <v>7600</v>
      </c>
      <c r="M157" s="1">
        <f t="shared" si="312"/>
        <v>8700</v>
      </c>
      <c r="N157" s="1">
        <f t="shared" si="312"/>
        <v>1780</v>
      </c>
      <c r="O157" s="1">
        <f t="shared" si="312"/>
        <v>5380</v>
      </c>
      <c r="P157" s="1">
        <f t="shared" si="6"/>
        <v>23460</v>
      </c>
    </row>
    <row r="158">
      <c r="A158" s="5">
        <v>155.0</v>
      </c>
      <c r="B158" s="8">
        <f t="shared" si="3"/>
        <v>0.3436421377</v>
      </c>
      <c r="C158" s="1">
        <f t="shared" ref="C158:K158" si="313">IF(ISBLANK(C$2),"",C$1-_xlfn.FLOOR.MATH(C$1*(180-MIN(180,$A158))/180))</f>
        <v>14</v>
      </c>
      <c r="D158" s="4">
        <f t="shared" si="313"/>
        <v>6</v>
      </c>
      <c r="E158" s="1">
        <f t="shared" si="313"/>
        <v>3</v>
      </c>
      <c r="F158" s="1">
        <f t="shared" si="313"/>
        <v>2</v>
      </c>
      <c r="G158" s="10">
        <f t="shared" si="313"/>
        <v>6</v>
      </c>
      <c r="H158" s="1">
        <f t="shared" si="313"/>
        <v>4</v>
      </c>
      <c r="I158" s="1">
        <f t="shared" si="313"/>
        <v>3</v>
      </c>
      <c r="J158" s="1">
        <f t="shared" si="313"/>
        <v>1</v>
      </c>
      <c r="K158" s="1">
        <f t="shared" si="313"/>
        <v>2</v>
      </c>
      <c r="L158" s="1">
        <f t="shared" ref="L158:O158" si="314">H158*L$1</f>
        <v>7600</v>
      </c>
      <c r="M158" s="1">
        <f t="shared" si="314"/>
        <v>8700</v>
      </c>
      <c r="N158" s="1">
        <f t="shared" si="314"/>
        <v>1780</v>
      </c>
      <c r="O158" s="1">
        <f t="shared" si="314"/>
        <v>5380</v>
      </c>
      <c r="P158" s="1">
        <f t="shared" si="6"/>
        <v>23460</v>
      </c>
    </row>
    <row r="159">
      <c r="A159" s="5">
        <v>156.0</v>
      </c>
      <c r="B159" s="8">
        <f t="shared" si="3"/>
        <v>0.3427179007</v>
      </c>
      <c r="C159" s="1">
        <f t="shared" ref="C159:K159" si="315">IF(ISBLANK(C$2),"",C$1-_xlfn.FLOOR.MATH(C$1*(180-MIN(180,$A159))/180))</f>
        <v>14</v>
      </c>
      <c r="D159" s="4">
        <f t="shared" si="315"/>
        <v>6</v>
      </c>
      <c r="E159" s="1">
        <f t="shared" si="315"/>
        <v>3</v>
      </c>
      <c r="F159" s="1">
        <f t="shared" si="315"/>
        <v>2</v>
      </c>
      <c r="G159" s="10">
        <f t="shared" si="315"/>
        <v>6</v>
      </c>
      <c r="H159" s="1">
        <f t="shared" si="315"/>
        <v>4</v>
      </c>
      <c r="I159" s="1">
        <f t="shared" si="315"/>
        <v>3</v>
      </c>
      <c r="J159" s="1">
        <f t="shared" si="315"/>
        <v>1</v>
      </c>
      <c r="K159" s="1">
        <f t="shared" si="315"/>
        <v>2</v>
      </c>
      <c r="L159" s="1">
        <f t="shared" ref="L159:O159" si="316">H159*L$1</f>
        <v>7600</v>
      </c>
      <c r="M159" s="1">
        <f t="shared" si="316"/>
        <v>8700</v>
      </c>
      <c r="N159" s="1">
        <f t="shared" si="316"/>
        <v>1780</v>
      </c>
      <c r="O159" s="1">
        <f t="shared" si="316"/>
        <v>5380</v>
      </c>
      <c r="P159" s="1">
        <f t="shared" si="6"/>
        <v>23460</v>
      </c>
    </row>
    <row r="160">
      <c r="A160" s="5">
        <v>157.0</v>
      </c>
      <c r="B160" s="8">
        <f t="shared" si="3"/>
        <v>0.3418551485</v>
      </c>
      <c r="C160" s="1">
        <f t="shared" ref="C160:K160" si="317">IF(ISBLANK(C$2),"",C$1-_xlfn.FLOOR.MATH(C$1*(180-MIN(180,$A160))/180))</f>
        <v>14</v>
      </c>
      <c r="D160" s="4">
        <f t="shared" si="317"/>
        <v>6</v>
      </c>
      <c r="E160" s="1">
        <f t="shared" si="317"/>
        <v>3</v>
      </c>
      <c r="F160" s="1">
        <f t="shared" si="317"/>
        <v>2</v>
      </c>
      <c r="G160" s="10">
        <f t="shared" si="317"/>
        <v>6</v>
      </c>
      <c r="H160" s="1">
        <f t="shared" si="317"/>
        <v>4</v>
      </c>
      <c r="I160" s="1">
        <f t="shared" si="317"/>
        <v>3</v>
      </c>
      <c r="J160" s="1">
        <f t="shared" si="317"/>
        <v>1</v>
      </c>
      <c r="K160" s="1">
        <f t="shared" si="317"/>
        <v>2</v>
      </c>
      <c r="L160" s="1">
        <f t="shared" ref="L160:O160" si="318">H160*L$1</f>
        <v>7600</v>
      </c>
      <c r="M160" s="1">
        <f t="shared" si="318"/>
        <v>8700</v>
      </c>
      <c r="N160" s="1">
        <f t="shared" si="318"/>
        <v>1780</v>
      </c>
      <c r="O160" s="1">
        <f t="shared" si="318"/>
        <v>5380</v>
      </c>
      <c r="P160" s="1">
        <f t="shared" si="6"/>
        <v>23460</v>
      </c>
    </row>
    <row r="161">
      <c r="A161" s="5">
        <v>158.0</v>
      </c>
      <c r="B161" s="8">
        <f t="shared" si="3"/>
        <v>0.3410499395</v>
      </c>
      <c r="C161" s="1">
        <f t="shared" ref="C161:K161" si="319">IF(ISBLANK(C$2),"",C$1-_xlfn.FLOOR.MATH(C$1*(180-MIN(180,$A161))/180))</f>
        <v>15</v>
      </c>
      <c r="D161" s="4">
        <f t="shared" si="319"/>
        <v>6</v>
      </c>
      <c r="E161" s="1">
        <f t="shared" si="319"/>
        <v>3</v>
      </c>
      <c r="F161" s="1">
        <f t="shared" si="319"/>
        <v>2</v>
      </c>
      <c r="G161" s="10">
        <f t="shared" si="319"/>
        <v>6</v>
      </c>
      <c r="H161" s="1">
        <f t="shared" si="319"/>
        <v>4</v>
      </c>
      <c r="I161" s="1">
        <f t="shared" si="319"/>
        <v>3</v>
      </c>
      <c r="J161" s="1">
        <f t="shared" si="319"/>
        <v>1</v>
      </c>
      <c r="K161" s="1">
        <f t="shared" si="319"/>
        <v>2</v>
      </c>
      <c r="L161" s="1">
        <f t="shared" ref="L161:O161" si="320">H161*L$1</f>
        <v>7600</v>
      </c>
      <c r="M161" s="1">
        <f t="shared" si="320"/>
        <v>8700</v>
      </c>
      <c r="N161" s="1">
        <f t="shared" si="320"/>
        <v>1780</v>
      </c>
      <c r="O161" s="1">
        <f t="shared" si="320"/>
        <v>5380</v>
      </c>
      <c r="P161" s="1">
        <f t="shared" si="6"/>
        <v>23460</v>
      </c>
    </row>
    <row r="162">
      <c r="A162" s="5">
        <v>159.0</v>
      </c>
      <c r="B162" s="8">
        <f t="shared" si="3"/>
        <v>0.340298565</v>
      </c>
      <c r="C162" s="1">
        <f t="shared" ref="C162:K162" si="321">IF(ISBLANK(C$2),"",C$1-_xlfn.FLOOR.MATH(C$1*(180-MIN(180,$A162))/180))</f>
        <v>15</v>
      </c>
      <c r="D162" s="4">
        <f t="shared" si="321"/>
        <v>6</v>
      </c>
      <c r="E162" s="1">
        <f t="shared" si="321"/>
        <v>3</v>
      </c>
      <c r="F162" s="1">
        <f t="shared" si="321"/>
        <v>2</v>
      </c>
      <c r="G162" s="10">
        <f t="shared" si="321"/>
        <v>6</v>
      </c>
      <c r="H162" s="1">
        <f t="shared" si="321"/>
        <v>4</v>
      </c>
      <c r="I162" s="1">
        <f t="shared" si="321"/>
        <v>3</v>
      </c>
      <c r="J162" s="1">
        <f t="shared" si="321"/>
        <v>1</v>
      </c>
      <c r="K162" s="1">
        <f t="shared" si="321"/>
        <v>2</v>
      </c>
      <c r="L162" s="1">
        <f t="shared" ref="L162:O162" si="322">H162*L$1</f>
        <v>7600</v>
      </c>
      <c r="M162" s="1">
        <f t="shared" si="322"/>
        <v>8700</v>
      </c>
      <c r="N162" s="1">
        <f t="shared" si="322"/>
        <v>1780</v>
      </c>
      <c r="O162" s="1">
        <f t="shared" si="322"/>
        <v>5380</v>
      </c>
      <c r="P162" s="1">
        <f t="shared" si="6"/>
        <v>23460</v>
      </c>
    </row>
    <row r="163">
      <c r="A163" s="5">
        <v>160.0</v>
      </c>
      <c r="B163" s="8">
        <f t="shared" si="3"/>
        <v>0.3395975383</v>
      </c>
      <c r="C163" s="1">
        <f t="shared" ref="C163:K163" si="323">IF(ISBLANK(C$2),"",C$1-_xlfn.FLOOR.MATH(C$1*(180-MIN(180,$A163))/180))</f>
        <v>15</v>
      </c>
      <c r="D163" s="4">
        <f t="shared" si="323"/>
        <v>6</v>
      </c>
      <c r="E163" s="1">
        <f t="shared" si="323"/>
        <v>3</v>
      </c>
      <c r="F163" s="1">
        <f t="shared" si="323"/>
        <v>2</v>
      </c>
      <c r="G163" s="10">
        <f t="shared" si="323"/>
        <v>6</v>
      </c>
      <c r="H163" s="1">
        <f t="shared" si="323"/>
        <v>4</v>
      </c>
      <c r="I163" s="1">
        <f t="shared" si="323"/>
        <v>3</v>
      </c>
      <c r="J163" s="1">
        <f t="shared" si="323"/>
        <v>1</v>
      </c>
      <c r="K163" s="1">
        <f t="shared" si="323"/>
        <v>2</v>
      </c>
      <c r="L163" s="1">
        <f t="shared" ref="L163:O163" si="324">H163*L$1</f>
        <v>7600</v>
      </c>
      <c r="M163" s="1">
        <f t="shared" si="324"/>
        <v>8700</v>
      </c>
      <c r="N163" s="1">
        <f t="shared" si="324"/>
        <v>1780</v>
      </c>
      <c r="O163" s="1">
        <f t="shared" si="324"/>
        <v>5380</v>
      </c>
      <c r="P163" s="1">
        <f t="shared" si="6"/>
        <v>23460</v>
      </c>
    </row>
    <row r="164">
      <c r="A164" s="5">
        <v>161.0</v>
      </c>
      <c r="B164" s="8">
        <f t="shared" si="3"/>
        <v>0.3389435838</v>
      </c>
      <c r="C164" s="1">
        <f t="shared" ref="C164:K164" si="325">IF(ISBLANK(C$2),"",C$1-_xlfn.FLOOR.MATH(C$1*(180-MIN(180,$A164))/180))</f>
        <v>15</v>
      </c>
      <c r="D164" s="4">
        <f t="shared" si="325"/>
        <v>6</v>
      </c>
      <c r="E164" s="1">
        <f t="shared" si="325"/>
        <v>3</v>
      </c>
      <c r="F164" s="1">
        <f t="shared" si="325"/>
        <v>2</v>
      </c>
      <c r="G164" s="10">
        <f t="shared" si="325"/>
        <v>6</v>
      </c>
      <c r="H164" s="1">
        <f t="shared" si="325"/>
        <v>4</v>
      </c>
      <c r="I164" s="1">
        <f t="shared" si="325"/>
        <v>3</v>
      </c>
      <c r="J164" s="1">
        <f t="shared" si="325"/>
        <v>1</v>
      </c>
      <c r="K164" s="1">
        <f t="shared" si="325"/>
        <v>2</v>
      </c>
      <c r="L164" s="1">
        <f t="shared" ref="L164:O164" si="326">H164*L$1</f>
        <v>7600</v>
      </c>
      <c r="M164" s="1">
        <f t="shared" si="326"/>
        <v>8700</v>
      </c>
      <c r="N164" s="1">
        <f t="shared" si="326"/>
        <v>1780</v>
      </c>
      <c r="O164" s="1">
        <f t="shared" si="326"/>
        <v>5380</v>
      </c>
      <c r="P164" s="1">
        <f t="shared" si="6"/>
        <v>23460</v>
      </c>
    </row>
    <row r="165">
      <c r="A165" s="5">
        <v>162.0</v>
      </c>
      <c r="B165" s="8">
        <f t="shared" si="3"/>
        <v>0.3383336261</v>
      </c>
      <c r="C165" s="1">
        <f t="shared" ref="C165:K165" si="327">IF(ISBLANK(C$2),"",C$1-_xlfn.FLOOR.MATH(C$1*(180-MIN(180,$A165))/180))</f>
        <v>15</v>
      </c>
      <c r="D165" s="4">
        <f t="shared" si="327"/>
        <v>6</v>
      </c>
      <c r="E165" s="1">
        <f t="shared" si="327"/>
        <v>3</v>
      </c>
      <c r="F165" s="1">
        <f t="shared" si="327"/>
        <v>2</v>
      </c>
      <c r="G165" s="10">
        <f t="shared" si="327"/>
        <v>6</v>
      </c>
      <c r="H165" s="1">
        <f t="shared" si="327"/>
        <v>4</v>
      </c>
      <c r="I165" s="1">
        <f t="shared" si="327"/>
        <v>3</v>
      </c>
      <c r="J165" s="1">
        <f t="shared" si="327"/>
        <v>1</v>
      </c>
      <c r="K165" s="1">
        <f t="shared" si="327"/>
        <v>2</v>
      </c>
      <c r="L165" s="1">
        <f t="shared" ref="L165:O165" si="328">H165*L$1</f>
        <v>7600</v>
      </c>
      <c r="M165" s="1">
        <f t="shared" si="328"/>
        <v>8700</v>
      </c>
      <c r="N165" s="1">
        <f t="shared" si="328"/>
        <v>1780</v>
      </c>
      <c r="O165" s="1">
        <f t="shared" si="328"/>
        <v>5380</v>
      </c>
      <c r="P165" s="1">
        <f t="shared" si="6"/>
        <v>23460</v>
      </c>
    </row>
    <row r="166">
      <c r="A166" s="5">
        <v>163.0</v>
      </c>
      <c r="B166" s="8">
        <f t="shared" si="3"/>
        <v>0.3377647791</v>
      </c>
      <c r="C166" s="1">
        <f t="shared" ref="C166:K166" si="329">IF(ISBLANK(C$2),"",C$1-_xlfn.FLOOR.MATH(C$1*(180-MIN(180,$A166))/180))</f>
        <v>15</v>
      </c>
      <c r="D166" s="4">
        <f t="shared" si="329"/>
        <v>6</v>
      </c>
      <c r="E166" s="1">
        <f t="shared" si="329"/>
        <v>3</v>
      </c>
      <c r="F166" s="1">
        <f t="shared" si="329"/>
        <v>2</v>
      </c>
      <c r="G166" s="10">
        <f t="shared" si="329"/>
        <v>6</v>
      </c>
      <c r="H166" s="1">
        <f t="shared" si="329"/>
        <v>4</v>
      </c>
      <c r="I166" s="1">
        <f t="shared" si="329"/>
        <v>3</v>
      </c>
      <c r="J166" s="1">
        <f t="shared" si="329"/>
        <v>1</v>
      </c>
      <c r="K166" s="1">
        <f t="shared" si="329"/>
        <v>2</v>
      </c>
      <c r="L166" s="1">
        <f t="shared" ref="L166:O166" si="330">H166*L$1</f>
        <v>7600</v>
      </c>
      <c r="M166" s="1">
        <f t="shared" si="330"/>
        <v>8700</v>
      </c>
      <c r="N166" s="1">
        <f t="shared" si="330"/>
        <v>1780</v>
      </c>
      <c r="O166" s="1">
        <f t="shared" si="330"/>
        <v>5380</v>
      </c>
      <c r="P166" s="1">
        <f t="shared" si="6"/>
        <v>23460</v>
      </c>
    </row>
    <row r="167">
      <c r="A167" s="5">
        <v>164.0</v>
      </c>
      <c r="B167" s="8">
        <f t="shared" si="3"/>
        <v>0.3372343367</v>
      </c>
      <c r="C167" s="1">
        <f t="shared" ref="C167:K167" si="331">IF(ISBLANK(C$2),"",C$1-_xlfn.FLOOR.MATH(C$1*(180-MIN(180,$A167))/180))</f>
        <v>15</v>
      </c>
      <c r="D167" s="4">
        <f t="shared" si="331"/>
        <v>6</v>
      </c>
      <c r="E167" s="1">
        <f t="shared" si="331"/>
        <v>3</v>
      </c>
      <c r="F167" s="1">
        <f t="shared" si="331"/>
        <v>2</v>
      </c>
      <c r="G167" s="10">
        <f t="shared" si="331"/>
        <v>6</v>
      </c>
      <c r="H167" s="1">
        <f t="shared" si="331"/>
        <v>4</v>
      </c>
      <c r="I167" s="1">
        <f t="shared" si="331"/>
        <v>3</v>
      </c>
      <c r="J167" s="1">
        <f t="shared" si="331"/>
        <v>1</v>
      </c>
      <c r="K167" s="1">
        <f t="shared" si="331"/>
        <v>2</v>
      </c>
      <c r="L167" s="1">
        <f t="shared" ref="L167:O167" si="332">H167*L$1</f>
        <v>7600</v>
      </c>
      <c r="M167" s="1">
        <f t="shared" si="332"/>
        <v>8700</v>
      </c>
      <c r="N167" s="1">
        <f t="shared" si="332"/>
        <v>1780</v>
      </c>
      <c r="O167" s="1">
        <f t="shared" si="332"/>
        <v>5380</v>
      </c>
      <c r="P167" s="1">
        <f t="shared" si="6"/>
        <v>23460</v>
      </c>
    </row>
    <row r="168">
      <c r="A168" s="5">
        <v>165.0</v>
      </c>
      <c r="B168" s="8">
        <f t="shared" si="3"/>
        <v>0.3367397621</v>
      </c>
      <c r="C168" s="1">
        <f t="shared" ref="C168:K168" si="333">IF(ISBLANK(C$2),"",C$1-_xlfn.FLOOR.MATH(C$1*(180-MIN(180,$A168))/180))</f>
        <v>15</v>
      </c>
      <c r="D168" s="4">
        <f t="shared" si="333"/>
        <v>6</v>
      </c>
      <c r="E168" s="1">
        <f t="shared" si="333"/>
        <v>3</v>
      </c>
      <c r="F168" s="1">
        <f t="shared" si="333"/>
        <v>2</v>
      </c>
      <c r="G168" s="10">
        <f t="shared" si="333"/>
        <v>6</v>
      </c>
      <c r="H168" s="1">
        <f t="shared" si="333"/>
        <v>4</v>
      </c>
      <c r="I168" s="1">
        <f t="shared" si="333"/>
        <v>3</v>
      </c>
      <c r="J168" s="1">
        <f t="shared" si="333"/>
        <v>1</v>
      </c>
      <c r="K168" s="1">
        <f t="shared" si="333"/>
        <v>2</v>
      </c>
      <c r="L168" s="1">
        <f t="shared" ref="L168:O168" si="334">H168*L$1</f>
        <v>7600</v>
      </c>
      <c r="M168" s="1">
        <f t="shared" si="334"/>
        <v>8700</v>
      </c>
      <c r="N168" s="1">
        <f t="shared" si="334"/>
        <v>1780</v>
      </c>
      <c r="O168" s="1">
        <f t="shared" si="334"/>
        <v>5380</v>
      </c>
      <c r="P168" s="1">
        <f t="shared" si="6"/>
        <v>23460</v>
      </c>
    </row>
    <row r="169">
      <c r="A169" s="5">
        <v>166.0</v>
      </c>
      <c r="B169" s="8">
        <f t="shared" si="3"/>
        <v>0.3362786787</v>
      </c>
      <c r="C169" s="1">
        <f t="shared" ref="C169:K169" si="335">IF(ISBLANK(C$2),"",C$1-_xlfn.FLOOR.MATH(C$1*(180-MIN(180,$A169))/180))</f>
        <v>15</v>
      </c>
      <c r="D169" s="4">
        <f t="shared" si="335"/>
        <v>6</v>
      </c>
      <c r="E169" s="1">
        <f t="shared" si="335"/>
        <v>3</v>
      </c>
      <c r="F169" s="1">
        <f t="shared" si="335"/>
        <v>2</v>
      </c>
      <c r="G169" s="10">
        <f t="shared" si="335"/>
        <v>6</v>
      </c>
      <c r="H169" s="1">
        <f t="shared" si="335"/>
        <v>4</v>
      </c>
      <c r="I169" s="1">
        <f t="shared" si="335"/>
        <v>3</v>
      </c>
      <c r="J169" s="1">
        <f t="shared" si="335"/>
        <v>1</v>
      </c>
      <c r="K169" s="1">
        <f t="shared" si="335"/>
        <v>2</v>
      </c>
      <c r="L169" s="1">
        <f t="shared" ref="L169:O169" si="336">H169*L$1</f>
        <v>7600</v>
      </c>
      <c r="M169" s="1">
        <f t="shared" si="336"/>
        <v>8700</v>
      </c>
      <c r="N169" s="1">
        <f t="shared" si="336"/>
        <v>1780</v>
      </c>
      <c r="O169" s="1">
        <f t="shared" si="336"/>
        <v>5380</v>
      </c>
      <c r="P169" s="1">
        <f t="shared" si="6"/>
        <v>23460</v>
      </c>
    </row>
    <row r="170">
      <c r="A170" s="5">
        <v>167.0</v>
      </c>
      <c r="B170" s="8">
        <f t="shared" si="3"/>
        <v>0.335848861</v>
      </c>
      <c r="C170" s="1">
        <f t="shared" ref="C170:K170" si="337">IF(ISBLANK(C$2),"",C$1-_xlfn.FLOOR.MATH(C$1*(180-MIN(180,$A170))/180))</f>
        <v>15</v>
      </c>
      <c r="D170" s="4">
        <f t="shared" si="337"/>
        <v>6</v>
      </c>
      <c r="E170" s="1">
        <f t="shared" si="337"/>
        <v>3</v>
      </c>
      <c r="F170" s="1">
        <f t="shared" si="337"/>
        <v>2</v>
      </c>
      <c r="G170" s="10">
        <f t="shared" si="337"/>
        <v>6</v>
      </c>
      <c r="H170" s="1">
        <f t="shared" si="337"/>
        <v>4</v>
      </c>
      <c r="I170" s="1">
        <f t="shared" si="337"/>
        <v>3</v>
      </c>
      <c r="J170" s="1">
        <f t="shared" si="337"/>
        <v>1</v>
      </c>
      <c r="K170" s="1">
        <f t="shared" si="337"/>
        <v>2</v>
      </c>
      <c r="L170" s="1">
        <f t="shared" ref="L170:O170" si="338">H170*L$1</f>
        <v>7600</v>
      </c>
      <c r="M170" s="1">
        <f t="shared" si="338"/>
        <v>8700</v>
      </c>
      <c r="N170" s="1">
        <f t="shared" si="338"/>
        <v>1780</v>
      </c>
      <c r="O170" s="1">
        <f t="shared" si="338"/>
        <v>5380</v>
      </c>
      <c r="P170" s="1">
        <f t="shared" si="6"/>
        <v>23460</v>
      </c>
    </row>
    <row r="171">
      <c r="A171" s="5">
        <v>168.0</v>
      </c>
      <c r="B171" s="8">
        <f t="shared" si="3"/>
        <v>0.3354482257</v>
      </c>
      <c r="C171" s="1">
        <f t="shared" ref="C171:K171" si="339">IF(ISBLANK(C$2),"",C$1-_xlfn.FLOOR.MATH(C$1*(180-MIN(180,$A171))/180))</f>
        <v>15</v>
      </c>
      <c r="D171" s="4">
        <f t="shared" si="339"/>
        <v>6</v>
      </c>
      <c r="E171" s="1">
        <f t="shared" si="339"/>
        <v>3</v>
      </c>
      <c r="F171" s="1">
        <f t="shared" si="339"/>
        <v>2</v>
      </c>
      <c r="G171" s="10">
        <f t="shared" si="339"/>
        <v>6</v>
      </c>
      <c r="H171" s="1">
        <f t="shared" si="339"/>
        <v>4</v>
      </c>
      <c r="I171" s="1">
        <f t="shared" si="339"/>
        <v>3</v>
      </c>
      <c r="J171" s="1">
        <f t="shared" si="339"/>
        <v>1</v>
      </c>
      <c r="K171" s="1">
        <f t="shared" si="339"/>
        <v>2</v>
      </c>
      <c r="L171" s="1">
        <f t="shared" ref="L171:O171" si="340">H171*L$1</f>
        <v>7600</v>
      </c>
      <c r="M171" s="1">
        <f t="shared" si="340"/>
        <v>8700</v>
      </c>
      <c r="N171" s="1">
        <f t="shared" si="340"/>
        <v>1780</v>
      </c>
      <c r="O171" s="1">
        <f t="shared" si="340"/>
        <v>5380</v>
      </c>
      <c r="P171" s="1">
        <f t="shared" si="6"/>
        <v>23460</v>
      </c>
    </row>
    <row r="172">
      <c r="A172" s="5">
        <v>169.0</v>
      </c>
      <c r="B172" s="8">
        <f t="shared" si="3"/>
        <v>0.3350748234</v>
      </c>
      <c r="C172" s="1">
        <f t="shared" ref="C172:K172" si="341">IF(ISBLANK(C$2),"",C$1-_xlfn.FLOOR.MATH(C$1*(180-MIN(180,$A172))/180))</f>
        <v>16</v>
      </c>
      <c r="D172" s="4">
        <f t="shared" si="341"/>
        <v>6</v>
      </c>
      <c r="E172" s="1">
        <f t="shared" si="341"/>
        <v>3</v>
      </c>
      <c r="F172" s="1">
        <f t="shared" si="341"/>
        <v>2</v>
      </c>
      <c r="G172" s="10">
        <f t="shared" si="341"/>
        <v>6</v>
      </c>
      <c r="H172" s="1">
        <f t="shared" si="341"/>
        <v>4</v>
      </c>
      <c r="I172" s="1">
        <f t="shared" si="341"/>
        <v>3</v>
      </c>
      <c r="J172" s="1">
        <f t="shared" si="341"/>
        <v>1</v>
      </c>
      <c r="K172" s="1">
        <f t="shared" si="341"/>
        <v>2</v>
      </c>
      <c r="L172" s="1">
        <f t="shared" ref="L172:O172" si="342">H172*L$1</f>
        <v>7600</v>
      </c>
      <c r="M172" s="1">
        <f t="shared" si="342"/>
        <v>8700</v>
      </c>
      <c r="N172" s="1">
        <f t="shared" si="342"/>
        <v>1780</v>
      </c>
      <c r="O172" s="1">
        <f t="shared" si="342"/>
        <v>5380</v>
      </c>
      <c r="P172" s="1">
        <f t="shared" si="6"/>
        <v>23460</v>
      </c>
    </row>
    <row r="173">
      <c r="A173" s="5">
        <v>170.0</v>
      </c>
      <c r="B173" s="8">
        <f t="shared" si="3"/>
        <v>0.3347268307</v>
      </c>
      <c r="C173" s="1">
        <f t="shared" ref="C173:K173" si="343">IF(ISBLANK(C$2),"",C$1-_xlfn.FLOOR.MATH(C$1*(180-MIN(180,$A173))/180))</f>
        <v>16</v>
      </c>
      <c r="D173" s="4">
        <f t="shared" si="343"/>
        <v>6</v>
      </c>
      <c r="E173" s="1">
        <f t="shared" si="343"/>
        <v>3</v>
      </c>
      <c r="F173" s="1">
        <f t="shared" si="343"/>
        <v>2</v>
      </c>
      <c r="G173" s="10">
        <f t="shared" si="343"/>
        <v>6</v>
      </c>
      <c r="H173" s="1">
        <f t="shared" si="343"/>
        <v>4</v>
      </c>
      <c r="I173" s="1">
        <f t="shared" si="343"/>
        <v>3</v>
      </c>
      <c r="J173" s="1">
        <f t="shared" si="343"/>
        <v>1</v>
      </c>
      <c r="K173" s="1">
        <f t="shared" si="343"/>
        <v>2</v>
      </c>
      <c r="L173" s="1">
        <f t="shared" ref="L173:O173" si="344">H173*L$1</f>
        <v>7600</v>
      </c>
      <c r="M173" s="1">
        <f t="shared" si="344"/>
        <v>8700</v>
      </c>
      <c r="N173" s="1">
        <f t="shared" si="344"/>
        <v>1780</v>
      </c>
      <c r="O173" s="1">
        <f t="shared" si="344"/>
        <v>5380</v>
      </c>
      <c r="P173" s="1">
        <f t="shared" si="6"/>
        <v>23460</v>
      </c>
    </row>
    <row r="174">
      <c r="A174" s="5">
        <v>171.0</v>
      </c>
      <c r="B174" s="8">
        <f t="shared" si="3"/>
        <v>0.3344025427</v>
      </c>
      <c r="C174" s="1">
        <f t="shared" ref="C174:K174" si="345">IF(ISBLANK(C$2),"",C$1-_xlfn.FLOOR.MATH(C$1*(180-MIN(180,$A174))/180))</f>
        <v>16</v>
      </c>
      <c r="D174" s="4">
        <f t="shared" si="345"/>
        <v>6</v>
      </c>
      <c r="E174" s="1">
        <f t="shared" si="345"/>
        <v>3</v>
      </c>
      <c r="F174" s="1">
        <f t="shared" si="345"/>
        <v>2</v>
      </c>
      <c r="G174" s="10">
        <f t="shared" si="345"/>
        <v>6</v>
      </c>
      <c r="H174" s="1">
        <f t="shared" si="345"/>
        <v>4</v>
      </c>
      <c r="I174" s="1">
        <f t="shared" si="345"/>
        <v>3</v>
      </c>
      <c r="J174" s="1">
        <f t="shared" si="345"/>
        <v>1</v>
      </c>
      <c r="K174" s="1">
        <f t="shared" si="345"/>
        <v>2</v>
      </c>
      <c r="L174" s="1">
        <f t="shared" ref="L174:O174" si="346">H174*L$1</f>
        <v>7600</v>
      </c>
      <c r="M174" s="1">
        <f t="shared" si="346"/>
        <v>8700</v>
      </c>
      <c r="N174" s="1">
        <f t="shared" si="346"/>
        <v>1780</v>
      </c>
      <c r="O174" s="1">
        <f t="shared" si="346"/>
        <v>5380</v>
      </c>
      <c r="P174" s="1">
        <f t="shared" si="6"/>
        <v>23460</v>
      </c>
    </row>
    <row r="175">
      <c r="A175" s="5">
        <v>172.0</v>
      </c>
      <c r="B175" s="8">
        <f t="shared" si="3"/>
        <v>0.3341003657</v>
      </c>
      <c r="C175" s="1">
        <f t="shared" ref="C175:K175" si="347">IF(ISBLANK(C$2),"",C$1-_xlfn.FLOOR.MATH(C$1*(180-MIN(180,$A175))/180))</f>
        <v>16</v>
      </c>
      <c r="D175" s="4">
        <f t="shared" si="347"/>
        <v>6</v>
      </c>
      <c r="E175" s="1">
        <f t="shared" si="347"/>
        <v>3</v>
      </c>
      <c r="F175" s="1">
        <f t="shared" si="347"/>
        <v>2</v>
      </c>
      <c r="G175" s="10">
        <f t="shared" si="347"/>
        <v>6</v>
      </c>
      <c r="H175" s="1">
        <f t="shared" si="347"/>
        <v>4</v>
      </c>
      <c r="I175" s="1">
        <f t="shared" si="347"/>
        <v>3</v>
      </c>
      <c r="J175" s="1">
        <f t="shared" si="347"/>
        <v>1</v>
      </c>
      <c r="K175" s="1">
        <f t="shared" si="347"/>
        <v>2</v>
      </c>
      <c r="L175" s="1">
        <f t="shared" ref="L175:O175" si="348">H175*L$1</f>
        <v>7600</v>
      </c>
      <c r="M175" s="1">
        <f t="shared" si="348"/>
        <v>8700</v>
      </c>
      <c r="N175" s="1">
        <f t="shared" si="348"/>
        <v>1780</v>
      </c>
      <c r="O175" s="1">
        <f t="shared" si="348"/>
        <v>5380</v>
      </c>
      <c r="P175" s="1">
        <f t="shared" si="6"/>
        <v>23460</v>
      </c>
    </row>
    <row r="176">
      <c r="A176" s="5">
        <v>173.0</v>
      </c>
      <c r="B176" s="8">
        <f t="shared" si="3"/>
        <v>0.3338188101</v>
      </c>
      <c r="C176" s="1">
        <f t="shared" ref="C176:K176" si="349">IF(ISBLANK(C$2),"",C$1-_xlfn.FLOOR.MATH(C$1*(180-MIN(180,$A176))/180))</f>
        <v>16</v>
      </c>
      <c r="D176" s="4">
        <f t="shared" si="349"/>
        <v>6</v>
      </c>
      <c r="E176" s="1">
        <f t="shared" si="349"/>
        <v>3</v>
      </c>
      <c r="F176" s="1">
        <f t="shared" si="349"/>
        <v>2</v>
      </c>
      <c r="G176" s="10">
        <f t="shared" si="349"/>
        <v>6</v>
      </c>
      <c r="H176" s="1">
        <f t="shared" si="349"/>
        <v>4</v>
      </c>
      <c r="I176" s="1">
        <f t="shared" si="349"/>
        <v>3</v>
      </c>
      <c r="J176" s="1">
        <f t="shared" si="349"/>
        <v>1</v>
      </c>
      <c r="K176" s="1">
        <f t="shared" si="349"/>
        <v>2</v>
      </c>
      <c r="L176" s="1">
        <f t="shared" ref="L176:O176" si="350">H176*L$1</f>
        <v>7600</v>
      </c>
      <c r="M176" s="1">
        <f t="shared" si="350"/>
        <v>8700</v>
      </c>
      <c r="N176" s="1">
        <f t="shared" si="350"/>
        <v>1780</v>
      </c>
      <c r="O176" s="1">
        <f t="shared" si="350"/>
        <v>5380</v>
      </c>
      <c r="P176" s="1">
        <f t="shared" si="6"/>
        <v>23460</v>
      </c>
    </row>
    <row r="177">
      <c r="A177" s="5">
        <v>174.0</v>
      </c>
      <c r="B177" s="8">
        <f t="shared" si="3"/>
        <v>0.3335564846</v>
      </c>
      <c r="C177" s="1">
        <f t="shared" ref="C177:K177" si="351">IF(ISBLANK(C$2),"",C$1-_xlfn.FLOOR.MATH(C$1*(180-MIN(180,$A177))/180))</f>
        <v>16</v>
      </c>
      <c r="D177" s="4">
        <f t="shared" si="351"/>
        <v>6</v>
      </c>
      <c r="E177" s="1">
        <f t="shared" si="351"/>
        <v>3</v>
      </c>
      <c r="F177" s="1">
        <f t="shared" si="351"/>
        <v>2</v>
      </c>
      <c r="G177" s="10">
        <f t="shared" si="351"/>
        <v>6</v>
      </c>
      <c r="H177" s="1">
        <f t="shared" si="351"/>
        <v>4</v>
      </c>
      <c r="I177" s="1">
        <f t="shared" si="351"/>
        <v>3</v>
      </c>
      <c r="J177" s="1">
        <f t="shared" si="351"/>
        <v>1</v>
      </c>
      <c r="K177" s="1">
        <f t="shared" si="351"/>
        <v>2</v>
      </c>
      <c r="L177" s="1">
        <f t="shared" ref="L177:O177" si="352">H177*L$1</f>
        <v>7600</v>
      </c>
      <c r="M177" s="1">
        <f t="shared" si="352"/>
        <v>8700</v>
      </c>
      <c r="N177" s="1">
        <f t="shared" si="352"/>
        <v>1780</v>
      </c>
      <c r="O177" s="1">
        <f t="shared" si="352"/>
        <v>5380</v>
      </c>
      <c r="P177" s="1">
        <f t="shared" si="6"/>
        <v>23460</v>
      </c>
    </row>
    <row r="178">
      <c r="A178" s="5">
        <v>175.0</v>
      </c>
      <c r="B178" s="8">
        <f t="shared" si="3"/>
        <v>0.3333120894</v>
      </c>
      <c r="C178" s="1">
        <f t="shared" ref="C178:K178" si="353">IF(ISBLANK(C$2),"",C$1-_xlfn.FLOOR.MATH(C$1*(180-MIN(180,$A178))/180))</f>
        <v>16</v>
      </c>
      <c r="D178" s="4">
        <f t="shared" si="353"/>
        <v>6</v>
      </c>
      <c r="E178" s="1">
        <f t="shared" si="353"/>
        <v>3</v>
      </c>
      <c r="F178" s="1">
        <f t="shared" si="353"/>
        <v>2</v>
      </c>
      <c r="G178" s="10">
        <f t="shared" si="353"/>
        <v>6</v>
      </c>
      <c r="H178" s="1">
        <f t="shared" si="353"/>
        <v>4</v>
      </c>
      <c r="I178" s="1">
        <f t="shared" si="353"/>
        <v>3</v>
      </c>
      <c r="J178" s="1">
        <f t="shared" si="353"/>
        <v>1</v>
      </c>
      <c r="K178" s="1">
        <f t="shared" si="353"/>
        <v>2</v>
      </c>
      <c r="L178" s="1">
        <f t="shared" ref="L178:O178" si="354">H178*L$1</f>
        <v>7600</v>
      </c>
      <c r="M178" s="1">
        <f t="shared" si="354"/>
        <v>8700</v>
      </c>
      <c r="N178" s="1">
        <f t="shared" si="354"/>
        <v>1780</v>
      </c>
      <c r="O178" s="1">
        <f t="shared" si="354"/>
        <v>5380</v>
      </c>
      <c r="P178" s="1">
        <f t="shared" si="6"/>
        <v>23460</v>
      </c>
    </row>
    <row r="179">
      <c r="A179" s="5">
        <v>176.0</v>
      </c>
      <c r="B179" s="8">
        <f t="shared" si="3"/>
        <v>0.3330844109</v>
      </c>
      <c r="C179" s="1">
        <f t="shared" ref="C179:K179" si="355">IF(ISBLANK(C$2),"",C$1-_xlfn.FLOOR.MATH(C$1*(180-MIN(180,$A179))/180))</f>
        <v>16</v>
      </c>
      <c r="D179" s="4">
        <f t="shared" si="355"/>
        <v>6</v>
      </c>
      <c r="E179" s="1">
        <f t="shared" si="355"/>
        <v>3</v>
      </c>
      <c r="F179" s="1">
        <f t="shared" si="355"/>
        <v>2</v>
      </c>
      <c r="G179" s="10">
        <f t="shared" si="355"/>
        <v>6</v>
      </c>
      <c r="H179" s="1">
        <f t="shared" si="355"/>
        <v>4</v>
      </c>
      <c r="I179" s="1">
        <f t="shared" si="355"/>
        <v>3</v>
      </c>
      <c r="J179" s="1">
        <f t="shared" si="355"/>
        <v>1</v>
      </c>
      <c r="K179" s="1">
        <f t="shared" si="355"/>
        <v>2</v>
      </c>
      <c r="L179" s="1">
        <f t="shared" ref="L179:O179" si="356">H179*L$1</f>
        <v>7600</v>
      </c>
      <c r="M179" s="1">
        <f t="shared" si="356"/>
        <v>8700</v>
      </c>
      <c r="N179" s="1">
        <f t="shared" si="356"/>
        <v>1780</v>
      </c>
      <c r="O179" s="1">
        <f t="shared" si="356"/>
        <v>5380</v>
      </c>
      <c r="P179" s="1">
        <f t="shared" si="6"/>
        <v>23460</v>
      </c>
    </row>
    <row r="180">
      <c r="A180" s="5">
        <v>177.0</v>
      </c>
      <c r="B180" s="8">
        <f t="shared" si="3"/>
        <v>0.332872316</v>
      </c>
      <c r="C180" s="1">
        <f t="shared" ref="C180:K180" si="357">IF(ISBLANK(C$2),"",C$1-_xlfn.FLOOR.MATH(C$1*(180-MIN(180,$A180))/180))</f>
        <v>16</v>
      </c>
      <c r="D180" s="4">
        <f t="shared" si="357"/>
        <v>6</v>
      </c>
      <c r="E180" s="1">
        <f t="shared" si="357"/>
        <v>3</v>
      </c>
      <c r="F180" s="1">
        <f t="shared" si="357"/>
        <v>2</v>
      </c>
      <c r="G180" s="10">
        <f t="shared" si="357"/>
        <v>6</v>
      </c>
      <c r="H180" s="1">
        <f t="shared" si="357"/>
        <v>4</v>
      </c>
      <c r="I180" s="1">
        <f t="shared" si="357"/>
        <v>3</v>
      </c>
      <c r="J180" s="1">
        <f t="shared" si="357"/>
        <v>1</v>
      </c>
      <c r="K180" s="1">
        <f t="shared" si="357"/>
        <v>2</v>
      </c>
      <c r="L180" s="1">
        <f t="shared" ref="L180:O180" si="358">H180*L$1</f>
        <v>7600</v>
      </c>
      <c r="M180" s="1">
        <f t="shared" si="358"/>
        <v>8700</v>
      </c>
      <c r="N180" s="1">
        <f t="shared" si="358"/>
        <v>1780</v>
      </c>
      <c r="O180" s="1">
        <f t="shared" si="358"/>
        <v>5380</v>
      </c>
      <c r="P180" s="1">
        <f t="shared" si="6"/>
        <v>23460</v>
      </c>
    </row>
    <row r="181">
      <c r="A181" s="5">
        <v>178.0</v>
      </c>
      <c r="B181" s="8">
        <f t="shared" si="3"/>
        <v>0.3326747469</v>
      </c>
      <c r="C181" s="1">
        <f t="shared" ref="C181:K181" si="359">IF(ISBLANK(C$2),"",C$1-_xlfn.FLOOR.MATH(C$1*(180-MIN(180,$A181))/180))</f>
        <v>16</v>
      </c>
      <c r="D181" s="4">
        <f t="shared" si="359"/>
        <v>6</v>
      </c>
      <c r="E181" s="1">
        <f t="shared" si="359"/>
        <v>3</v>
      </c>
      <c r="F181" s="1">
        <f t="shared" si="359"/>
        <v>2</v>
      </c>
      <c r="G181" s="10">
        <f t="shared" si="359"/>
        <v>6</v>
      </c>
      <c r="H181" s="1">
        <f t="shared" si="359"/>
        <v>4</v>
      </c>
      <c r="I181" s="1">
        <f t="shared" si="359"/>
        <v>3</v>
      </c>
      <c r="J181" s="1">
        <f t="shared" si="359"/>
        <v>1</v>
      </c>
      <c r="K181" s="1">
        <f t="shared" si="359"/>
        <v>2</v>
      </c>
      <c r="L181" s="1">
        <f t="shared" ref="L181:O181" si="360">H181*L$1</f>
        <v>7600</v>
      </c>
      <c r="M181" s="1">
        <f t="shared" si="360"/>
        <v>8700</v>
      </c>
      <c r="N181" s="1">
        <f t="shared" si="360"/>
        <v>1780</v>
      </c>
      <c r="O181" s="1">
        <f t="shared" si="360"/>
        <v>5380</v>
      </c>
      <c r="P181" s="1">
        <f t="shared" si="6"/>
        <v>23460</v>
      </c>
    </row>
    <row r="182">
      <c r="A182" s="5">
        <v>179.0</v>
      </c>
      <c r="B182" s="8">
        <f t="shared" si="3"/>
        <v>0.3324907167</v>
      </c>
      <c r="C182" s="1">
        <f t="shared" ref="C182:K182" si="361">IF(ISBLANK(C$2),"",C$1-_xlfn.FLOOR.MATH(C$1*(180-MIN(180,$A182))/180))</f>
        <v>16</v>
      </c>
      <c r="D182" s="4">
        <f t="shared" si="361"/>
        <v>6</v>
      </c>
      <c r="E182" s="1">
        <f t="shared" si="361"/>
        <v>3</v>
      </c>
      <c r="F182" s="1">
        <f t="shared" si="361"/>
        <v>2</v>
      </c>
      <c r="G182" s="10">
        <f t="shared" si="361"/>
        <v>6</v>
      </c>
      <c r="H182" s="1">
        <f t="shared" si="361"/>
        <v>4</v>
      </c>
      <c r="I182" s="1">
        <f t="shared" si="361"/>
        <v>3</v>
      </c>
      <c r="J182" s="1">
        <f t="shared" si="361"/>
        <v>1</v>
      </c>
      <c r="K182" s="1">
        <f t="shared" si="361"/>
        <v>2</v>
      </c>
      <c r="L182" s="1">
        <f t="shared" ref="L182:O182" si="362">H182*L$1</f>
        <v>7600</v>
      </c>
      <c r="M182" s="1">
        <f t="shared" si="362"/>
        <v>8700</v>
      </c>
      <c r="N182" s="1">
        <f t="shared" si="362"/>
        <v>1780</v>
      </c>
      <c r="O182" s="1">
        <f t="shared" si="362"/>
        <v>5380</v>
      </c>
      <c r="P182" s="1">
        <f t="shared" si="6"/>
        <v>23460</v>
      </c>
    </row>
    <row r="183">
      <c r="A183" s="5">
        <v>180.0</v>
      </c>
      <c r="B183" s="8">
        <f t="shared" si="3"/>
        <v>0.3323193043</v>
      </c>
      <c r="C183" s="1">
        <f t="shared" ref="C183:K183" si="363">IF(ISBLANK(C$2),"",C$1-_xlfn.FLOOR.MATH(C$1*(180-MIN(180,$A183))/180))</f>
        <v>16</v>
      </c>
      <c r="D183" s="4">
        <f t="shared" si="363"/>
        <v>6</v>
      </c>
      <c r="E183" s="1">
        <f t="shared" si="363"/>
        <v>3</v>
      </c>
      <c r="F183" s="1">
        <f t="shared" si="363"/>
        <v>2</v>
      </c>
      <c r="G183" s="10">
        <f t="shared" si="363"/>
        <v>6</v>
      </c>
      <c r="H183" s="1">
        <f t="shared" si="363"/>
        <v>4</v>
      </c>
      <c r="I183" s="1">
        <f t="shared" si="363"/>
        <v>3</v>
      </c>
      <c r="J183" s="1">
        <f t="shared" si="363"/>
        <v>1</v>
      </c>
      <c r="K183" s="1">
        <f t="shared" si="363"/>
        <v>2</v>
      </c>
      <c r="L183" s="1">
        <f t="shared" ref="L183:O183" si="364">H183*L$1</f>
        <v>7600</v>
      </c>
      <c r="M183" s="1">
        <f t="shared" si="364"/>
        <v>8700</v>
      </c>
      <c r="N183" s="1">
        <f t="shared" si="364"/>
        <v>1780</v>
      </c>
      <c r="O183" s="1">
        <f t="shared" si="364"/>
        <v>5380</v>
      </c>
      <c r="P183" s="1">
        <f t="shared" si="6"/>
        <v>23460</v>
      </c>
    </row>
    <row r="184">
      <c r="D184" s="4"/>
      <c r="G184" s="10"/>
    </row>
    <row r="185">
      <c r="D185" s="4"/>
      <c r="G185" s="10"/>
    </row>
    <row r="186">
      <c r="D186" s="4"/>
      <c r="G186" s="10"/>
    </row>
    <row r="187">
      <c r="D187" s="4"/>
      <c r="G187" s="10"/>
    </row>
    <row r="188">
      <c r="D188" s="4"/>
      <c r="G188" s="10"/>
    </row>
    <row r="189">
      <c r="D189" s="4"/>
      <c r="G189" s="10"/>
    </row>
    <row r="190">
      <c r="D190" s="4"/>
      <c r="G190" s="10"/>
    </row>
    <row r="191">
      <c r="D191" s="4"/>
      <c r="G191" s="10"/>
    </row>
    <row r="192">
      <c r="D192" s="4"/>
      <c r="G192" s="10"/>
    </row>
    <row r="193">
      <c r="D193" s="4"/>
      <c r="G193" s="10"/>
    </row>
    <row r="194">
      <c r="D194" s="4"/>
      <c r="G194" s="10"/>
    </row>
    <row r="195">
      <c r="D195" s="4"/>
      <c r="G195" s="10"/>
    </row>
    <row r="196">
      <c r="D196" s="4"/>
      <c r="G196" s="10"/>
    </row>
    <row r="197">
      <c r="D197" s="4"/>
      <c r="G197" s="10"/>
    </row>
    <row r="198">
      <c r="D198" s="4"/>
      <c r="G198" s="10"/>
    </row>
    <row r="199">
      <c r="D199" s="4"/>
      <c r="G199" s="10"/>
    </row>
    <row r="200">
      <c r="D200" s="4"/>
      <c r="G200" s="10"/>
    </row>
    <row r="201">
      <c r="D201" s="4"/>
      <c r="G201" s="10"/>
    </row>
    <row r="202">
      <c r="D202" s="4"/>
      <c r="G202" s="10"/>
    </row>
    <row r="203">
      <c r="D203" s="4"/>
      <c r="G203" s="10"/>
    </row>
    <row r="204">
      <c r="D204" s="4"/>
      <c r="G204" s="10"/>
    </row>
    <row r="205">
      <c r="D205" s="4"/>
      <c r="G205" s="10"/>
    </row>
    <row r="206">
      <c r="D206" s="4"/>
      <c r="G206" s="10"/>
    </row>
    <row r="207">
      <c r="D207" s="4"/>
      <c r="G207" s="10"/>
    </row>
    <row r="208">
      <c r="D208" s="4"/>
      <c r="G208" s="10"/>
    </row>
    <row r="209">
      <c r="D209" s="4"/>
      <c r="G209" s="10"/>
    </row>
    <row r="210">
      <c r="D210" s="4"/>
      <c r="G210" s="10"/>
    </row>
    <row r="211">
      <c r="D211" s="4"/>
      <c r="G211" s="10"/>
    </row>
    <row r="212">
      <c r="D212" s="4"/>
      <c r="G212" s="10"/>
    </row>
    <row r="213">
      <c r="D213" s="4"/>
      <c r="G213" s="10"/>
    </row>
    <row r="214">
      <c r="D214" s="4"/>
      <c r="G214" s="10"/>
    </row>
    <row r="215">
      <c r="D215" s="4"/>
      <c r="G215" s="10"/>
    </row>
    <row r="216">
      <c r="D216" s="4"/>
      <c r="G216" s="10"/>
    </row>
    <row r="217">
      <c r="D217" s="4"/>
      <c r="G217" s="10"/>
    </row>
    <row r="218">
      <c r="D218" s="4"/>
      <c r="G218" s="10"/>
    </row>
    <row r="219">
      <c r="D219" s="4"/>
      <c r="G219" s="10"/>
    </row>
    <row r="220">
      <c r="D220" s="4"/>
      <c r="G220" s="10"/>
    </row>
    <row r="221">
      <c r="D221" s="4"/>
      <c r="G221" s="10"/>
    </row>
    <row r="222">
      <c r="D222" s="4"/>
      <c r="G222" s="10"/>
    </row>
    <row r="223">
      <c r="D223" s="4"/>
      <c r="G223" s="10"/>
    </row>
    <row r="224">
      <c r="D224" s="4"/>
      <c r="G224" s="10"/>
    </row>
    <row r="225">
      <c r="D225" s="4"/>
      <c r="G225" s="10"/>
    </row>
    <row r="226">
      <c r="D226" s="4"/>
      <c r="G226" s="10"/>
    </row>
    <row r="227">
      <c r="D227" s="4"/>
      <c r="G227" s="10"/>
    </row>
    <row r="228">
      <c r="D228" s="4"/>
      <c r="G228" s="10"/>
    </row>
    <row r="229">
      <c r="D229" s="4"/>
      <c r="G229" s="10"/>
    </row>
    <row r="230">
      <c r="D230" s="4"/>
      <c r="G230" s="10"/>
    </row>
    <row r="231">
      <c r="D231" s="4"/>
      <c r="G231" s="10"/>
    </row>
    <row r="232">
      <c r="D232" s="4"/>
      <c r="G232" s="10"/>
    </row>
    <row r="233">
      <c r="D233" s="4"/>
      <c r="G233" s="10"/>
    </row>
    <row r="234">
      <c r="D234" s="4"/>
      <c r="G234" s="10"/>
    </row>
    <row r="235">
      <c r="D235" s="4"/>
      <c r="G235" s="10"/>
    </row>
    <row r="236">
      <c r="D236" s="4"/>
      <c r="G236" s="10"/>
    </row>
    <row r="237">
      <c r="D237" s="4"/>
      <c r="G237" s="10"/>
    </row>
    <row r="238">
      <c r="D238" s="4"/>
      <c r="G238" s="10"/>
    </row>
    <row r="239">
      <c r="D239" s="4"/>
      <c r="G239" s="10"/>
    </row>
    <row r="240">
      <c r="D240" s="4"/>
      <c r="G240" s="10"/>
    </row>
    <row r="241">
      <c r="D241" s="4"/>
      <c r="G241" s="10"/>
    </row>
    <row r="242">
      <c r="D242" s="4"/>
      <c r="G242" s="10"/>
    </row>
    <row r="243">
      <c r="D243" s="4"/>
      <c r="G243" s="10"/>
    </row>
    <row r="244">
      <c r="D244" s="4"/>
      <c r="G244" s="10"/>
    </row>
    <row r="245">
      <c r="D245" s="4"/>
      <c r="G245" s="10"/>
    </row>
    <row r="246">
      <c r="D246" s="4"/>
      <c r="G246" s="10"/>
    </row>
    <row r="247">
      <c r="D247" s="4"/>
      <c r="G247" s="10"/>
    </row>
    <row r="248">
      <c r="D248" s="4"/>
      <c r="G248" s="10"/>
    </row>
    <row r="249">
      <c r="D249" s="4"/>
      <c r="G249" s="10"/>
    </row>
    <row r="250">
      <c r="D250" s="4"/>
      <c r="G250" s="10"/>
    </row>
    <row r="251">
      <c r="D251" s="4"/>
      <c r="G251" s="10"/>
    </row>
    <row r="252">
      <c r="D252" s="4"/>
      <c r="G252" s="10"/>
    </row>
    <row r="253">
      <c r="D253" s="4"/>
      <c r="G253" s="10"/>
    </row>
    <row r="254">
      <c r="D254" s="4"/>
      <c r="G254" s="10"/>
    </row>
    <row r="255">
      <c r="D255" s="4"/>
      <c r="G255" s="10"/>
    </row>
    <row r="256">
      <c r="D256" s="4"/>
      <c r="G256" s="10"/>
    </row>
    <row r="257">
      <c r="D257" s="4"/>
      <c r="G257" s="10"/>
    </row>
    <row r="258">
      <c r="D258" s="4"/>
      <c r="G258" s="10"/>
    </row>
    <row r="259">
      <c r="D259" s="4"/>
      <c r="G259" s="10"/>
    </row>
    <row r="260">
      <c r="D260" s="4"/>
      <c r="G260" s="10"/>
    </row>
    <row r="261">
      <c r="D261" s="4"/>
      <c r="G261" s="10"/>
    </row>
    <row r="262">
      <c r="D262" s="4"/>
      <c r="G262" s="10"/>
    </row>
    <row r="263">
      <c r="D263" s="4"/>
      <c r="G263" s="10"/>
    </row>
    <row r="264">
      <c r="D264" s="4"/>
      <c r="G264" s="10"/>
    </row>
    <row r="265">
      <c r="D265" s="4"/>
      <c r="G265" s="10"/>
    </row>
    <row r="266">
      <c r="D266" s="4"/>
      <c r="G266" s="10"/>
    </row>
    <row r="267">
      <c r="D267" s="4"/>
      <c r="G267" s="10"/>
    </row>
    <row r="268">
      <c r="D268" s="4"/>
      <c r="G268" s="10"/>
    </row>
    <row r="269">
      <c r="D269" s="4"/>
      <c r="G269" s="10"/>
    </row>
    <row r="270">
      <c r="D270" s="4"/>
      <c r="G270" s="10"/>
    </row>
    <row r="271">
      <c r="D271" s="4"/>
      <c r="G271" s="10"/>
    </row>
    <row r="272">
      <c r="D272" s="4"/>
      <c r="G272" s="10"/>
    </row>
    <row r="273">
      <c r="D273" s="4"/>
      <c r="G273" s="10"/>
    </row>
    <row r="274">
      <c r="D274" s="4"/>
      <c r="G274" s="10"/>
    </row>
    <row r="275">
      <c r="D275" s="4"/>
      <c r="G275" s="10"/>
    </row>
    <row r="276">
      <c r="D276" s="4"/>
      <c r="G276" s="10"/>
    </row>
    <row r="277">
      <c r="D277" s="4"/>
      <c r="G277" s="10"/>
    </row>
    <row r="278">
      <c r="D278" s="4"/>
      <c r="G278" s="10"/>
    </row>
    <row r="279">
      <c r="D279" s="4"/>
      <c r="G279" s="10"/>
    </row>
    <row r="280">
      <c r="D280" s="4"/>
      <c r="G280" s="10"/>
    </row>
    <row r="281">
      <c r="D281" s="4"/>
      <c r="G281" s="10"/>
    </row>
    <row r="282">
      <c r="D282" s="4"/>
      <c r="G282" s="10"/>
    </row>
    <row r="283">
      <c r="D283" s="4"/>
      <c r="G283" s="10"/>
    </row>
    <row r="284">
      <c r="D284" s="4"/>
      <c r="G284" s="10"/>
    </row>
    <row r="285">
      <c r="D285" s="4"/>
      <c r="G285" s="10"/>
    </row>
    <row r="286">
      <c r="D286" s="4"/>
      <c r="G286" s="10"/>
    </row>
    <row r="287">
      <c r="D287" s="4"/>
      <c r="G287" s="10"/>
    </row>
    <row r="288">
      <c r="D288" s="4"/>
      <c r="G288" s="10"/>
    </row>
    <row r="289">
      <c r="D289" s="4"/>
      <c r="G289" s="10"/>
    </row>
    <row r="290">
      <c r="D290" s="4"/>
      <c r="G290" s="10"/>
    </row>
    <row r="291">
      <c r="D291" s="4"/>
      <c r="G291" s="10"/>
    </row>
    <row r="292">
      <c r="D292" s="4"/>
      <c r="G292" s="10"/>
    </row>
    <row r="293">
      <c r="D293" s="4"/>
      <c r="G293" s="10"/>
    </row>
    <row r="294">
      <c r="D294" s="4"/>
      <c r="G294" s="10"/>
    </row>
    <row r="295">
      <c r="D295" s="4"/>
      <c r="G295" s="10"/>
    </row>
    <row r="296">
      <c r="D296" s="4"/>
      <c r="G296" s="10"/>
    </row>
    <row r="297">
      <c r="D297" s="4"/>
      <c r="G297" s="10"/>
    </row>
    <row r="298">
      <c r="D298" s="4"/>
      <c r="G298" s="10"/>
    </row>
    <row r="299">
      <c r="D299" s="4"/>
      <c r="G299" s="10"/>
    </row>
    <row r="300">
      <c r="D300" s="4"/>
      <c r="G300" s="10"/>
    </row>
    <row r="301">
      <c r="D301" s="4"/>
      <c r="G301" s="10"/>
    </row>
    <row r="302">
      <c r="D302" s="4"/>
      <c r="G302" s="10"/>
    </row>
    <row r="303">
      <c r="D303" s="4"/>
      <c r="G303" s="10"/>
    </row>
    <row r="304">
      <c r="D304" s="4"/>
      <c r="G304" s="10"/>
    </row>
    <row r="305">
      <c r="D305" s="4"/>
      <c r="G305" s="10"/>
    </row>
    <row r="306">
      <c r="D306" s="4"/>
      <c r="G306" s="10"/>
    </row>
    <row r="307">
      <c r="D307" s="4"/>
      <c r="G307" s="10"/>
    </row>
    <row r="308">
      <c r="D308" s="4"/>
      <c r="G308" s="10"/>
    </row>
    <row r="309">
      <c r="D309" s="4"/>
      <c r="G309" s="10"/>
    </row>
    <row r="310">
      <c r="D310" s="4"/>
      <c r="G310" s="10"/>
    </row>
    <row r="311">
      <c r="D311" s="4"/>
      <c r="G311" s="10"/>
    </row>
    <row r="312">
      <c r="D312" s="4"/>
      <c r="G312" s="10"/>
    </row>
    <row r="313">
      <c r="D313" s="4"/>
      <c r="G313" s="10"/>
    </row>
    <row r="314">
      <c r="D314" s="4"/>
      <c r="G314" s="10"/>
    </row>
    <row r="315">
      <c r="D315" s="4"/>
      <c r="G315" s="10"/>
    </row>
    <row r="316">
      <c r="D316" s="4"/>
      <c r="G316" s="10"/>
    </row>
    <row r="317">
      <c r="D317" s="4"/>
      <c r="G317" s="10"/>
    </row>
    <row r="318">
      <c r="D318" s="4"/>
      <c r="G318" s="10"/>
    </row>
    <row r="319">
      <c r="D319" s="4"/>
      <c r="G319" s="10"/>
    </row>
    <row r="320">
      <c r="D320" s="4"/>
      <c r="G320" s="10"/>
    </row>
    <row r="321">
      <c r="D321" s="4"/>
      <c r="G321" s="10"/>
    </row>
    <row r="322">
      <c r="D322" s="4"/>
      <c r="G322" s="10"/>
    </row>
    <row r="323">
      <c r="D323" s="4"/>
      <c r="G323" s="10"/>
    </row>
    <row r="324">
      <c r="D324" s="4"/>
      <c r="G324" s="10"/>
    </row>
    <row r="325">
      <c r="D325" s="4"/>
      <c r="G325" s="10"/>
    </row>
    <row r="326">
      <c r="D326" s="4"/>
      <c r="G326" s="10"/>
    </row>
    <row r="327">
      <c r="D327" s="4"/>
      <c r="G327" s="10"/>
    </row>
    <row r="328">
      <c r="D328" s="4"/>
      <c r="G328" s="10"/>
    </row>
    <row r="329">
      <c r="D329" s="4"/>
      <c r="G329" s="10"/>
    </row>
    <row r="330">
      <c r="D330" s="4"/>
      <c r="G330" s="10"/>
    </row>
    <row r="331">
      <c r="D331" s="4"/>
      <c r="G331" s="10"/>
    </row>
    <row r="332">
      <c r="D332" s="4"/>
      <c r="G332" s="10"/>
    </row>
    <row r="333">
      <c r="D333" s="4"/>
      <c r="G333" s="10"/>
    </row>
    <row r="334">
      <c r="D334" s="4"/>
      <c r="G334" s="10"/>
    </row>
    <row r="335">
      <c r="D335" s="4"/>
      <c r="G335" s="10"/>
    </row>
    <row r="336">
      <c r="D336" s="4"/>
      <c r="G336" s="10"/>
    </row>
    <row r="337">
      <c r="D337" s="4"/>
      <c r="G337" s="10"/>
    </row>
    <row r="338">
      <c r="D338" s="4"/>
      <c r="G338" s="10"/>
    </row>
    <row r="339">
      <c r="D339" s="4"/>
      <c r="G339" s="10"/>
    </row>
    <row r="340">
      <c r="D340" s="4"/>
      <c r="G340" s="10"/>
    </row>
    <row r="341">
      <c r="D341" s="4"/>
      <c r="G341" s="10"/>
    </row>
    <row r="342">
      <c r="D342" s="4"/>
      <c r="G342" s="10"/>
    </row>
    <row r="343">
      <c r="D343" s="4"/>
      <c r="G343" s="10"/>
    </row>
    <row r="344">
      <c r="D344" s="4"/>
      <c r="G344" s="10"/>
    </row>
    <row r="345">
      <c r="D345" s="4"/>
      <c r="G345" s="10"/>
    </row>
    <row r="346">
      <c r="D346" s="4"/>
      <c r="G346" s="10"/>
    </row>
    <row r="347">
      <c r="D347" s="4"/>
      <c r="G347" s="10"/>
    </row>
    <row r="348">
      <c r="D348" s="4"/>
      <c r="G348" s="10"/>
    </row>
    <row r="349">
      <c r="D349" s="4"/>
      <c r="G349" s="10"/>
    </row>
    <row r="350">
      <c r="D350" s="4"/>
      <c r="G350" s="10"/>
    </row>
    <row r="351">
      <c r="D351" s="4"/>
      <c r="G351" s="10"/>
    </row>
    <row r="352">
      <c r="D352" s="4"/>
      <c r="G352" s="10"/>
    </row>
    <row r="353">
      <c r="D353" s="4"/>
      <c r="G353" s="10"/>
    </row>
    <row r="354">
      <c r="D354" s="4"/>
      <c r="G354" s="10"/>
    </row>
    <row r="355">
      <c r="D355" s="4"/>
      <c r="G355" s="10"/>
    </row>
    <row r="356">
      <c r="D356" s="4"/>
      <c r="G356" s="10"/>
    </row>
    <row r="357">
      <c r="D357" s="4"/>
      <c r="G357" s="10"/>
    </row>
    <row r="358">
      <c r="D358" s="4"/>
      <c r="G358" s="10"/>
    </row>
    <row r="359">
      <c r="D359" s="4"/>
      <c r="G359" s="10"/>
    </row>
    <row r="360">
      <c r="D360" s="4"/>
      <c r="G360" s="10"/>
    </row>
    <row r="361">
      <c r="D361" s="4"/>
      <c r="G361" s="10"/>
    </row>
    <row r="362">
      <c r="D362" s="4"/>
      <c r="G362" s="10"/>
    </row>
    <row r="363">
      <c r="D363" s="4"/>
      <c r="G363" s="10"/>
    </row>
    <row r="364">
      <c r="D364" s="4"/>
      <c r="G364" s="10"/>
    </row>
    <row r="365">
      <c r="D365" s="4"/>
      <c r="G365" s="10"/>
    </row>
    <row r="366">
      <c r="D366" s="4"/>
      <c r="G366" s="10"/>
    </row>
    <row r="367">
      <c r="D367" s="4"/>
      <c r="G367" s="10"/>
    </row>
    <row r="368">
      <c r="D368" s="4"/>
      <c r="G368" s="10"/>
    </row>
    <row r="369">
      <c r="D369" s="4"/>
      <c r="G369" s="10"/>
    </row>
    <row r="370">
      <c r="D370" s="4"/>
      <c r="G370" s="10"/>
    </row>
    <row r="371">
      <c r="D371" s="4"/>
      <c r="G371" s="10"/>
    </row>
    <row r="372">
      <c r="D372" s="4"/>
      <c r="G372" s="10"/>
    </row>
    <row r="373">
      <c r="D373" s="4"/>
      <c r="G373" s="10"/>
    </row>
    <row r="374">
      <c r="D374" s="4"/>
      <c r="G374" s="10"/>
    </row>
    <row r="375">
      <c r="D375" s="4"/>
      <c r="G375" s="10"/>
    </row>
    <row r="376">
      <c r="D376" s="4"/>
      <c r="G376" s="10"/>
    </row>
    <row r="377">
      <c r="D377" s="4"/>
      <c r="G377" s="10"/>
    </row>
    <row r="378">
      <c r="D378" s="4"/>
      <c r="G378" s="10"/>
    </row>
    <row r="379">
      <c r="D379" s="4"/>
      <c r="G379" s="10"/>
    </row>
    <row r="380">
      <c r="D380" s="4"/>
      <c r="G380" s="10"/>
    </row>
    <row r="381">
      <c r="D381" s="4"/>
      <c r="G381" s="10"/>
    </row>
    <row r="382">
      <c r="D382" s="4"/>
      <c r="G382" s="10"/>
    </row>
    <row r="383">
      <c r="D383" s="4"/>
      <c r="G383" s="10"/>
    </row>
    <row r="384">
      <c r="D384" s="4"/>
      <c r="G384" s="10"/>
    </row>
    <row r="385">
      <c r="D385" s="4"/>
      <c r="G385" s="10"/>
    </row>
    <row r="386">
      <c r="D386" s="4"/>
      <c r="G386" s="10"/>
    </row>
    <row r="387">
      <c r="D387" s="4"/>
      <c r="G387" s="10"/>
    </row>
    <row r="388">
      <c r="D388" s="4"/>
      <c r="G388" s="10"/>
    </row>
    <row r="389">
      <c r="D389" s="4"/>
      <c r="G389" s="10"/>
    </row>
    <row r="390">
      <c r="D390" s="4"/>
      <c r="G390" s="10"/>
    </row>
    <row r="391">
      <c r="D391" s="4"/>
      <c r="G391" s="10"/>
    </row>
    <row r="392">
      <c r="D392" s="4"/>
      <c r="G392" s="10"/>
    </row>
    <row r="393">
      <c r="D393" s="4"/>
      <c r="G393" s="10"/>
    </row>
    <row r="394">
      <c r="D394" s="4"/>
      <c r="G394" s="10"/>
    </row>
    <row r="395">
      <c r="D395" s="4"/>
      <c r="G395" s="10"/>
    </row>
    <row r="396">
      <c r="D396" s="4"/>
      <c r="G396" s="10"/>
    </row>
    <row r="397">
      <c r="D397" s="4"/>
      <c r="G397" s="10"/>
    </row>
    <row r="398">
      <c r="D398" s="4"/>
      <c r="G398" s="10"/>
    </row>
    <row r="399">
      <c r="D399" s="4"/>
      <c r="G399" s="10"/>
    </row>
    <row r="400">
      <c r="D400" s="4"/>
      <c r="G400" s="10"/>
    </row>
    <row r="401">
      <c r="D401" s="4"/>
      <c r="G401" s="10"/>
    </row>
    <row r="402">
      <c r="D402" s="4"/>
      <c r="G402" s="10"/>
    </row>
    <row r="403">
      <c r="D403" s="4"/>
      <c r="G403" s="10"/>
    </row>
    <row r="404">
      <c r="D404" s="4"/>
      <c r="G404" s="10"/>
    </row>
    <row r="405">
      <c r="D405" s="4"/>
      <c r="G405" s="10"/>
    </row>
    <row r="406">
      <c r="D406" s="4"/>
      <c r="G406" s="10"/>
    </row>
    <row r="407">
      <c r="D407" s="4"/>
      <c r="G407" s="10"/>
    </row>
    <row r="408">
      <c r="D408" s="4"/>
      <c r="G408" s="10"/>
    </row>
    <row r="409">
      <c r="D409" s="4"/>
      <c r="G409" s="10"/>
    </row>
    <row r="410">
      <c r="D410" s="4"/>
      <c r="G410" s="10"/>
    </row>
    <row r="411">
      <c r="D411" s="4"/>
      <c r="G411" s="10"/>
    </row>
    <row r="412">
      <c r="D412" s="4"/>
      <c r="G412" s="10"/>
    </row>
    <row r="413">
      <c r="D413" s="4"/>
      <c r="G413" s="10"/>
    </row>
    <row r="414">
      <c r="D414" s="4"/>
      <c r="G414" s="10"/>
    </row>
    <row r="415">
      <c r="D415" s="4"/>
      <c r="G415" s="10"/>
    </row>
    <row r="416">
      <c r="D416" s="4"/>
      <c r="G416" s="10"/>
    </row>
    <row r="417">
      <c r="D417" s="4"/>
      <c r="G417" s="10"/>
    </row>
    <row r="418">
      <c r="D418" s="4"/>
      <c r="G418" s="10"/>
    </row>
    <row r="419">
      <c r="D419" s="4"/>
      <c r="G419" s="10"/>
    </row>
    <row r="420">
      <c r="D420" s="4"/>
      <c r="G420" s="10"/>
    </row>
    <row r="421">
      <c r="D421" s="4"/>
      <c r="G421" s="10"/>
    </row>
    <row r="422">
      <c r="D422" s="4"/>
      <c r="G422" s="10"/>
    </row>
    <row r="423">
      <c r="D423" s="4"/>
      <c r="G423" s="10"/>
    </row>
    <row r="424">
      <c r="D424" s="4"/>
      <c r="G424" s="10"/>
    </row>
    <row r="425">
      <c r="D425" s="4"/>
      <c r="G425" s="10"/>
    </row>
    <row r="426">
      <c r="D426" s="4"/>
      <c r="G426" s="10"/>
    </row>
    <row r="427">
      <c r="D427" s="4"/>
      <c r="G427" s="10"/>
    </row>
    <row r="428">
      <c r="D428" s="4"/>
      <c r="G428" s="10"/>
    </row>
    <row r="429">
      <c r="D429" s="4"/>
      <c r="G429" s="10"/>
    </row>
    <row r="430">
      <c r="D430" s="4"/>
      <c r="G430" s="10"/>
    </row>
    <row r="431">
      <c r="D431" s="4"/>
      <c r="G431" s="10"/>
    </row>
    <row r="432">
      <c r="D432" s="4"/>
      <c r="G432" s="10"/>
    </row>
    <row r="433">
      <c r="D433" s="4"/>
      <c r="G433" s="10"/>
    </row>
    <row r="434">
      <c r="D434" s="4"/>
      <c r="G434" s="10"/>
    </row>
    <row r="435">
      <c r="D435" s="4"/>
      <c r="G435" s="10"/>
    </row>
    <row r="436">
      <c r="D436" s="4"/>
      <c r="G436" s="10"/>
    </row>
    <row r="437">
      <c r="D437" s="4"/>
      <c r="G437" s="10"/>
    </row>
    <row r="438">
      <c r="D438" s="4"/>
      <c r="G438" s="10"/>
    </row>
    <row r="439">
      <c r="D439" s="4"/>
      <c r="G439" s="10"/>
    </row>
    <row r="440">
      <c r="D440" s="4"/>
      <c r="G440" s="10"/>
    </row>
    <row r="441">
      <c r="D441" s="4"/>
      <c r="G441" s="10"/>
    </row>
    <row r="442">
      <c r="D442" s="4"/>
      <c r="G442" s="10"/>
    </row>
    <row r="443">
      <c r="D443" s="4"/>
      <c r="G443" s="10"/>
    </row>
    <row r="444">
      <c r="D444" s="4"/>
      <c r="G444" s="10"/>
    </row>
    <row r="445">
      <c r="D445" s="4"/>
      <c r="G445" s="10"/>
    </row>
    <row r="446">
      <c r="D446" s="4"/>
      <c r="G446" s="10"/>
    </row>
    <row r="447">
      <c r="D447" s="4"/>
      <c r="G447" s="10"/>
    </row>
    <row r="448">
      <c r="D448" s="4"/>
      <c r="G448" s="10"/>
    </row>
    <row r="449">
      <c r="D449" s="4"/>
      <c r="G449" s="10"/>
    </row>
    <row r="450">
      <c r="D450" s="4"/>
      <c r="G450" s="10"/>
    </row>
    <row r="451">
      <c r="D451" s="4"/>
      <c r="G451" s="10"/>
    </row>
    <row r="452">
      <c r="D452" s="4"/>
      <c r="G452" s="10"/>
    </row>
    <row r="453">
      <c r="D453" s="4"/>
      <c r="G453" s="10"/>
    </row>
    <row r="454">
      <c r="D454" s="4"/>
      <c r="G454" s="10"/>
    </row>
    <row r="455">
      <c r="D455" s="4"/>
      <c r="G455" s="10"/>
    </row>
    <row r="456">
      <c r="D456" s="4"/>
      <c r="G456" s="10"/>
    </row>
    <row r="457">
      <c r="D457" s="4"/>
      <c r="G457" s="10"/>
    </row>
    <row r="458">
      <c r="D458" s="4"/>
      <c r="G458" s="10"/>
    </row>
    <row r="459">
      <c r="D459" s="4"/>
      <c r="G459" s="10"/>
    </row>
    <row r="460">
      <c r="D460" s="4"/>
      <c r="G460" s="10"/>
    </row>
    <row r="461">
      <c r="D461" s="4"/>
      <c r="G461" s="10"/>
    </row>
    <row r="462">
      <c r="D462" s="4"/>
      <c r="G462" s="10"/>
    </row>
    <row r="463">
      <c r="D463" s="4"/>
      <c r="G463" s="10"/>
    </row>
    <row r="464">
      <c r="D464" s="4"/>
      <c r="G464" s="10"/>
    </row>
    <row r="465">
      <c r="D465" s="4"/>
      <c r="G465" s="10"/>
    </row>
    <row r="466">
      <c r="D466" s="4"/>
      <c r="G466" s="10"/>
    </row>
    <row r="467">
      <c r="D467" s="4"/>
      <c r="G467" s="10"/>
    </row>
    <row r="468">
      <c r="D468" s="4"/>
      <c r="G468" s="10"/>
    </row>
    <row r="469">
      <c r="D469" s="4"/>
      <c r="G469" s="10"/>
    </row>
    <row r="470">
      <c r="D470" s="4"/>
      <c r="G470" s="10"/>
    </row>
    <row r="471">
      <c r="D471" s="4"/>
      <c r="G471" s="10"/>
    </row>
    <row r="472">
      <c r="D472" s="4"/>
      <c r="G472" s="10"/>
    </row>
    <row r="473">
      <c r="D473" s="4"/>
      <c r="G473" s="10"/>
    </row>
    <row r="474">
      <c r="D474" s="4"/>
      <c r="G474" s="10"/>
    </row>
    <row r="475">
      <c r="D475" s="4"/>
      <c r="G475" s="10"/>
    </row>
    <row r="476">
      <c r="D476" s="4"/>
      <c r="G476" s="10"/>
    </row>
    <row r="477">
      <c r="D477" s="4"/>
      <c r="G477" s="10"/>
    </row>
    <row r="478">
      <c r="D478" s="4"/>
      <c r="G478" s="10"/>
    </row>
    <row r="479">
      <c r="D479" s="4"/>
      <c r="G479" s="10"/>
    </row>
    <row r="480">
      <c r="D480" s="4"/>
      <c r="G480" s="10"/>
    </row>
    <row r="481">
      <c r="D481" s="4"/>
      <c r="G481" s="10"/>
    </row>
    <row r="482">
      <c r="D482" s="4"/>
      <c r="G482" s="10"/>
    </row>
    <row r="483">
      <c r="D483" s="4"/>
      <c r="G483" s="10"/>
    </row>
    <row r="484">
      <c r="D484" s="4"/>
      <c r="G484" s="10"/>
    </row>
    <row r="485">
      <c r="D485" s="4"/>
      <c r="G485" s="10"/>
    </row>
    <row r="486">
      <c r="D486" s="4"/>
      <c r="G486" s="10"/>
    </row>
    <row r="487">
      <c r="D487" s="4"/>
      <c r="G487" s="10"/>
    </row>
    <row r="488">
      <c r="D488" s="4"/>
      <c r="G488" s="10"/>
    </row>
    <row r="489">
      <c r="D489" s="4"/>
      <c r="G489" s="10"/>
    </row>
    <row r="490">
      <c r="D490" s="4"/>
      <c r="G490" s="10"/>
    </row>
    <row r="491">
      <c r="D491" s="4"/>
      <c r="G491" s="10"/>
    </row>
    <row r="492">
      <c r="D492" s="4"/>
      <c r="G492" s="10"/>
    </row>
    <row r="493">
      <c r="D493" s="4"/>
      <c r="G493" s="10"/>
    </row>
    <row r="494">
      <c r="D494" s="4"/>
      <c r="G494" s="10"/>
    </row>
    <row r="495">
      <c r="D495" s="4"/>
      <c r="G495" s="10"/>
    </row>
    <row r="496">
      <c r="D496" s="4"/>
      <c r="G496" s="10"/>
    </row>
    <row r="497">
      <c r="D497" s="4"/>
      <c r="G497" s="10"/>
    </row>
    <row r="498">
      <c r="D498" s="4"/>
      <c r="G498" s="10"/>
    </row>
    <row r="499">
      <c r="D499" s="4"/>
      <c r="G499" s="10"/>
    </row>
    <row r="500">
      <c r="D500" s="4"/>
      <c r="G500" s="10"/>
    </row>
    <row r="501">
      <c r="D501" s="4"/>
      <c r="G501" s="10"/>
    </row>
    <row r="502">
      <c r="D502" s="4"/>
      <c r="G502" s="10"/>
    </row>
    <row r="503">
      <c r="D503" s="4"/>
      <c r="G503" s="10"/>
    </row>
    <row r="504">
      <c r="D504" s="4"/>
      <c r="G504" s="10"/>
    </row>
    <row r="505">
      <c r="D505" s="4"/>
      <c r="G505" s="10"/>
    </row>
    <row r="506">
      <c r="D506" s="4"/>
      <c r="G506" s="10"/>
    </row>
    <row r="507">
      <c r="D507" s="4"/>
      <c r="G507" s="10"/>
    </row>
    <row r="508">
      <c r="D508" s="4"/>
      <c r="G508" s="10"/>
    </row>
    <row r="509">
      <c r="D509" s="4"/>
      <c r="G509" s="10"/>
    </row>
    <row r="510">
      <c r="D510" s="4"/>
      <c r="G510" s="10"/>
    </row>
    <row r="511">
      <c r="D511" s="4"/>
      <c r="G511" s="10"/>
    </row>
    <row r="512">
      <c r="D512" s="4"/>
      <c r="G512" s="10"/>
    </row>
    <row r="513">
      <c r="D513" s="4"/>
      <c r="G513" s="10"/>
    </row>
    <row r="514">
      <c r="D514" s="4"/>
      <c r="G514" s="10"/>
    </row>
    <row r="515">
      <c r="D515" s="4"/>
      <c r="G515" s="10"/>
    </row>
    <row r="516">
      <c r="D516" s="4"/>
      <c r="G516" s="10"/>
    </row>
    <row r="517">
      <c r="D517" s="4"/>
      <c r="G517" s="10"/>
    </row>
    <row r="518">
      <c r="D518" s="4"/>
      <c r="G518" s="10"/>
    </row>
    <row r="519">
      <c r="D519" s="4"/>
      <c r="G519" s="10"/>
    </row>
    <row r="520">
      <c r="D520" s="4"/>
      <c r="G520" s="10"/>
    </row>
    <row r="521">
      <c r="D521" s="4"/>
      <c r="G521" s="10"/>
    </row>
    <row r="522">
      <c r="D522" s="4"/>
      <c r="G522" s="10"/>
    </row>
    <row r="523">
      <c r="D523" s="4"/>
      <c r="G523" s="10"/>
    </row>
    <row r="524">
      <c r="D524" s="4"/>
      <c r="G524" s="10"/>
    </row>
    <row r="525">
      <c r="D525" s="4"/>
      <c r="G525" s="10"/>
    </row>
    <row r="526">
      <c r="D526" s="4"/>
      <c r="G526" s="10"/>
    </row>
    <row r="527">
      <c r="D527" s="4"/>
      <c r="G527" s="10"/>
    </row>
    <row r="528">
      <c r="D528" s="4"/>
      <c r="G528" s="10"/>
    </row>
    <row r="529">
      <c r="D529" s="4"/>
      <c r="G529" s="10"/>
    </row>
    <row r="530">
      <c r="D530" s="4"/>
      <c r="G530" s="10"/>
    </row>
    <row r="531">
      <c r="D531" s="4"/>
      <c r="G531" s="10"/>
    </row>
    <row r="532">
      <c r="D532" s="4"/>
      <c r="G532" s="10"/>
    </row>
    <row r="533">
      <c r="D533" s="4"/>
      <c r="G533" s="10"/>
    </row>
    <row r="534">
      <c r="D534" s="4"/>
      <c r="G534" s="10"/>
    </row>
    <row r="535">
      <c r="D535" s="4"/>
      <c r="G535" s="10"/>
    </row>
    <row r="536">
      <c r="D536" s="4"/>
      <c r="G536" s="10"/>
    </row>
    <row r="537">
      <c r="D537" s="4"/>
      <c r="G537" s="10"/>
    </row>
    <row r="538">
      <c r="D538" s="4"/>
      <c r="G538" s="10"/>
    </row>
    <row r="539">
      <c r="D539" s="4"/>
      <c r="G539" s="10"/>
    </row>
    <row r="540">
      <c r="D540" s="4"/>
      <c r="G540" s="10"/>
    </row>
    <row r="541">
      <c r="D541" s="4"/>
      <c r="G541" s="10"/>
    </row>
    <row r="542">
      <c r="D542" s="4"/>
      <c r="G542" s="10"/>
    </row>
    <row r="543">
      <c r="D543" s="4"/>
      <c r="G543" s="10"/>
    </row>
    <row r="544">
      <c r="D544" s="4"/>
      <c r="G544" s="10"/>
    </row>
    <row r="545">
      <c r="D545" s="4"/>
      <c r="G545" s="10"/>
    </row>
    <row r="546">
      <c r="D546" s="4"/>
      <c r="G546" s="10"/>
    </row>
    <row r="547">
      <c r="D547" s="4"/>
      <c r="G547" s="10"/>
    </row>
    <row r="548">
      <c r="D548" s="4"/>
      <c r="G548" s="10"/>
    </row>
    <row r="549">
      <c r="D549" s="4"/>
      <c r="G549" s="10"/>
    </row>
    <row r="550">
      <c r="D550" s="4"/>
      <c r="G550" s="10"/>
    </row>
    <row r="551">
      <c r="D551" s="4"/>
      <c r="G551" s="10"/>
    </row>
    <row r="552">
      <c r="D552" s="4"/>
      <c r="G552" s="10"/>
    </row>
    <row r="553">
      <c r="D553" s="4"/>
      <c r="G553" s="10"/>
    </row>
    <row r="554">
      <c r="D554" s="4"/>
      <c r="G554" s="10"/>
    </row>
    <row r="555">
      <c r="D555" s="4"/>
      <c r="G555" s="10"/>
    </row>
    <row r="556">
      <c r="D556" s="4"/>
      <c r="G556" s="10"/>
    </row>
    <row r="557">
      <c r="D557" s="4"/>
      <c r="G557" s="10"/>
    </row>
    <row r="558">
      <c r="D558" s="4"/>
      <c r="G558" s="10"/>
    </row>
    <row r="559">
      <c r="D559" s="4"/>
      <c r="G559" s="10"/>
    </row>
    <row r="560">
      <c r="D560" s="4"/>
      <c r="G560" s="10"/>
    </row>
    <row r="561">
      <c r="D561" s="4"/>
      <c r="G561" s="10"/>
    </row>
    <row r="562">
      <c r="D562" s="4"/>
      <c r="G562" s="10"/>
    </row>
    <row r="563">
      <c r="D563" s="4"/>
      <c r="G563" s="10"/>
    </row>
    <row r="564">
      <c r="D564" s="4"/>
      <c r="G564" s="10"/>
    </row>
    <row r="565">
      <c r="D565" s="4"/>
      <c r="G565" s="10"/>
    </row>
    <row r="566">
      <c r="D566" s="4"/>
      <c r="G566" s="10"/>
    </row>
    <row r="567">
      <c r="D567" s="4"/>
      <c r="G567" s="10"/>
    </row>
    <row r="568">
      <c r="D568" s="4"/>
      <c r="G568" s="10"/>
    </row>
    <row r="569">
      <c r="D569" s="4"/>
      <c r="G569" s="10"/>
    </row>
    <row r="570">
      <c r="D570" s="4"/>
      <c r="G570" s="10"/>
    </row>
    <row r="571">
      <c r="D571" s="4"/>
      <c r="G571" s="10"/>
    </row>
    <row r="572">
      <c r="D572" s="4"/>
      <c r="G572" s="10"/>
    </row>
    <row r="573">
      <c r="D573" s="4"/>
      <c r="G573" s="10"/>
    </row>
    <row r="574">
      <c r="D574" s="4"/>
      <c r="G574" s="10"/>
    </row>
    <row r="575">
      <c r="D575" s="4"/>
      <c r="G575" s="10"/>
    </row>
    <row r="576">
      <c r="D576" s="4"/>
      <c r="G576" s="10"/>
    </row>
    <row r="577">
      <c r="D577" s="4"/>
      <c r="G577" s="10"/>
    </row>
    <row r="578">
      <c r="D578" s="4"/>
      <c r="G578" s="10"/>
    </row>
    <row r="579">
      <c r="D579" s="4"/>
      <c r="G579" s="10"/>
    </row>
    <row r="580">
      <c r="D580" s="4"/>
      <c r="G580" s="10"/>
    </row>
    <row r="581">
      <c r="D581" s="4"/>
      <c r="G581" s="10"/>
    </row>
    <row r="582">
      <c r="D582" s="4"/>
      <c r="G582" s="10"/>
    </row>
    <row r="583">
      <c r="D583" s="4"/>
      <c r="G583" s="10"/>
    </row>
    <row r="584">
      <c r="D584" s="4"/>
      <c r="G584" s="10"/>
    </row>
    <row r="585">
      <c r="D585" s="4"/>
      <c r="G585" s="10"/>
    </row>
    <row r="586">
      <c r="D586" s="4"/>
      <c r="G586" s="10"/>
    </row>
    <row r="587">
      <c r="D587" s="4"/>
      <c r="G587" s="10"/>
    </row>
    <row r="588">
      <c r="D588" s="4"/>
      <c r="G588" s="10"/>
    </row>
    <row r="589">
      <c r="D589" s="4"/>
      <c r="G589" s="10"/>
    </row>
    <row r="590">
      <c r="D590" s="4"/>
      <c r="G590" s="10"/>
    </row>
    <row r="591">
      <c r="D591" s="4"/>
      <c r="G591" s="10"/>
    </row>
    <row r="592">
      <c r="D592" s="4"/>
      <c r="G592" s="10"/>
    </row>
    <row r="593">
      <c r="D593" s="4"/>
      <c r="G593" s="10"/>
    </row>
    <row r="594">
      <c r="D594" s="4"/>
      <c r="G594" s="10"/>
    </row>
    <row r="595">
      <c r="D595" s="4"/>
      <c r="G595" s="10"/>
    </row>
    <row r="596">
      <c r="D596" s="4"/>
      <c r="G596" s="10"/>
    </row>
    <row r="597">
      <c r="D597" s="4"/>
      <c r="G597" s="10"/>
    </row>
    <row r="598">
      <c r="D598" s="4"/>
      <c r="G598" s="10"/>
    </row>
    <row r="599">
      <c r="D599" s="4"/>
      <c r="G599" s="10"/>
    </row>
    <row r="600">
      <c r="D600" s="4"/>
      <c r="G600" s="10"/>
    </row>
    <row r="601">
      <c r="D601" s="4"/>
      <c r="G601" s="10"/>
    </row>
    <row r="602">
      <c r="D602" s="4"/>
      <c r="G602" s="10"/>
    </row>
    <row r="603">
      <c r="D603" s="4"/>
      <c r="G603" s="10"/>
    </row>
    <row r="604">
      <c r="D604" s="4"/>
      <c r="G604" s="10"/>
    </row>
    <row r="605">
      <c r="D605" s="4"/>
      <c r="G605" s="10"/>
    </row>
    <row r="606">
      <c r="D606" s="4"/>
      <c r="G606" s="10"/>
    </row>
    <row r="607">
      <c r="D607" s="4"/>
      <c r="G607" s="10"/>
    </row>
    <row r="608">
      <c r="D608" s="4"/>
      <c r="G608" s="10"/>
    </row>
    <row r="609">
      <c r="D609" s="4"/>
      <c r="G609" s="10"/>
    </row>
    <row r="610">
      <c r="D610" s="4"/>
      <c r="G610" s="10"/>
    </row>
    <row r="611">
      <c r="D611" s="4"/>
      <c r="G611" s="10"/>
    </row>
    <row r="612">
      <c r="D612" s="4"/>
      <c r="G612" s="10"/>
    </row>
    <row r="613">
      <c r="D613" s="4"/>
      <c r="G613" s="10"/>
    </row>
    <row r="614">
      <c r="D614" s="4"/>
      <c r="G614" s="10"/>
    </row>
    <row r="615">
      <c r="D615" s="4"/>
      <c r="G615" s="10"/>
    </row>
    <row r="616">
      <c r="D616" s="4"/>
      <c r="G616" s="10"/>
    </row>
    <row r="617">
      <c r="D617" s="4"/>
      <c r="G617" s="10"/>
    </row>
    <row r="618">
      <c r="D618" s="4"/>
      <c r="G618" s="10"/>
    </row>
    <row r="619">
      <c r="D619" s="4"/>
      <c r="G619" s="10"/>
    </row>
    <row r="620">
      <c r="D620" s="4"/>
      <c r="G620" s="10"/>
    </row>
    <row r="621">
      <c r="D621" s="4"/>
      <c r="G621" s="10"/>
    </row>
    <row r="622">
      <c r="D622" s="4"/>
      <c r="G622" s="10"/>
    </row>
    <row r="623">
      <c r="D623" s="4"/>
      <c r="G623" s="10"/>
    </row>
    <row r="624">
      <c r="D624" s="4"/>
      <c r="G624" s="10"/>
    </row>
    <row r="625">
      <c r="D625" s="4"/>
      <c r="G625" s="10"/>
    </row>
    <row r="626">
      <c r="D626" s="4"/>
      <c r="G626" s="10"/>
    </row>
    <row r="627">
      <c r="D627" s="4"/>
      <c r="G627" s="10"/>
    </row>
    <row r="628">
      <c r="D628" s="4"/>
      <c r="G628" s="10"/>
    </row>
    <row r="629">
      <c r="D629" s="4"/>
      <c r="G629" s="10"/>
    </row>
    <row r="630">
      <c r="D630" s="4"/>
      <c r="G630" s="10"/>
    </row>
    <row r="631">
      <c r="D631" s="4"/>
      <c r="G631" s="10"/>
    </row>
    <row r="632">
      <c r="D632" s="4"/>
      <c r="G632" s="10"/>
    </row>
    <row r="633">
      <c r="D633" s="4"/>
      <c r="G633" s="10"/>
    </row>
    <row r="634">
      <c r="D634" s="4"/>
      <c r="G634" s="10"/>
    </row>
    <row r="635">
      <c r="D635" s="4"/>
      <c r="G635" s="10"/>
    </row>
    <row r="636">
      <c r="D636" s="4"/>
      <c r="G636" s="10"/>
    </row>
    <row r="637">
      <c r="D637" s="4"/>
      <c r="G637" s="10"/>
    </row>
    <row r="638">
      <c r="D638" s="4"/>
      <c r="G638" s="10"/>
    </row>
    <row r="639">
      <c r="D639" s="4"/>
      <c r="G639" s="10"/>
    </row>
    <row r="640">
      <c r="D640" s="4"/>
      <c r="G640" s="10"/>
    </row>
    <row r="641">
      <c r="D641" s="4"/>
      <c r="G641" s="10"/>
    </row>
    <row r="642">
      <c r="D642" s="4"/>
      <c r="G642" s="10"/>
    </row>
    <row r="643">
      <c r="D643" s="4"/>
      <c r="G643" s="10"/>
    </row>
    <row r="644">
      <c r="D644" s="4"/>
      <c r="G644" s="10"/>
    </row>
    <row r="645">
      <c r="D645" s="4"/>
      <c r="G645" s="10"/>
    </row>
    <row r="646">
      <c r="D646" s="4"/>
      <c r="G646" s="10"/>
    </row>
    <row r="647">
      <c r="D647" s="4"/>
      <c r="G647" s="10"/>
    </row>
    <row r="648">
      <c r="D648" s="4"/>
      <c r="G648" s="10"/>
    </row>
    <row r="649">
      <c r="D649" s="4"/>
      <c r="G649" s="10"/>
    </row>
    <row r="650">
      <c r="D650" s="4"/>
      <c r="G650" s="10"/>
    </row>
    <row r="651">
      <c r="D651" s="4"/>
      <c r="G651" s="10"/>
    </row>
    <row r="652">
      <c r="D652" s="4"/>
      <c r="G652" s="10"/>
    </row>
    <row r="653">
      <c r="D653" s="4"/>
      <c r="G653" s="10"/>
    </row>
    <row r="654">
      <c r="D654" s="4"/>
      <c r="G654" s="10"/>
    </row>
    <row r="655">
      <c r="D655" s="4"/>
      <c r="G655" s="10"/>
    </row>
    <row r="656">
      <c r="D656" s="4"/>
      <c r="G656" s="10"/>
    </row>
    <row r="657">
      <c r="D657" s="4"/>
      <c r="G657" s="10"/>
    </row>
    <row r="658">
      <c r="D658" s="4"/>
      <c r="G658" s="10"/>
    </row>
    <row r="659">
      <c r="D659" s="4"/>
      <c r="G659" s="10"/>
    </row>
    <row r="660">
      <c r="D660" s="4"/>
      <c r="G660" s="10"/>
    </row>
    <row r="661">
      <c r="D661" s="4"/>
      <c r="G661" s="10"/>
    </row>
    <row r="662">
      <c r="D662" s="4"/>
      <c r="G662" s="10"/>
    </row>
    <row r="663">
      <c r="D663" s="4"/>
      <c r="G663" s="10"/>
    </row>
    <row r="664">
      <c r="D664" s="4"/>
      <c r="G664" s="10"/>
    </row>
    <row r="665">
      <c r="D665" s="4"/>
      <c r="G665" s="10"/>
    </row>
    <row r="666">
      <c r="D666" s="4"/>
      <c r="G666" s="10"/>
    </row>
    <row r="667">
      <c r="D667" s="4"/>
      <c r="G667" s="10"/>
    </row>
    <row r="668">
      <c r="D668" s="4"/>
      <c r="G668" s="10"/>
    </row>
    <row r="669">
      <c r="D669" s="4"/>
      <c r="G669" s="10"/>
    </row>
    <row r="670">
      <c r="D670" s="4"/>
      <c r="G670" s="10"/>
    </row>
    <row r="671">
      <c r="D671" s="4"/>
      <c r="G671" s="10"/>
    </row>
    <row r="672">
      <c r="D672" s="4"/>
      <c r="G672" s="10"/>
    </row>
    <row r="673">
      <c r="D673" s="4"/>
      <c r="G673" s="10"/>
    </row>
    <row r="674">
      <c r="D674" s="4"/>
      <c r="G674" s="10"/>
    </row>
    <row r="675">
      <c r="D675" s="4"/>
      <c r="G675" s="10"/>
    </row>
    <row r="676">
      <c r="D676" s="4"/>
      <c r="G676" s="10"/>
    </row>
    <row r="677">
      <c r="D677" s="4"/>
      <c r="G677" s="10"/>
    </row>
    <row r="678">
      <c r="D678" s="4"/>
      <c r="G678" s="10"/>
    </row>
    <row r="679">
      <c r="D679" s="4"/>
      <c r="G679" s="10"/>
    </row>
    <row r="680">
      <c r="D680" s="4"/>
      <c r="G680" s="10"/>
    </row>
    <row r="681">
      <c r="D681" s="4"/>
      <c r="G681" s="10"/>
    </row>
    <row r="682">
      <c r="D682" s="4"/>
      <c r="G682" s="10"/>
    </row>
    <row r="683">
      <c r="D683" s="4"/>
      <c r="G683" s="10"/>
    </row>
    <row r="684">
      <c r="D684" s="4"/>
      <c r="G684" s="10"/>
    </row>
    <row r="685">
      <c r="D685" s="4"/>
      <c r="G685" s="10"/>
    </row>
    <row r="686">
      <c r="D686" s="4"/>
      <c r="G686" s="10"/>
    </row>
    <row r="687">
      <c r="D687" s="4"/>
      <c r="G687" s="10"/>
    </row>
    <row r="688">
      <c r="D688" s="4"/>
      <c r="G688" s="10"/>
    </row>
    <row r="689">
      <c r="D689" s="4"/>
      <c r="G689" s="10"/>
    </row>
    <row r="690">
      <c r="D690" s="4"/>
      <c r="G690" s="10"/>
    </row>
    <row r="691">
      <c r="D691" s="4"/>
      <c r="G691" s="10"/>
    </row>
    <row r="692">
      <c r="D692" s="4"/>
      <c r="G692" s="10"/>
    </row>
    <row r="693">
      <c r="D693" s="4"/>
      <c r="G693" s="10"/>
    </row>
    <row r="694">
      <c r="D694" s="4"/>
      <c r="G694" s="10"/>
    </row>
    <row r="695">
      <c r="D695" s="4"/>
      <c r="G695" s="10"/>
    </row>
    <row r="696">
      <c r="D696" s="4"/>
      <c r="G696" s="10"/>
    </row>
    <row r="697">
      <c r="D697" s="4"/>
      <c r="G697" s="10"/>
    </row>
    <row r="698">
      <c r="D698" s="4"/>
      <c r="G698" s="10"/>
    </row>
    <row r="699">
      <c r="D699" s="4"/>
      <c r="G699" s="10"/>
    </row>
    <row r="700">
      <c r="D700" s="4"/>
      <c r="G700" s="10"/>
    </row>
    <row r="701">
      <c r="D701" s="4"/>
      <c r="G701" s="10"/>
    </row>
    <row r="702">
      <c r="D702" s="4"/>
      <c r="G702" s="10"/>
    </row>
    <row r="703">
      <c r="D703" s="4"/>
      <c r="G703" s="10"/>
    </row>
    <row r="704">
      <c r="D704" s="4"/>
      <c r="G704" s="10"/>
    </row>
    <row r="705">
      <c r="D705" s="4"/>
      <c r="G705" s="10"/>
    </row>
    <row r="706">
      <c r="D706" s="4"/>
      <c r="G706" s="10"/>
    </row>
    <row r="707">
      <c r="D707" s="4"/>
      <c r="G707" s="10"/>
    </row>
    <row r="708">
      <c r="D708" s="4"/>
      <c r="G708" s="10"/>
    </row>
    <row r="709">
      <c r="D709" s="4"/>
      <c r="G709" s="10"/>
    </row>
    <row r="710">
      <c r="D710" s="4"/>
      <c r="G710" s="10"/>
    </row>
    <row r="711">
      <c r="D711" s="4"/>
      <c r="G711" s="10"/>
    </row>
    <row r="712">
      <c r="D712" s="4"/>
      <c r="G712" s="10"/>
    </row>
    <row r="713">
      <c r="D713" s="4"/>
      <c r="G713" s="10"/>
    </row>
    <row r="714">
      <c r="D714" s="4"/>
      <c r="G714" s="10"/>
    </row>
    <row r="715">
      <c r="D715" s="4"/>
      <c r="G715" s="10"/>
    </row>
    <row r="716">
      <c r="D716" s="4"/>
      <c r="G716" s="10"/>
    </row>
    <row r="717">
      <c r="D717" s="4"/>
      <c r="G717" s="10"/>
    </row>
    <row r="718">
      <c r="D718" s="4"/>
      <c r="G718" s="10"/>
    </row>
    <row r="719">
      <c r="D719" s="4"/>
      <c r="G719" s="10"/>
    </row>
    <row r="720">
      <c r="D720" s="4"/>
      <c r="G720" s="10"/>
    </row>
    <row r="721">
      <c r="D721" s="4"/>
      <c r="G721" s="10"/>
    </row>
    <row r="722">
      <c r="D722" s="4"/>
      <c r="G722" s="10"/>
    </row>
    <row r="723">
      <c r="D723" s="4"/>
      <c r="G723" s="10"/>
    </row>
    <row r="724">
      <c r="D724" s="4"/>
      <c r="G724" s="10"/>
    </row>
    <row r="725">
      <c r="D725" s="4"/>
      <c r="G725" s="10"/>
    </row>
    <row r="726">
      <c r="D726" s="4"/>
      <c r="G726" s="10"/>
    </row>
    <row r="727">
      <c r="D727" s="4"/>
      <c r="G727" s="10"/>
    </row>
    <row r="728">
      <c r="D728" s="4"/>
      <c r="G728" s="10"/>
    </row>
    <row r="729">
      <c r="D729" s="4"/>
      <c r="G729" s="10"/>
    </row>
    <row r="730">
      <c r="D730" s="4"/>
      <c r="G730" s="10"/>
    </row>
    <row r="731">
      <c r="D731" s="4"/>
      <c r="G731" s="10"/>
    </row>
    <row r="732">
      <c r="D732" s="4"/>
      <c r="G732" s="10"/>
    </row>
    <row r="733">
      <c r="D733" s="4"/>
      <c r="G733" s="10"/>
    </row>
    <row r="734">
      <c r="D734" s="4"/>
      <c r="G734" s="10"/>
    </row>
    <row r="735">
      <c r="D735" s="4"/>
      <c r="G735" s="10"/>
    </row>
    <row r="736">
      <c r="D736" s="4"/>
      <c r="G736" s="10"/>
    </row>
    <row r="737">
      <c r="D737" s="4"/>
      <c r="G737" s="10"/>
    </row>
    <row r="738">
      <c r="D738" s="4"/>
      <c r="G738" s="10"/>
    </row>
    <row r="739">
      <c r="D739" s="4"/>
      <c r="G739" s="10"/>
    </row>
    <row r="740">
      <c r="D740" s="4"/>
      <c r="G740" s="10"/>
    </row>
    <row r="741">
      <c r="D741" s="4"/>
      <c r="G741" s="10"/>
    </row>
    <row r="742">
      <c r="D742" s="4"/>
      <c r="G742" s="10"/>
    </row>
    <row r="743">
      <c r="D743" s="4"/>
      <c r="G743" s="10"/>
    </row>
    <row r="744">
      <c r="D744" s="4"/>
      <c r="G744" s="10"/>
    </row>
    <row r="745">
      <c r="D745" s="4"/>
      <c r="G745" s="10"/>
    </row>
    <row r="746">
      <c r="D746" s="4"/>
      <c r="G746" s="10"/>
    </row>
    <row r="747">
      <c r="D747" s="4"/>
      <c r="G747" s="10"/>
    </row>
    <row r="748">
      <c r="D748" s="4"/>
      <c r="G748" s="10"/>
    </row>
    <row r="749">
      <c r="D749" s="4"/>
      <c r="G749" s="10"/>
    </row>
    <row r="750">
      <c r="D750" s="4"/>
      <c r="G750" s="10"/>
    </row>
    <row r="751">
      <c r="D751" s="4"/>
      <c r="G751" s="10"/>
    </row>
    <row r="752">
      <c r="D752" s="4"/>
      <c r="G752" s="10"/>
    </row>
    <row r="753">
      <c r="D753" s="4"/>
      <c r="G753" s="10"/>
    </row>
    <row r="754">
      <c r="D754" s="4"/>
      <c r="G754" s="10"/>
    </row>
    <row r="755">
      <c r="D755" s="4"/>
      <c r="G755" s="10"/>
    </row>
    <row r="756">
      <c r="D756" s="4"/>
      <c r="G756" s="10"/>
    </row>
    <row r="757">
      <c r="D757" s="4"/>
      <c r="G757" s="10"/>
    </row>
    <row r="758">
      <c r="D758" s="4"/>
      <c r="G758" s="10"/>
    </row>
    <row r="759">
      <c r="D759" s="4"/>
      <c r="G759" s="10"/>
    </row>
    <row r="760">
      <c r="D760" s="4"/>
      <c r="G760" s="10"/>
    </row>
    <row r="761">
      <c r="D761" s="4"/>
      <c r="G761" s="10"/>
    </row>
    <row r="762">
      <c r="D762" s="4"/>
      <c r="G762" s="10"/>
    </row>
    <row r="763">
      <c r="D763" s="4"/>
      <c r="G763" s="10"/>
    </row>
    <row r="764">
      <c r="D764" s="4"/>
      <c r="G764" s="10"/>
    </row>
    <row r="765">
      <c r="D765" s="4"/>
      <c r="G765" s="10"/>
    </row>
    <row r="766">
      <c r="D766" s="4"/>
      <c r="G766" s="10"/>
    </row>
    <row r="767">
      <c r="D767" s="4"/>
      <c r="G767" s="10"/>
    </row>
    <row r="768">
      <c r="D768" s="4"/>
      <c r="G768" s="10"/>
    </row>
    <row r="769">
      <c r="D769" s="4"/>
      <c r="G769" s="10"/>
    </row>
    <row r="770">
      <c r="D770" s="4"/>
      <c r="G770" s="10"/>
    </row>
    <row r="771">
      <c r="D771" s="4"/>
      <c r="G771" s="10"/>
    </row>
    <row r="772">
      <c r="D772" s="4"/>
      <c r="G772" s="10"/>
    </row>
    <row r="773">
      <c r="D773" s="4"/>
      <c r="G773" s="10"/>
    </row>
    <row r="774">
      <c r="D774" s="4"/>
      <c r="G774" s="10"/>
    </row>
    <row r="775">
      <c r="D775" s="4"/>
      <c r="G775" s="10"/>
    </row>
    <row r="776">
      <c r="D776" s="4"/>
      <c r="G776" s="10"/>
    </row>
    <row r="777">
      <c r="D777" s="4"/>
      <c r="G777" s="10"/>
    </row>
    <row r="778">
      <c r="D778" s="4"/>
      <c r="G778" s="10"/>
    </row>
    <row r="779">
      <c r="D779" s="4"/>
      <c r="G779" s="10"/>
    </row>
    <row r="780">
      <c r="D780" s="4"/>
      <c r="G780" s="10"/>
    </row>
    <row r="781">
      <c r="D781" s="4"/>
      <c r="G781" s="10"/>
    </row>
    <row r="782">
      <c r="D782" s="4"/>
      <c r="G782" s="10"/>
    </row>
    <row r="783">
      <c r="D783" s="4"/>
      <c r="G783" s="10"/>
    </row>
    <row r="784">
      <c r="D784" s="4"/>
      <c r="G784" s="10"/>
    </row>
    <row r="785">
      <c r="D785" s="4"/>
      <c r="G785" s="10"/>
    </row>
    <row r="786">
      <c r="D786" s="4"/>
      <c r="G786" s="10"/>
    </row>
    <row r="787">
      <c r="D787" s="4"/>
      <c r="G787" s="10"/>
    </row>
    <row r="788">
      <c r="D788" s="4"/>
      <c r="G788" s="10"/>
    </row>
    <row r="789">
      <c r="D789" s="4"/>
      <c r="G789" s="10"/>
    </row>
    <row r="790">
      <c r="D790" s="4"/>
      <c r="G790" s="10"/>
    </row>
    <row r="791">
      <c r="D791" s="4"/>
      <c r="G791" s="10"/>
    </row>
    <row r="792">
      <c r="D792" s="4"/>
      <c r="G792" s="10"/>
    </row>
    <row r="793">
      <c r="D793" s="4"/>
      <c r="G793" s="10"/>
    </row>
    <row r="794">
      <c r="D794" s="4"/>
      <c r="G794" s="10"/>
    </row>
    <row r="795">
      <c r="D795" s="4"/>
      <c r="G795" s="10"/>
    </row>
    <row r="796">
      <c r="D796" s="4"/>
      <c r="G796" s="10"/>
    </row>
    <row r="797">
      <c r="D797" s="4"/>
      <c r="G797" s="10"/>
    </row>
    <row r="798">
      <c r="D798" s="4"/>
      <c r="G798" s="10"/>
    </row>
    <row r="799">
      <c r="D799" s="4"/>
      <c r="G799" s="10"/>
    </row>
    <row r="800">
      <c r="D800" s="4"/>
      <c r="G800" s="10"/>
    </row>
    <row r="801">
      <c r="D801" s="4"/>
      <c r="G801" s="10"/>
    </row>
    <row r="802">
      <c r="D802" s="4"/>
      <c r="G802" s="10"/>
    </row>
    <row r="803">
      <c r="D803" s="4"/>
      <c r="G803" s="10"/>
    </row>
    <row r="804">
      <c r="D804" s="4"/>
      <c r="G804" s="10"/>
    </row>
    <row r="805">
      <c r="D805" s="4"/>
      <c r="G805" s="10"/>
    </row>
    <row r="806">
      <c r="D806" s="4"/>
      <c r="G806" s="10"/>
    </row>
    <row r="807">
      <c r="D807" s="4"/>
      <c r="G807" s="10"/>
    </row>
    <row r="808">
      <c r="D808" s="4"/>
      <c r="G808" s="10"/>
    </row>
    <row r="809">
      <c r="D809" s="4"/>
      <c r="G809" s="10"/>
    </row>
    <row r="810">
      <c r="D810" s="4"/>
      <c r="G810" s="10"/>
    </row>
    <row r="811">
      <c r="D811" s="4"/>
      <c r="G811" s="10"/>
    </row>
    <row r="812">
      <c r="D812" s="4"/>
      <c r="G812" s="10"/>
    </row>
    <row r="813">
      <c r="D813" s="4"/>
      <c r="G813" s="10"/>
    </row>
    <row r="814">
      <c r="D814" s="4"/>
      <c r="G814" s="10"/>
    </row>
    <row r="815">
      <c r="D815" s="4"/>
      <c r="G815" s="10"/>
    </row>
    <row r="816">
      <c r="D816" s="4"/>
      <c r="G816" s="10"/>
    </row>
    <row r="817">
      <c r="D817" s="4"/>
      <c r="G817" s="10"/>
    </row>
    <row r="818">
      <c r="D818" s="4"/>
      <c r="G818" s="10"/>
    </row>
    <row r="819">
      <c r="D819" s="4"/>
      <c r="G819" s="10"/>
    </row>
    <row r="820">
      <c r="D820" s="4"/>
      <c r="G820" s="10"/>
    </row>
    <row r="821">
      <c r="D821" s="4"/>
      <c r="G821" s="10"/>
    </row>
    <row r="822">
      <c r="D822" s="4"/>
      <c r="G822" s="10"/>
    </row>
    <row r="823">
      <c r="D823" s="4"/>
      <c r="G823" s="10"/>
    </row>
    <row r="824">
      <c r="D824" s="4"/>
      <c r="G824" s="10"/>
    </row>
    <row r="825">
      <c r="D825" s="4"/>
      <c r="G825" s="10"/>
    </row>
    <row r="826">
      <c r="D826" s="4"/>
      <c r="G826" s="10"/>
    </row>
    <row r="827">
      <c r="D827" s="4"/>
      <c r="G827" s="10"/>
    </row>
    <row r="828">
      <c r="D828" s="4"/>
      <c r="G828" s="10"/>
    </row>
    <row r="829">
      <c r="D829" s="4"/>
      <c r="G829" s="10"/>
    </row>
    <row r="830">
      <c r="D830" s="4"/>
      <c r="G830" s="10"/>
    </row>
    <row r="831">
      <c r="D831" s="4"/>
      <c r="G831" s="10"/>
    </row>
    <row r="832">
      <c r="D832" s="4"/>
      <c r="G832" s="10"/>
    </row>
    <row r="833">
      <c r="D833" s="4"/>
      <c r="G833" s="10"/>
    </row>
    <row r="834">
      <c r="D834" s="4"/>
      <c r="G834" s="10"/>
    </row>
    <row r="835">
      <c r="D835" s="4"/>
      <c r="G835" s="10"/>
    </row>
    <row r="836">
      <c r="D836" s="4"/>
      <c r="G836" s="10"/>
    </row>
    <row r="837">
      <c r="D837" s="4"/>
      <c r="G837" s="10"/>
    </row>
    <row r="838">
      <c r="D838" s="4"/>
      <c r="G838" s="10"/>
    </row>
    <row r="839">
      <c r="D839" s="4"/>
      <c r="G839" s="10"/>
    </row>
    <row r="840">
      <c r="D840" s="4"/>
      <c r="G840" s="10"/>
    </row>
    <row r="841">
      <c r="D841" s="4"/>
      <c r="G841" s="10"/>
    </row>
    <row r="842">
      <c r="D842" s="4"/>
      <c r="G842" s="10"/>
    </row>
    <row r="843">
      <c r="D843" s="4"/>
      <c r="G843" s="10"/>
    </row>
    <row r="844">
      <c r="D844" s="4"/>
      <c r="G844" s="10"/>
    </row>
    <row r="845">
      <c r="D845" s="4"/>
      <c r="G845" s="10"/>
    </row>
    <row r="846">
      <c r="D846" s="4"/>
      <c r="G846" s="10"/>
    </row>
    <row r="847">
      <c r="D847" s="4"/>
      <c r="G847" s="10"/>
    </row>
    <row r="848">
      <c r="D848" s="4"/>
      <c r="G848" s="10"/>
    </row>
    <row r="849">
      <c r="D849" s="4"/>
      <c r="G849" s="10"/>
    </row>
    <row r="850">
      <c r="D850" s="4"/>
      <c r="G850" s="10"/>
    </row>
    <row r="851">
      <c r="D851" s="4"/>
      <c r="G851" s="10"/>
    </row>
    <row r="852">
      <c r="D852" s="4"/>
      <c r="G852" s="10"/>
    </row>
    <row r="853">
      <c r="D853" s="4"/>
      <c r="G853" s="10"/>
    </row>
    <row r="854">
      <c r="D854" s="4"/>
      <c r="G854" s="10"/>
    </row>
    <row r="855">
      <c r="D855" s="4"/>
      <c r="G855" s="10"/>
    </row>
    <row r="856">
      <c r="D856" s="4"/>
      <c r="G856" s="10"/>
    </row>
    <row r="857">
      <c r="D857" s="4"/>
      <c r="G857" s="10"/>
    </row>
    <row r="858">
      <c r="D858" s="4"/>
      <c r="G858" s="10"/>
    </row>
    <row r="859">
      <c r="D859" s="4"/>
      <c r="G859" s="10"/>
    </row>
    <row r="860">
      <c r="D860" s="4"/>
      <c r="G860" s="10"/>
    </row>
    <row r="861">
      <c r="D861" s="4"/>
      <c r="G861" s="10"/>
    </row>
    <row r="862">
      <c r="D862" s="4"/>
      <c r="G862" s="10"/>
    </row>
    <row r="863">
      <c r="D863" s="4"/>
      <c r="G863" s="10"/>
    </row>
    <row r="864">
      <c r="D864" s="4"/>
      <c r="G864" s="10"/>
    </row>
    <row r="865">
      <c r="D865" s="4"/>
      <c r="G865" s="10"/>
    </row>
    <row r="866">
      <c r="D866" s="4"/>
      <c r="G866" s="10"/>
    </row>
    <row r="867">
      <c r="D867" s="4"/>
      <c r="G867" s="10"/>
    </row>
    <row r="868">
      <c r="D868" s="4"/>
      <c r="G868" s="10"/>
    </row>
    <row r="869">
      <c r="D869" s="4"/>
      <c r="G869" s="10"/>
    </row>
    <row r="870">
      <c r="D870" s="4"/>
      <c r="G870" s="10"/>
    </row>
    <row r="871">
      <c r="D871" s="4"/>
      <c r="G871" s="10"/>
    </row>
    <row r="872">
      <c r="D872" s="4"/>
      <c r="G872" s="10"/>
    </row>
    <row r="873">
      <c r="D873" s="4"/>
      <c r="G873" s="10"/>
    </row>
    <row r="874">
      <c r="D874" s="4"/>
      <c r="G874" s="10"/>
    </row>
    <row r="875">
      <c r="D875" s="4"/>
      <c r="G875" s="10"/>
    </row>
    <row r="876">
      <c r="D876" s="4"/>
      <c r="G876" s="10"/>
    </row>
    <row r="877">
      <c r="D877" s="4"/>
      <c r="G877" s="10"/>
    </row>
    <row r="878">
      <c r="D878" s="4"/>
      <c r="G878" s="10"/>
    </row>
    <row r="879">
      <c r="D879" s="4"/>
      <c r="G879" s="10"/>
    </row>
    <row r="880">
      <c r="D880" s="4"/>
      <c r="G880" s="10"/>
    </row>
    <row r="881">
      <c r="D881" s="4"/>
      <c r="G881" s="10"/>
    </row>
    <row r="882">
      <c r="D882" s="4"/>
      <c r="G882" s="10"/>
    </row>
    <row r="883">
      <c r="D883" s="4"/>
      <c r="G883" s="10"/>
    </row>
    <row r="884">
      <c r="D884" s="4"/>
      <c r="G884" s="10"/>
    </row>
    <row r="885">
      <c r="D885" s="4"/>
      <c r="G885" s="10"/>
    </row>
    <row r="886">
      <c r="D886" s="4"/>
      <c r="G886" s="10"/>
    </row>
    <row r="887">
      <c r="D887" s="4"/>
      <c r="G887" s="10"/>
    </row>
    <row r="888">
      <c r="D888" s="4"/>
      <c r="G888" s="10"/>
    </row>
    <row r="889">
      <c r="D889" s="4"/>
      <c r="G889" s="10"/>
    </row>
    <row r="890">
      <c r="D890" s="4"/>
      <c r="G890" s="10"/>
    </row>
    <row r="891">
      <c r="D891" s="4"/>
      <c r="G891" s="10"/>
    </row>
    <row r="892">
      <c r="D892" s="4"/>
      <c r="G892" s="10"/>
    </row>
    <row r="893">
      <c r="D893" s="4"/>
      <c r="G893" s="10"/>
    </row>
    <row r="894">
      <c r="D894" s="4"/>
      <c r="G894" s="10"/>
    </row>
    <row r="895">
      <c r="D895" s="4"/>
      <c r="G895" s="10"/>
    </row>
    <row r="896">
      <c r="D896" s="4"/>
      <c r="G896" s="10"/>
    </row>
    <row r="897">
      <c r="D897" s="4"/>
      <c r="G897" s="10"/>
    </row>
    <row r="898">
      <c r="D898" s="4"/>
      <c r="G898" s="10"/>
    </row>
    <row r="899">
      <c r="D899" s="4"/>
      <c r="G899" s="10"/>
    </row>
    <row r="900">
      <c r="D900" s="4"/>
      <c r="G900" s="10"/>
    </row>
    <row r="901">
      <c r="D901" s="4"/>
      <c r="G901" s="10"/>
    </row>
    <row r="902">
      <c r="D902" s="4"/>
      <c r="G902" s="10"/>
    </row>
    <row r="903">
      <c r="D903" s="4"/>
      <c r="G903" s="10"/>
    </row>
    <row r="904">
      <c r="D904" s="4"/>
      <c r="G904" s="10"/>
    </row>
    <row r="905">
      <c r="D905" s="4"/>
      <c r="G905" s="10"/>
    </row>
    <row r="906">
      <c r="D906" s="4"/>
      <c r="G906" s="10"/>
    </row>
    <row r="907">
      <c r="D907" s="4"/>
      <c r="G907" s="10"/>
    </row>
    <row r="908">
      <c r="D908" s="4"/>
      <c r="G908" s="10"/>
    </row>
    <row r="909">
      <c r="D909" s="4"/>
      <c r="G909" s="10"/>
    </row>
    <row r="910">
      <c r="D910" s="4"/>
      <c r="G910" s="10"/>
    </row>
    <row r="911">
      <c r="D911" s="4"/>
      <c r="G911" s="10"/>
    </row>
    <row r="912">
      <c r="D912" s="4"/>
      <c r="G912" s="10"/>
    </row>
    <row r="913">
      <c r="D913" s="4"/>
      <c r="G913" s="10"/>
    </row>
    <row r="914">
      <c r="D914" s="4"/>
      <c r="G914" s="10"/>
    </row>
    <row r="915">
      <c r="D915" s="4"/>
      <c r="G915" s="10"/>
    </row>
    <row r="916">
      <c r="D916" s="4"/>
      <c r="G916" s="10"/>
    </row>
    <row r="917">
      <c r="D917" s="4"/>
      <c r="G917" s="10"/>
    </row>
    <row r="918">
      <c r="D918" s="4"/>
      <c r="G918" s="10"/>
    </row>
    <row r="919">
      <c r="D919" s="4"/>
      <c r="G919" s="10"/>
    </row>
    <row r="920">
      <c r="D920" s="4"/>
      <c r="G920" s="10"/>
    </row>
    <row r="921">
      <c r="D921" s="4"/>
      <c r="G921" s="10"/>
    </row>
    <row r="922">
      <c r="D922" s="4"/>
      <c r="G922" s="10"/>
    </row>
    <row r="923">
      <c r="D923" s="4"/>
      <c r="G923" s="10"/>
    </row>
    <row r="924">
      <c r="D924" s="4"/>
      <c r="G924" s="10"/>
    </row>
    <row r="925">
      <c r="D925" s="4"/>
      <c r="G925" s="10"/>
    </row>
    <row r="926">
      <c r="D926" s="4"/>
      <c r="G926" s="10"/>
    </row>
    <row r="927">
      <c r="D927" s="4"/>
      <c r="G927" s="10"/>
    </row>
    <row r="928">
      <c r="D928" s="4"/>
      <c r="G928" s="10"/>
    </row>
    <row r="929">
      <c r="D929" s="4"/>
      <c r="G929" s="10"/>
    </row>
    <row r="930">
      <c r="D930" s="4"/>
      <c r="G930" s="10"/>
    </row>
    <row r="931">
      <c r="D931" s="4"/>
      <c r="G931" s="10"/>
    </row>
    <row r="932">
      <c r="D932" s="4"/>
      <c r="G932" s="10"/>
    </row>
    <row r="933">
      <c r="D933" s="4"/>
      <c r="G933" s="10"/>
    </row>
    <row r="934">
      <c r="D934" s="4"/>
      <c r="G934" s="10"/>
    </row>
    <row r="935">
      <c r="D935" s="4"/>
      <c r="G935" s="10"/>
    </row>
    <row r="936">
      <c r="D936" s="4"/>
      <c r="G936" s="10"/>
    </row>
    <row r="937">
      <c r="D937" s="4"/>
      <c r="G937" s="10"/>
    </row>
    <row r="938">
      <c r="D938" s="4"/>
      <c r="G938" s="10"/>
    </row>
    <row r="939">
      <c r="D939" s="4"/>
      <c r="G939" s="10"/>
    </row>
    <row r="940">
      <c r="D940" s="4"/>
      <c r="G940" s="10"/>
    </row>
    <row r="941">
      <c r="D941" s="4"/>
      <c r="G941" s="10"/>
    </row>
    <row r="942">
      <c r="D942" s="4"/>
      <c r="G942" s="10"/>
    </row>
    <row r="943">
      <c r="D943" s="4"/>
      <c r="G943" s="10"/>
    </row>
    <row r="944">
      <c r="D944" s="4"/>
      <c r="G944" s="10"/>
    </row>
    <row r="945">
      <c r="D945" s="4"/>
      <c r="G945" s="10"/>
    </row>
    <row r="946">
      <c r="D946" s="4"/>
      <c r="G946" s="10"/>
    </row>
    <row r="947">
      <c r="D947" s="4"/>
      <c r="G947" s="10"/>
    </row>
    <row r="948">
      <c r="D948" s="4"/>
      <c r="G948" s="10"/>
    </row>
    <row r="949">
      <c r="D949" s="4"/>
      <c r="G949" s="10"/>
    </row>
    <row r="950">
      <c r="D950" s="4"/>
      <c r="G950" s="10"/>
    </row>
    <row r="951">
      <c r="D951" s="4"/>
      <c r="G951" s="10"/>
    </row>
    <row r="952">
      <c r="D952" s="4"/>
      <c r="G952" s="10"/>
    </row>
    <row r="953">
      <c r="D953" s="4"/>
      <c r="G953" s="10"/>
    </row>
    <row r="954">
      <c r="D954" s="4"/>
      <c r="G954" s="10"/>
    </row>
    <row r="955">
      <c r="D955" s="4"/>
      <c r="G955" s="10"/>
    </row>
    <row r="956">
      <c r="D956" s="4"/>
      <c r="G956" s="10"/>
    </row>
    <row r="957">
      <c r="D957" s="4"/>
      <c r="G957" s="10"/>
    </row>
    <row r="958">
      <c r="D958" s="4"/>
      <c r="G958" s="10"/>
    </row>
    <row r="959">
      <c r="D959" s="4"/>
      <c r="G959" s="10"/>
    </row>
    <row r="960">
      <c r="D960" s="4"/>
      <c r="G960" s="10"/>
    </row>
    <row r="961">
      <c r="D961" s="4"/>
      <c r="G961" s="10"/>
    </row>
    <row r="962">
      <c r="D962" s="4"/>
      <c r="G962" s="10"/>
    </row>
    <row r="963">
      <c r="D963" s="4"/>
      <c r="G963" s="10"/>
    </row>
    <row r="964">
      <c r="D964" s="4"/>
      <c r="G964" s="10"/>
    </row>
    <row r="965">
      <c r="D965" s="4"/>
      <c r="G965" s="10"/>
    </row>
    <row r="966">
      <c r="D966" s="4"/>
      <c r="G966" s="10"/>
    </row>
    <row r="967">
      <c r="D967" s="4"/>
      <c r="G967" s="10"/>
    </row>
    <row r="968">
      <c r="D968" s="4"/>
      <c r="G968" s="10"/>
    </row>
    <row r="969">
      <c r="D969" s="4"/>
      <c r="G969" s="10"/>
    </row>
    <row r="970">
      <c r="D970" s="4"/>
      <c r="G970" s="10"/>
    </row>
    <row r="971">
      <c r="D971" s="4"/>
      <c r="G971" s="10"/>
    </row>
    <row r="972">
      <c r="D972" s="4"/>
      <c r="G972" s="10"/>
    </row>
    <row r="973">
      <c r="D973" s="4"/>
      <c r="G973" s="10"/>
    </row>
    <row r="974">
      <c r="D974" s="4"/>
      <c r="G974" s="10"/>
    </row>
    <row r="975">
      <c r="D975" s="4"/>
      <c r="G975" s="10"/>
    </row>
    <row r="976">
      <c r="D976" s="4"/>
      <c r="G976" s="10"/>
    </row>
    <row r="977">
      <c r="D977" s="4"/>
      <c r="G977" s="10"/>
    </row>
    <row r="978">
      <c r="D978" s="4"/>
      <c r="G978" s="10"/>
    </row>
    <row r="979">
      <c r="D979" s="4"/>
      <c r="G979" s="10"/>
    </row>
    <row r="980">
      <c r="D980" s="4"/>
      <c r="G980" s="10"/>
    </row>
    <row r="981">
      <c r="D981" s="4"/>
      <c r="G981" s="10"/>
    </row>
    <row r="982">
      <c r="D982" s="4"/>
      <c r="G982" s="10"/>
    </row>
    <row r="983">
      <c r="D983" s="4"/>
      <c r="G983" s="10"/>
    </row>
    <row r="984">
      <c r="D984" s="4"/>
      <c r="G984" s="10"/>
    </row>
    <row r="985">
      <c r="D985" s="4"/>
      <c r="G985" s="10"/>
    </row>
    <row r="986">
      <c r="D986" s="4"/>
      <c r="G986" s="10"/>
    </row>
    <row r="987">
      <c r="D987" s="4"/>
      <c r="G987" s="10"/>
    </row>
    <row r="988">
      <c r="D988" s="4"/>
      <c r="G988" s="10"/>
    </row>
    <row r="989">
      <c r="D989" s="4"/>
      <c r="G989" s="10"/>
    </row>
    <row r="990">
      <c r="D990" s="4"/>
      <c r="G990" s="10"/>
    </row>
    <row r="991">
      <c r="D991" s="4"/>
      <c r="G991" s="10"/>
    </row>
    <row r="992">
      <c r="D992" s="4"/>
      <c r="G992" s="10"/>
    </row>
    <row r="993">
      <c r="D993" s="4"/>
      <c r="G993" s="10"/>
    </row>
    <row r="994">
      <c r="D994" s="4"/>
      <c r="G994" s="10"/>
    </row>
    <row r="995">
      <c r="D995" s="4"/>
      <c r="G995" s="10"/>
    </row>
    <row r="996">
      <c r="D996" s="4"/>
      <c r="G996" s="10"/>
    </row>
    <row r="997">
      <c r="D997" s="4"/>
      <c r="G997" s="10"/>
    </row>
    <row r="998">
      <c r="D998" s="4"/>
      <c r="G998" s="10"/>
    </row>
    <row r="999">
      <c r="D999" s="4"/>
      <c r="G999" s="10"/>
    </row>
    <row r="1000">
      <c r="D1000" s="4"/>
      <c r="G1000" s="10"/>
    </row>
    <row r="1001">
      <c r="D1001" s="4"/>
      <c r="G1001" s="10"/>
    </row>
    <row r="1002">
      <c r="D1002" s="4"/>
      <c r="G1002" s="1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5"/>
      <c r="E1" s="5">
        <v>8.0</v>
      </c>
      <c r="F1" s="5">
        <v>12.0</v>
      </c>
      <c r="G1" s="5">
        <v>6.0</v>
      </c>
      <c r="H1" s="5">
        <v>8.0</v>
      </c>
      <c r="I1" s="5">
        <v>120.0</v>
      </c>
      <c r="J1" s="5">
        <v>300.0</v>
      </c>
      <c r="K1" s="5">
        <v>1.0</v>
      </c>
    </row>
    <row r="2">
      <c r="C2" s="5">
        <v>8000.0</v>
      </c>
      <c r="E2" s="1">
        <f>VLOOKUP(E3,CXP!$A$1:$AS$344,39)</f>
        <v>10100</v>
      </c>
      <c r="F2" s="1">
        <f>VLOOKUP(F3,CXP!$A$1:$AS$344,39)</f>
        <v>10500</v>
      </c>
      <c r="G2" s="1">
        <f>VLOOKUP(G3,CXP!$A$1:$AS$344,39)</f>
        <v>4400</v>
      </c>
      <c r="H2" s="1">
        <f>VLOOKUP(H3,CXP!$A$1:$AS$344,39)</f>
        <v>100147.4063</v>
      </c>
      <c r="I2" s="1">
        <f>VLOOKUP(I3,CXP!$A$1:$AS$344,39)</f>
        <v>39</v>
      </c>
      <c r="J2" s="1">
        <f>VLOOKUP(J3,CXP!$A$1:$AS$344,39)</f>
        <v>170</v>
      </c>
      <c r="K2" s="1">
        <f>VLOOKUP(K3,CXP!$A$1:$AS$344,39)</f>
        <v>14760.70996</v>
      </c>
    </row>
    <row r="3">
      <c r="A3" s="5" t="s">
        <v>0</v>
      </c>
      <c r="B3" s="5" t="s">
        <v>1</v>
      </c>
      <c r="C3" s="5" t="s">
        <v>32</v>
      </c>
      <c r="D3" s="5" t="s">
        <v>33</v>
      </c>
      <c r="E3" s="5" t="s">
        <v>34</v>
      </c>
      <c r="F3" s="5" t="s">
        <v>22</v>
      </c>
      <c r="G3" s="5" t="s">
        <v>21</v>
      </c>
      <c r="H3" s="5" t="s">
        <v>24</v>
      </c>
      <c r="I3" s="5" t="s">
        <v>2</v>
      </c>
      <c r="J3" s="5" t="s">
        <v>6</v>
      </c>
      <c r="K3" s="5" t="s">
        <v>9</v>
      </c>
      <c r="L3" s="5" t="s">
        <v>10</v>
      </c>
      <c r="M3" s="5" t="s">
        <v>35</v>
      </c>
      <c r="N3" s="5" t="s">
        <v>36</v>
      </c>
    </row>
    <row r="4">
      <c r="A4" s="5">
        <v>0.0</v>
      </c>
      <c r="B4" s="8">
        <f t="shared" ref="B4:B184" si="2">0.33+0.67/(1+EXP(1789/25000 * (A4-100.87)))</f>
        <v>0.9995091969</v>
      </c>
      <c r="C4" s="1">
        <f t="shared" ref="C4:C184" si="3">$C$2*B4</f>
        <v>7996.073575</v>
      </c>
      <c r="D4" s="1">
        <f t="shared" ref="D4:D184" si="4">SUM($C$4:C4)/(A4+1)</f>
        <v>7996.073575</v>
      </c>
      <c r="E4" s="1">
        <f t="shared" ref="E4:K4" si="1">(E$1-_xlfn.FLOOR.MATH(E$1*(180-MIN(180,$A4))/180))*E$2</f>
        <v>0</v>
      </c>
      <c r="F4" s="1">
        <f t="shared" si="1"/>
        <v>0</v>
      </c>
      <c r="G4" s="1">
        <f t="shared" si="1"/>
        <v>0</v>
      </c>
      <c r="H4" s="1">
        <f t="shared" si="1"/>
        <v>0</v>
      </c>
      <c r="I4" s="1">
        <f t="shared" si="1"/>
        <v>0</v>
      </c>
      <c r="J4" s="1">
        <f t="shared" si="1"/>
        <v>0</v>
      </c>
      <c r="K4" s="1">
        <f t="shared" si="1"/>
        <v>0</v>
      </c>
      <c r="L4" s="1">
        <f t="shared" ref="L4:L184" si="6">SUM(E4:K4)</f>
        <v>0</v>
      </c>
      <c r="M4" s="11">
        <f>M5</f>
        <v>140287.1162</v>
      </c>
      <c r="N4" s="11">
        <f t="shared" ref="N4:N184" si="7">D4-M4</f>
        <v>-132291.0426</v>
      </c>
    </row>
    <row r="5">
      <c r="A5" s="5">
        <v>1.0</v>
      </c>
      <c r="B5" s="8">
        <f t="shared" si="2"/>
        <v>0.9994728165</v>
      </c>
      <c r="C5" s="1">
        <f t="shared" si="3"/>
        <v>7995.782532</v>
      </c>
      <c r="D5" s="1">
        <f t="shared" si="4"/>
        <v>7995.928054</v>
      </c>
      <c r="E5" s="1">
        <f t="shared" ref="E5:K5" si="5">(E$1-_xlfn.FLOOR.MATH(E$1*(180-MIN(180,$A5))/180))*E$2</f>
        <v>10100</v>
      </c>
      <c r="F5" s="1">
        <f t="shared" si="5"/>
        <v>10500</v>
      </c>
      <c r="G5" s="1">
        <f t="shared" si="5"/>
        <v>4400</v>
      </c>
      <c r="H5" s="1">
        <f t="shared" si="5"/>
        <v>100147.4063</v>
      </c>
      <c r="I5" s="1">
        <f t="shared" si="5"/>
        <v>39</v>
      </c>
      <c r="J5" s="1">
        <f t="shared" si="5"/>
        <v>340</v>
      </c>
      <c r="K5" s="1">
        <f t="shared" si="5"/>
        <v>14760.70996</v>
      </c>
      <c r="L5" s="1">
        <f t="shared" si="6"/>
        <v>140287.1162</v>
      </c>
      <c r="M5" s="11">
        <f t="shared" ref="M5:M184" si="9">L5/A5</f>
        <v>140287.1162</v>
      </c>
      <c r="N5" s="11">
        <f t="shared" si="7"/>
        <v>-132291.1882</v>
      </c>
    </row>
    <row r="6">
      <c r="A6" s="5">
        <v>2.0</v>
      </c>
      <c r="B6" s="8">
        <f t="shared" si="2"/>
        <v>0.9994337417</v>
      </c>
      <c r="C6" s="1">
        <f t="shared" si="3"/>
        <v>7995.469934</v>
      </c>
      <c r="D6" s="1">
        <f t="shared" si="4"/>
        <v>7995.775347</v>
      </c>
      <c r="E6" s="1">
        <f t="shared" ref="E6:K6" si="8">(E$1-_xlfn.FLOOR.MATH(E$1*(180-MIN(180,$A6))/180))*E$2</f>
        <v>10100</v>
      </c>
      <c r="F6" s="1">
        <f t="shared" si="8"/>
        <v>10500</v>
      </c>
      <c r="G6" s="1">
        <f t="shared" si="8"/>
        <v>4400</v>
      </c>
      <c r="H6" s="1">
        <f t="shared" si="8"/>
        <v>100147.4063</v>
      </c>
      <c r="I6" s="1">
        <f t="shared" si="8"/>
        <v>78</v>
      </c>
      <c r="J6" s="1">
        <f t="shared" si="8"/>
        <v>680</v>
      </c>
      <c r="K6" s="1">
        <f t="shared" si="8"/>
        <v>14760.70996</v>
      </c>
      <c r="L6" s="1">
        <f t="shared" si="6"/>
        <v>140666.1162</v>
      </c>
      <c r="M6" s="11">
        <f t="shared" si="9"/>
        <v>70333.05811</v>
      </c>
      <c r="N6" s="11">
        <f t="shared" si="7"/>
        <v>-62337.28276</v>
      </c>
    </row>
    <row r="7">
      <c r="A7" s="5">
        <v>3.0</v>
      </c>
      <c r="B7" s="8">
        <f t="shared" si="2"/>
        <v>0.9993917734</v>
      </c>
      <c r="C7" s="1">
        <f t="shared" si="3"/>
        <v>7995.134187</v>
      </c>
      <c r="D7" s="1">
        <f t="shared" si="4"/>
        <v>7995.615057</v>
      </c>
      <c r="E7" s="1">
        <f t="shared" ref="E7:K7" si="10">(E$1-_xlfn.FLOOR.MATH(E$1*(180-MIN(180,$A7))/180))*E$2</f>
        <v>10100</v>
      </c>
      <c r="F7" s="1">
        <f t="shared" si="10"/>
        <v>10500</v>
      </c>
      <c r="G7" s="1">
        <f t="shared" si="10"/>
        <v>4400</v>
      </c>
      <c r="H7" s="1">
        <f t="shared" si="10"/>
        <v>100147.4063</v>
      </c>
      <c r="I7" s="1">
        <f t="shared" si="10"/>
        <v>78</v>
      </c>
      <c r="J7" s="1">
        <f t="shared" si="10"/>
        <v>850</v>
      </c>
      <c r="K7" s="1">
        <f t="shared" si="10"/>
        <v>14760.70996</v>
      </c>
      <c r="L7" s="1">
        <f t="shared" si="6"/>
        <v>140836.1162</v>
      </c>
      <c r="M7" s="11">
        <f t="shared" si="9"/>
        <v>46945.37207</v>
      </c>
      <c r="N7" s="11">
        <f t="shared" si="7"/>
        <v>-38949.75701</v>
      </c>
    </row>
    <row r="8">
      <c r="A8" s="5">
        <v>4.0</v>
      </c>
      <c r="B8" s="8">
        <f t="shared" si="2"/>
        <v>0.9993466975</v>
      </c>
      <c r="C8" s="1">
        <f t="shared" si="3"/>
        <v>7994.77358</v>
      </c>
      <c r="D8" s="1">
        <f t="shared" si="4"/>
        <v>7995.446762</v>
      </c>
      <c r="E8" s="1">
        <f t="shared" ref="E8:K8" si="11">(E$1-_xlfn.FLOOR.MATH(E$1*(180-MIN(180,$A8))/180))*E$2</f>
        <v>10100</v>
      </c>
      <c r="F8" s="1">
        <f t="shared" si="11"/>
        <v>10500</v>
      </c>
      <c r="G8" s="1">
        <f t="shared" si="11"/>
        <v>4400</v>
      </c>
      <c r="H8" s="1">
        <f t="shared" si="11"/>
        <v>100147.4063</v>
      </c>
      <c r="I8" s="1">
        <f t="shared" si="11"/>
        <v>117</v>
      </c>
      <c r="J8" s="1">
        <f t="shared" si="11"/>
        <v>1190</v>
      </c>
      <c r="K8" s="1">
        <f t="shared" si="11"/>
        <v>14760.70996</v>
      </c>
      <c r="L8" s="1">
        <f t="shared" si="6"/>
        <v>141215.1162</v>
      </c>
      <c r="M8" s="11">
        <f t="shared" si="9"/>
        <v>35303.77905</v>
      </c>
      <c r="N8" s="11">
        <f t="shared" si="7"/>
        <v>-27308.33229</v>
      </c>
    </row>
    <row r="9">
      <c r="A9" s="5">
        <v>5.0</v>
      </c>
      <c r="B9" s="8">
        <f t="shared" si="2"/>
        <v>0.9992982846</v>
      </c>
      <c r="C9" s="1">
        <f t="shared" si="3"/>
        <v>7994.386277</v>
      </c>
      <c r="D9" s="1">
        <f t="shared" si="4"/>
        <v>7995.270014</v>
      </c>
      <c r="E9" s="1">
        <f t="shared" ref="E9:K9" si="12">(E$1-_xlfn.FLOOR.MATH(E$1*(180-MIN(180,$A9))/180))*E$2</f>
        <v>10100</v>
      </c>
      <c r="F9" s="1">
        <f t="shared" si="12"/>
        <v>10500</v>
      </c>
      <c r="G9" s="1">
        <f t="shared" si="12"/>
        <v>4400</v>
      </c>
      <c r="H9" s="1">
        <f t="shared" si="12"/>
        <v>100147.4063</v>
      </c>
      <c r="I9" s="1">
        <f t="shared" si="12"/>
        <v>156</v>
      </c>
      <c r="J9" s="1">
        <f t="shared" si="12"/>
        <v>1530</v>
      </c>
      <c r="K9" s="1">
        <f t="shared" si="12"/>
        <v>14760.70996</v>
      </c>
      <c r="L9" s="1">
        <f t="shared" si="6"/>
        <v>141594.1162</v>
      </c>
      <c r="M9" s="11">
        <f t="shared" si="9"/>
        <v>28318.82324</v>
      </c>
      <c r="N9" s="11">
        <f t="shared" si="7"/>
        <v>-20323.55323</v>
      </c>
    </row>
    <row r="10">
      <c r="A10" s="5">
        <v>6.0</v>
      </c>
      <c r="B10" s="8">
        <f t="shared" si="2"/>
        <v>0.9992462881</v>
      </c>
      <c r="C10" s="1">
        <f t="shared" si="3"/>
        <v>7993.970305</v>
      </c>
      <c r="D10" s="1">
        <f t="shared" si="4"/>
        <v>7995.084341</v>
      </c>
      <c r="E10" s="1">
        <f t="shared" ref="E10:K10" si="13">(E$1-_xlfn.FLOOR.MATH(E$1*(180-MIN(180,$A10))/180))*E$2</f>
        <v>10100</v>
      </c>
      <c r="F10" s="1">
        <f t="shared" si="13"/>
        <v>10500</v>
      </c>
      <c r="G10" s="1">
        <f t="shared" si="13"/>
        <v>4400</v>
      </c>
      <c r="H10" s="1">
        <f t="shared" si="13"/>
        <v>100147.4063</v>
      </c>
      <c r="I10" s="1">
        <f t="shared" si="13"/>
        <v>156</v>
      </c>
      <c r="J10" s="1">
        <f t="shared" si="13"/>
        <v>1700</v>
      </c>
      <c r="K10" s="1">
        <f t="shared" si="13"/>
        <v>14760.70996</v>
      </c>
      <c r="L10" s="1">
        <f t="shared" si="6"/>
        <v>141764.1162</v>
      </c>
      <c r="M10" s="11">
        <f t="shared" si="9"/>
        <v>23627.3527</v>
      </c>
      <c r="N10" s="11">
        <f t="shared" si="7"/>
        <v>-15632.26836</v>
      </c>
    </row>
    <row r="11">
      <c r="A11" s="5">
        <v>7.0</v>
      </c>
      <c r="B11" s="8">
        <f t="shared" si="2"/>
        <v>0.9991904433</v>
      </c>
      <c r="C11" s="1">
        <f t="shared" si="3"/>
        <v>7993.523547</v>
      </c>
      <c r="D11" s="1">
        <f t="shared" si="4"/>
        <v>7994.889242</v>
      </c>
      <c r="E11" s="1">
        <f t="shared" ref="E11:K11" si="14">(E$1-_xlfn.FLOOR.MATH(E$1*(180-MIN(180,$A11))/180))*E$2</f>
        <v>10100</v>
      </c>
      <c r="F11" s="1">
        <f t="shared" si="14"/>
        <v>10500</v>
      </c>
      <c r="G11" s="1">
        <f t="shared" si="14"/>
        <v>4400</v>
      </c>
      <c r="H11" s="1">
        <f t="shared" si="14"/>
        <v>100147.4063</v>
      </c>
      <c r="I11" s="1">
        <f t="shared" si="14"/>
        <v>195</v>
      </c>
      <c r="J11" s="1">
        <f t="shared" si="14"/>
        <v>2040</v>
      </c>
      <c r="K11" s="1">
        <f t="shared" si="14"/>
        <v>14760.70996</v>
      </c>
      <c r="L11" s="1">
        <f t="shared" si="6"/>
        <v>142143.1162</v>
      </c>
      <c r="M11" s="11">
        <f t="shared" si="9"/>
        <v>20306.15946</v>
      </c>
      <c r="N11" s="11">
        <f t="shared" si="7"/>
        <v>-12311.27022</v>
      </c>
    </row>
    <row r="12">
      <c r="A12" s="5">
        <v>8.0</v>
      </c>
      <c r="B12" s="8">
        <f t="shared" si="2"/>
        <v>0.9991304663</v>
      </c>
      <c r="C12" s="1">
        <f t="shared" si="3"/>
        <v>7993.04373</v>
      </c>
      <c r="D12" s="1">
        <f t="shared" si="4"/>
        <v>7994.684185</v>
      </c>
      <c r="E12" s="1">
        <f t="shared" ref="E12:K12" si="15">(E$1-_xlfn.FLOOR.MATH(E$1*(180-MIN(180,$A12))/180))*E$2</f>
        <v>10100</v>
      </c>
      <c r="F12" s="1">
        <f t="shared" si="15"/>
        <v>10500</v>
      </c>
      <c r="G12" s="1">
        <f t="shared" si="15"/>
        <v>4400</v>
      </c>
      <c r="H12" s="1">
        <f t="shared" si="15"/>
        <v>100147.4063</v>
      </c>
      <c r="I12" s="1">
        <f t="shared" si="15"/>
        <v>234</v>
      </c>
      <c r="J12" s="1">
        <f t="shared" si="15"/>
        <v>2380</v>
      </c>
      <c r="K12" s="1">
        <f t="shared" si="15"/>
        <v>14760.70996</v>
      </c>
      <c r="L12" s="1">
        <f t="shared" si="6"/>
        <v>142522.1162</v>
      </c>
      <c r="M12" s="11">
        <f t="shared" si="9"/>
        <v>17815.26453</v>
      </c>
      <c r="N12" s="11">
        <f t="shared" si="7"/>
        <v>-9820.580341</v>
      </c>
    </row>
    <row r="13">
      <c r="A13" s="5">
        <v>9.0</v>
      </c>
      <c r="B13" s="8">
        <f t="shared" si="2"/>
        <v>0.9990660519</v>
      </c>
      <c r="C13" s="1">
        <f t="shared" si="3"/>
        <v>7992.528415</v>
      </c>
      <c r="D13" s="1">
        <f t="shared" si="4"/>
        <v>7994.468608</v>
      </c>
      <c r="E13" s="1">
        <f t="shared" ref="E13:K13" si="16">(E$1-_xlfn.FLOOR.MATH(E$1*(180-MIN(180,$A13))/180))*E$2</f>
        <v>10100</v>
      </c>
      <c r="F13" s="1">
        <f t="shared" si="16"/>
        <v>10500</v>
      </c>
      <c r="G13" s="1">
        <f t="shared" si="16"/>
        <v>4400</v>
      </c>
      <c r="H13" s="1">
        <f t="shared" si="16"/>
        <v>100147.4063</v>
      </c>
      <c r="I13" s="1">
        <f t="shared" si="16"/>
        <v>234</v>
      </c>
      <c r="J13" s="1">
        <f t="shared" si="16"/>
        <v>2550</v>
      </c>
      <c r="K13" s="1">
        <f t="shared" si="16"/>
        <v>14760.70996</v>
      </c>
      <c r="L13" s="1">
        <f t="shared" si="6"/>
        <v>142692.1162</v>
      </c>
      <c r="M13" s="11">
        <f t="shared" si="9"/>
        <v>15854.67958</v>
      </c>
      <c r="N13" s="11">
        <f t="shared" si="7"/>
        <v>-7860.210971</v>
      </c>
    </row>
    <row r="14">
      <c r="A14" s="5">
        <v>10.0</v>
      </c>
      <c r="B14" s="8">
        <f t="shared" si="2"/>
        <v>0.9989968729</v>
      </c>
      <c r="C14" s="1">
        <f t="shared" si="3"/>
        <v>7991.974983</v>
      </c>
      <c r="D14" s="1">
        <f t="shared" si="4"/>
        <v>7994.241915</v>
      </c>
      <c r="E14" s="1">
        <f t="shared" ref="E14:K14" si="17">(E$1-_xlfn.FLOOR.MATH(E$1*(180-MIN(180,$A14))/180))*E$2</f>
        <v>10100</v>
      </c>
      <c r="F14" s="1">
        <f t="shared" si="17"/>
        <v>10500</v>
      </c>
      <c r="G14" s="1">
        <f t="shared" si="17"/>
        <v>4400</v>
      </c>
      <c r="H14" s="1">
        <f t="shared" si="17"/>
        <v>100147.4063</v>
      </c>
      <c r="I14" s="1">
        <f t="shared" si="17"/>
        <v>273</v>
      </c>
      <c r="J14" s="1">
        <f t="shared" si="17"/>
        <v>2890</v>
      </c>
      <c r="K14" s="1">
        <f t="shared" si="17"/>
        <v>14760.70996</v>
      </c>
      <c r="L14" s="1">
        <f t="shared" si="6"/>
        <v>143071.1162</v>
      </c>
      <c r="M14" s="11">
        <f t="shared" si="9"/>
        <v>14307.11162</v>
      </c>
      <c r="N14" s="11">
        <f t="shared" si="7"/>
        <v>-6312.869706</v>
      </c>
    </row>
    <row r="15">
      <c r="A15" s="5">
        <v>11.0</v>
      </c>
      <c r="B15" s="8">
        <f t="shared" si="2"/>
        <v>0.998922578</v>
      </c>
      <c r="C15" s="1">
        <f t="shared" si="3"/>
        <v>7991.380624</v>
      </c>
      <c r="D15" s="1">
        <f t="shared" si="4"/>
        <v>7994.003474</v>
      </c>
      <c r="E15" s="1">
        <f t="shared" ref="E15:K15" si="18">(E$1-_xlfn.FLOOR.MATH(E$1*(180-MIN(180,$A15))/180))*E$2</f>
        <v>10100</v>
      </c>
      <c r="F15" s="1">
        <f t="shared" si="18"/>
        <v>10500</v>
      </c>
      <c r="G15" s="1">
        <f t="shared" si="18"/>
        <v>4400</v>
      </c>
      <c r="H15" s="1">
        <f t="shared" si="18"/>
        <v>100147.4063</v>
      </c>
      <c r="I15" s="1">
        <f t="shared" si="18"/>
        <v>312</v>
      </c>
      <c r="J15" s="1">
        <f t="shared" si="18"/>
        <v>3230</v>
      </c>
      <c r="K15" s="1">
        <f t="shared" si="18"/>
        <v>14760.70996</v>
      </c>
      <c r="L15" s="1">
        <f t="shared" si="6"/>
        <v>143450.1162</v>
      </c>
      <c r="M15" s="11">
        <f t="shared" si="9"/>
        <v>13040.91966</v>
      </c>
      <c r="N15" s="11">
        <f t="shared" si="7"/>
        <v>-5046.916181</v>
      </c>
    </row>
    <row r="16">
      <c r="A16" s="5">
        <v>12.0</v>
      </c>
      <c r="B16" s="8">
        <f t="shared" si="2"/>
        <v>0.9988427901</v>
      </c>
      <c r="C16" s="1">
        <f t="shared" si="3"/>
        <v>7990.742321</v>
      </c>
      <c r="D16" s="1">
        <f t="shared" si="4"/>
        <v>7993.752616</v>
      </c>
      <c r="E16" s="1">
        <f t="shared" ref="E16:K16" si="19">(E$1-_xlfn.FLOOR.MATH(E$1*(180-MIN(180,$A16))/180))*E$2</f>
        <v>10100</v>
      </c>
      <c r="F16" s="1">
        <f t="shared" si="19"/>
        <v>10500</v>
      </c>
      <c r="G16" s="1">
        <f t="shared" si="19"/>
        <v>4400</v>
      </c>
      <c r="H16" s="1">
        <f t="shared" si="19"/>
        <v>100147.4063</v>
      </c>
      <c r="I16" s="1">
        <f t="shared" si="19"/>
        <v>312</v>
      </c>
      <c r="J16" s="1">
        <f t="shared" si="19"/>
        <v>3400</v>
      </c>
      <c r="K16" s="1">
        <f t="shared" si="19"/>
        <v>14760.70996</v>
      </c>
      <c r="L16" s="1">
        <f t="shared" si="6"/>
        <v>143620.1162</v>
      </c>
      <c r="M16" s="11">
        <f t="shared" si="9"/>
        <v>11968.34302</v>
      </c>
      <c r="N16" s="11">
        <f t="shared" si="7"/>
        <v>-3974.590401</v>
      </c>
    </row>
    <row r="17">
      <c r="A17" s="5">
        <v>13.0</v>
      </c>
      <c r="B17" s="8">
        <f t="shared" si="2"/>
        <v>0.9987571045</v>
      </c>
      <c r="C17" s="1">
        <f t="shared" si="3"/>
        <v>7990.056836</v>
      </c>
      <c r="D17" s="1">
        <f t="shared" si="4"/>
        <v>7993.488632</v>
      </c>
      <c r="E17" s="1">
        <f t="shared" ref="E17:K17" si="20">(E$1-_xlfn.FLOOR.MATH(E$1*(180-MIN(180,$A17))/180))*E$2</f>
        <v>10100</v>
      </c>
      <c r="F17" s="1">
        <f t="shared" si="20"/>
        <v>10500</v>
      </c>
      <c r="G17" s="1">
        <f t="shared" si="20"/>
        <v>4400</v>
      </c>
      <c r="H17" s="1">
        <f t="shared" si="20"/>
        <v>100147.4063</v>
      </c>
      <c r="I17" s="1">
        <f t="shared" si="20"/>
        <v>351</v>
      </c>
      <c r="J17" s="1">
        <f t="shared" si="20"/>
        <v>3740</v>
      </c>
      <c r="K17" s="1">
        <f t="shared" si="20"/>
        <v>14760.70996</v>
      </c>
      <c r="L17" s="1">
        <f t="shared" si="6"/>
        <v>143999.1162</v>
      </c>
      <c r="M17" s="11">
        <f t="shared" si="9"/>
        <v>11076.85509</v>
      </c>
      <c r="N17" s="11">
        <f t="shared" si="7"/>
        <v>-3083.366461</v>
      </c>
    </row>
    <row r="18">
      <c r="A18" s="5">
        <v>14.0</v>
      </c>
      <c r="B18" s="8">
        <f t="shared" si="2"/>
        <v>0.998665087</v>
      </c>
      <c r="C18" s="1">
        <f t="shared" si="3"/>
        <v>7989.320696</v>
      </c>
      <c r="D18" s="1">
        <f t="shared" si="4"/>
        <v>7993.21077</v>
      </c>
      <c r="E18" s="1">
        <f t="shared" ref="E18:K18" si="21">(E$1-_xlfn.FLOOR.MATH(E$1*(180-MIN(180,$A18))/180))*E$2</f>
        <v>10100</v>
      </c>
      <c r="F18" s="1">
        <f t="shared" si="21"/>
        <v>10500</v>
      </c>
      <c r="G18" s="1">
        <f t="shared" si="21"/>
        <v>4400</v>
      </c>
      <c r="H18" s="1">
        <f t="shared" si="21"/>
        <v>100147.4063</v>
      </c>
      <c r="I18" s="1">
        <f t="shared" si="21"/>
        <v>390</v>
      </c>
      <c r="J18" s="1">
        <f t="shared" si="21"/>
        <v>4080</v>
      </c>
      <c r="K18" s="1">
        <f t="shared" si="21"/>
        <v>14760.70996</v>
      </c>
      <c r="L18" s="1">
        <f t="shared" si="6"/>
        <v>144378.1162</v>
      </c>
      <c r="M18" s="11">
        <f t="shared" si="9"/>
        <v>10312.72259</v>
      </c>
      <c r="N18" s="11">
        <f t="shared" si="7"/>
        <v>-2319.511817</v>
      </c>
    </row>
    <row r="19">
      <c r="A19" s="5">
        <v>15.0</v>
      </c>
      <c r="B19" s="8">
        <f t="shared" si="2"/>
        <v>0.9985662716</v>
      </c>
      <c r="C19" s="1">
        <f t="shared" si="3"/>
        <v>7988.530173</v>
      </c>
      <c r="D19" s="1">
        <f t="shared" si="4"/>
        <v>7992.918232</v>
      </c>
      <c r="E19" s="1">
        <f t="shared" ref="E19:K19" si="22">(E$1-_xlfn.FLOOR.MATH(E$1*(180-MIN(180,$A19))/180))*E$2</f>
        <v>10100</v>
      </c>
      <c r="F19" s="1">
        <f t="shared" si="22"/>
        <v>10500</v>
      </c>
      <c r="G19" s="1">
        <f t="shared" si="22"/>
        <v>4400</v>
      </c>
      <c r="H19" s="1">
        <f t="shared" si="22"/>
        <v>100147.4063</v>
      </c>
      <c r="I19" s="1">
        <f t="shared" si="22"/>
        <v>390</v>
      </c>
      <c r="J19" s="1">
        <f t="shared" si="22"/>
        <v>4250</v>
      </c>
      <c r="K19" s="1">
        <f t="shared" si="22"/>
        <v>14760.70996</v>
      </c>
      <c r="L19" s="1">
        <f t="shared" si="6"/>
        <v>144548.1162</v>
      </c>
      <c r="M19" s="11">
        <f t="shared" si="9"/>
        <v>9636.541081</v>
      </c>
      <c r="N19" s="11">
        <f t="shared" si="7"/>
        <v>-1643.622849</v>
      </c>
    </row>
    <row r="20">
      <c r="A20" s="5">
        <v>16.0</v>
      </c>
      <c r="B20" s="8">
        <f t="shared" si="2"/>
        <v>0.9984601583</v>
      </c>
      <c r="C20" s="1">
        <f t="shared" si="3"/>
        <v>7987.681267</v>
      </c>
      <c r="D20" s="1">
        <f t="shared" si="4"/>
        <v>7992.610175</v>
      </c>
      <c r="E20" s="1">
        <f t="shared" ref="E20:K20" si="23">(E$1-_xlfn.FLOOR.MATH(E$1*(180-MIN(180,$A20))/180))*E$2</f>
        <v>10100</v>
      </c>
      <c r="F20" s="1">
        <f t="shared" si="23"/>
        <v>21000</v>
      </c>
      <c r="G20" s="1">
        <f t="shared" si="23"/>
        <v>4400</v>
      </c>
      <c r="H20" s="1">
        <f t="shared" si="23"/>
        <v>100147.4063</v>
      </c>
      <c r="I20" s="1">
        <f t="shared" si="23"/>
        <v>429</v>
      </c>
      <c r="J20" s="1">
        <f t="shared" si="23"/>
        <v>4590</v>
      </c>
      <c r="K20" s="1">
        <f t="shared" si="23"/>
        <v>14760.70996</v>
      </c>
      <c r="L20" s="1">
        <f t="shared" si="6"/>
        <v>155427.1162</v>
      </c>
      <c r="M20" s="11">
        <f t="shared" si="9"/>
        <v>9714.194763</v>
      </c>
      <c r="N20" s="11">
        <f t="shared" si="7"/>
        <v>-1721.584588</v>
      </c>
    </row>
    <row r="21">
      <c r="A21" s="5">
        <v>17.0</v>
      </c>
      <c r="B21" s="8">
        <f t="shared" si="2"/>
        <v>0.9983462108</v>
      </c>
      <c r="C21" s="1">
        <f t="shared" si="3"/>
        <v>7986.769687</v>
      </c>
      <c r="D21" s="1">
        <f t="shared" si="4"/>
        <v>7992.285704</v>
      </c>
      <c r="E21" s="1">
        <f t="shared" ref="E21:K21" si="24">(E$1-_xlfn.FLOOR.MATH(E$1*(180-MIN(180,$A21))/180))*E$2</f>
        <v>10100</v>
      </c>
      <c r="F21" s="1">
        <f t="shared" si="24"/>
        <v>21000</v>
      </c>
      <c r="G21" s="1">
        <f t="shared" si="24"/>
        <v>4400</v>
      </c>
      <c r="H21" s="1">
        <f t="shared" si="24"/>
        <v>100147.4063</v>
      </c>
      <c r="I21" s="1">
        <f t="shared" si="24"/>
        <v>468</v>
      </c>
      <c r="J21" s="1">
        <f t="shared" si="24"/>
        <v>4930</v>
      </c>
      <c r="K21" s="1">
        <f t="shared" si="24"/>
        <v>14760.70996</v>
      </c>
      <c r="L21" s="1">
        <f t="shared" si="6"/>
        <v>155806.1162</v>
      </c>
      <c r="M21" s="11">
        <f t="shared" si="9"/>
        <v>9165.065659</v>
      </c>
      <c r="N21" s="11">
        <f t="shared" si="7"/>
        <v>-1172.779956</v>
      </c>
    </row>
    <row r="22">
      <c r="A22" s="5">
        <v>18.0</v>
      </c>
      <c r="B22" s="8">
        <f t="shared" si="2"/>
        <v>0.9982238537</v>
      </c>
      <c r="C22" s="1">
        <f t="shared" si="3"/>
        <v>7985.790829</v>
      </c>
      <c r="D22" s="1">
        <f t="shared" si="4"/>
        <v>7991.943868</v>
      </c>
      <c r="E22" s="1">
        <f t="shared" ref="E22:K22" si="25">(E$1-_xlfn.FLOOR.MATH(E$1*(180-MIN(180,$A22))/180))*E$2</f>
        <v>10100</v>
      </c>
      <c r="F22" s="1">
        <f t="shared" si="25"/>
        <v>21000</v>
      </c>
      <c r="G22" s="1">
        <f t="shared" si="25"/>
        <v>4400</v>
      </c>
      <c r="H22" s="1">
        <f t="shared" si="25"/>
        <v>100147.4063</v>
      </c>
      <c r="I22" s="1">
        <f t="shared" si="25"/>
        <v>468</v>
      </c>
      <c r="J22" s="1">
        <f t="shared" si="25"/>
        <v>5100</v>
      </c>
      <c r="K22" s="1">
        <f t="shared" si="25"/>
        <v>14760.70996</v>
      </c>
      <c r="L22" s="1">
        <f t="shared" si="6"/>
        <v>155976.1162</v>
      </c>
      <c r="M22" s="11">
        <f t="shared" si="9"/>
        <v>8665.339789</v>
      </c>
      <c r="N22" s="11">
        <f t="shared" si="7"/>
        <v>-673.3959212</v>
      </c>
    </row>
    <row r="23">
      <c r="A23" s="5">
        <v>19.0</v>
      </c>
      <c r="B23" s="8">
        <f t="shared" si="2"/>
        <v>0.9980924697</v>
      </c>
      <c r="C23" s="1">
        <f t="shared" si="3"/>
        <v>7984.739757</v>
      </c>
      <c r="D23" s="1">
        <f t="shared" si="4"/>
        <v>7991.583663</v>
      </c>
      <c r="E23" s="1">
        <f t="shared" ref="E23:K23" si="26">(E$1-_xlfn.FLOOR.MATH(E$1*(180-MIN(180,$A23))/180))*E$2</f>
        <v>10100</v>
      </c>
      <c r="F23" s="1">
        <f t="shared" si="26"/>
        <v>21000</v>
      </c>
      <c r="G23" s="1">
        <f t="shared" si="26"/>
        <v>4400</v>
      </c>
      <c r="H23" s="1">
        <f t="shared" si="26"/>
        <v>100147.4063</v>
      </c>
      <c r="I23" s="1">
        <f t="shared" si="26"/>
        <v>507</v>
      </c>
      <c r="J23" s="1">
        <f t="shared" si="26"/>
        <v>5440</v>
      </c>
      <c r="K23" s="1">
        <f t="shared" si="26"/>
        <v>14760.70996</v>
      </c>
      <c r="L23" s="1">
        <f t="shared" si="6"/>
        <v>156355.1162</v>
      </c>
      <c r="M23" s="11">
        <f t="shared" si="9"/>
        <v>8229.216643</v>
      </c>
      <c r="N23" s="11">
        <f t="shared" si="7"/>
        <v>-237.6329799</v>
      </c>
    </row>
    <row r="24">
      <c r="A24" s="5">
        <v>20.0</v>
      </c>
      <c r="B24" s="8">
        <f t="shared" si="2"/>
        <v>0.9979513968</v>
      </c>
      <c r="C24" s="1">
        <f t="shared" si="3"/>
        <v>7983.611174</v>
      </c>
      <c r="D24" s="1">
        <f t="shared" si="4"/>
        <v>7991.20402</v>
      </c>
      <c r="E24" s="1">
        <f t="shared" ref="E24:K24" si="27">(E$1-_xlfn.FLOOR.MATH(E$1*(180-MIN(180,$A24))/180))*E$2</f>
        <v>10100</v>
      </c>
      <c r="F24" s="1">
        <f t="shared" si="27"/>
        <v>21000</v>
      </c>
      <c r="G24" s="1">
        <f t="shared" si="27"/>
        <v>4400</v>
      </c>
      <c r="H24" s="1">
        <f t="shared" si="27"/>
        <v>100147.4063</v>
      </c>
      <c r="I24" s="1">
        <f t="shared" si="27"/>
        <v>546</v>
      </c>
      <c r="J24" s="1">
        <f t="shared" si="27"/>
        <v>5780</v>
      </c>
      <c r="K24" s="1">
        <f t="shared" si="27"/>
        <v>14760.70996</v>
      </c>
      <c r="L24" s="1">
        <f t="shared" si="6"/>
        <v>156734.1162</v>
      </c>
      <c r="M24" s="11">
        <f t="shared" si="9"/>
        <v>7836.705811</v>
      </c>
      <c r="N24" s="11">
        <f t="shared" si="7"/>
        <v>154.4982099</v>
      </c>
    </row>
    <row r="25">
      <c r="A25" s="5">
        <v>21.0</v>
      </c>
      <c r="B25" s="8">
        <f t="shared" si="2"/>
        <v>0.9977999251</v>
      </c>
      <c r="C25" s="1">
        <f t="shared" si="3"/>
        <v>7982.399401</v>
      </c>
      <c r="D25" s="1">
        <f t="shared" si="4"/>
        <v>7990.80381</v>
      </c>
      <c r="E25" s="1">
        <f t="shared" ref="E25:K25" si="28">(E$1-_xlfn.FLOOR.MATH(E$1*(180-MIN(180,$A25))/180))*E$2</f>
        <v>10100</v>
      </c>
      <c r="F25" s="1">
        <f t="shared" si="28"/>
        <v>21000</v>
      </c>
      <c r="G25" s="1">
        <f t="shared" si="28"/>
        <v>4400</v>
      </c>
      <c r="H25" s="1">
        <f t="shared" si="28"/>
        <v>100147.4063</v>
      </c>
      <c r="I25" s="1">
        <f t="shared" si="28"/>
        <v>546</v>
      </c>
      <c r="J25" s="1">
        <f t="shared" si="28"/>
        <v>5950</v>
      </c>
      <c r="K25" s="1">
        <f t="shared" si="28"/>
        <v>14760.70996</v>
      </c>
      <c r="L25" s="1">
        <f t="shared" si="6"/>
        <v>156904.1162</v>
      </c>
      <c r="M25" s="11">
        <f t="shared" si="9"/>
        <v>7471.624581</v>
      </c>
      <c r="N25" s="11">
        <f t="shared" si="7"/>
        <v>519.179229</v>
      </c>
    </row>
    <row r="26">
      <c r="A26" s="5">
        <v>22.0</v>
      </c>
      <c r="B26" s="8">
        <f t="shared" si="2"/>
        <v>0.9976372933</v>
      </c>
      <c r="C26" s="1">
        <f t="shared" si="3"/>
        <v>7981.098347</v>
      </c>
      <c r="D26" s="1">
        <f t="shared" si="4"/>
        <v>7990.381834</v>
      </c>
      <c r="E26" s="1">
        <f t="shared" ref="E26:K26" si="29">(E$1-_xlfn.FLOOR.MATH(E$1*(180-MIN(180,$A26))/180))*E$2</f>
        <v>10100</v>
      </c>
      <c r="F26" s="1">
        <f t="shared" si="29"/>
        <v>21000</v>
      </c>
      <c r="G26" s="1">
        <f t="shared" si="29"/>
        <v>4400</v>
      </c>
      <c r="H26" s="1">
        <f t="shared" si="29"/>
        <v>100147.4063</v>
      </c>
      <c r="I26" s="1">
        <f t="shared" si="29"/>
        <v>585</v>
      </c>
      <c r="J26" s="1">
        <f t="shared" si="29"/>
        <v>6290</v>
      </c>
      <c r="K26" s="1">
        <f t="shared" si="29"/>
        <v>14760.70996</v>
      </c>
      <c r="L26" s="1">
        <f t="shared" si="6"/>
        <v>157283.1162</v>
      </c>
      <c r="M26" s="11">
        <f t="shared" si="9"/>
        <v>7149.232555</v>
      </c>
      <c r="N26" s="11">
        <f t="shared" si="7"/>
        <v>841.1492787</v>
      </c>
    </row>
    <row r="27">
      <c r="A27" s="5">
        <v>23.0</v>
      </c>
      <c r="B27" s="8">
        <f t="shared" si="2"/>
        <v>0.9974626854</v>
      </c>
      <c r="C27" s="1">
        <f t="shared" si="3"/>
        <v>7979.701483</v>
      </c>
      <c r="D27" s="1">
        <f t="shared" si="4"/>
        <v>7989.936819</v>
      </c>
      <c r="E27" s="1">
        <f t="shared" ref="E27:K27" si="30">(E$1-_xlfn.FLOOR.MATH(E$1*(180-MIN(180,$A27))/180))*E$2</f>
        <v>20200</v>
      </c>
      <c r="F27" s="1">
        <f t="shared" si="30"/>
        <v>21000</v>
      </c>
      <c r="G27" s="1">
        <f t="shared" si="30"/>
        <v>4400</v>
      </c>
      <c r="H27" s="1">
        <f t="shared" si="30"/>
        <v>200294.8125</v>
      </c>
      <c r="I27" s="1">
        <f t="shared" si="30"/>
        <v>624</v>
      </c>
      <c r="J27" s="1">
        <f t="shared" si="30"/>
        <v>6630</v>
      </c>
      <c r="K27" s="1">
        <f t="shared" si="30"/>
        <v>14760.70996</v>
      </c>
      <c r="L27" s="1">
        <f t="shared" si="6"/>
        <v>267909.5225</v>
      </c>
      <c r="M27" s="11">
        <f t="shared" si="9"/>
        <v>11648.24011</v>
      </c>
      <c r="N27" s="11">
        <f t="shared" si="7"/>
        <v>-3658.303288</v>
      </c>
    </row>
    <row r="28">
      <c r="A28" s="5">
        <v>24.0</v>
      </c>
      <c r="B28" s="8">
        <f t="shared" si="2"/>
        <v>0.9972752263</v>
      </c>
      <c r="C28" s="1">
        <f t="shared" si="3"/>
        <v>7978.20181</v>
      </c>
      <c r="D28" s="1">
        <f t="shared" si="4"/>
        <v>7989.467419</v>
      </c>
      <c r="E28" s="1">
        <f t="shared" ref="E28:K28" si="31">(E$1-_xlfn.FLOOR.MATH(E$1*(180-MIN(180,$A28))/180))*E$2</f>
        <v>20200</v>
      </c>
      <c r="F28" s="1">
        <f t="shared" si="31"/>
        <v>21000</v>
      </c>
      <c r="G28" s="1">
        <f t="shared" si="31"/>
        <v>4400</v>
      </c>
      <c r="H28" s="1">
        <f t="shared" si="31"/>
        <v>200294.8125</v>
      </c>
      <c r="I28" s="1">
        <f t="shared" si="31"/>
        <v>624</v>
      </c>
      <c r="J28" s="1">
        <f t="shared" si="31"/>
        <v>6800</v>
      </c>
      <c r="K28" s="1">
        <f t="shared" si="31"/>
        <v>14760.70996</v>
      </c>
      <c r="L28" s="1">
        <f t="shared" si="6"/>
        <v>268079.5225</v>
      </c>
      <c r="M28" s="11">
        <f t="shared" si="9"/>
        <v>11169.9801</v>
      </c>
      <c r="N28" s="11">
        <f t="shared" si="7"/>
        <v>-3180.512684</v>
      </c>
    </row>
    <row r="29">
      <c r="A29" s="5">
        <v>25.0</v>
      </c>
      <c r="B29" s="8">
        <f t="shared" si="2"/>
        <v>0.9970739782</v>
      </c>
      <c r="C29" s="1">
        <f t="shared" si="3"/>
        <v>7976.591826</v>
      </c>
      <c r="D29" s="1">
        <f t="shared" si="4"/>
        <v>7988.972204</v>
      </c>
      <c r="E29" s="1">
        <f t="shared" ref="E29:K29" si="32">(E$1-_xlfn.FLOOR.MATH(E$1*(180-MIN(180,$A29))/180))*E$2</f>
        <v>20200</v>
      </c>
      <c r="F29" s="1">
        <f t="shared" si="32"/>
        <v>21000</v>
      </c>
      <c r="G29" s="1">
        <f t="shared" si="32"/>
        <v>4400</v>
      </c>
      <c r="H29" s="1">
        <f t="shared" si="32"/>
        <v>200294.8125</v>
      </c>
      <c r="I29" s="1">
        <f t="shared" si="32"/>
        <v>663</v>
      </c>
      <c r="J29" s="1">
        <f t="shared" si="32"/>
        <v>7140</v>
      </c>
      <c r="K29" s="1">
        <f t="shared" si="32"/>
        <v>14760.70996</v>
      </c>
      <c r="L29" s="1">
        <f t="shared" si="6"/>
        <v>268458.5225</v>
      </c>
      <c r="M29" s="11">
        <f t="shared" si="9"/>
        <v>10738.3409</v>
      </c>
      <c r="N29" s="11">
        <f t="shared" si="7"/>
        <v>-2749.368695</v>
      </c>
    </row>
    <row r="30">
      <c r="A30" s="5">
        <v>26.0</v>
      </c>
      <c r="B30" s="8">
        <f t="shared" si="2"/>
        <v>0.9968579362</v>
      </c>
      <c r="C30" s="1">
        <f t="shared" si="3"/>
        <v>7974.86349</v>
      </c>
      <c r="D30" s="1">
        <f t="shared" si="4"/>
        <v>7988.449659</v>
      </c>
      <c r="E30" s="1">
        <f t="shared" ref="E30:K30" si="33">(E$1-_xlfn.FLOOR.MATH(E$1*(180-MIN(180,$A30))/180))*E$2</f>
        <v>20200</v>
      </c>
      <c r="F30" s="1">
        <f t="shared" si="33"/>
        <v>21000</v>
      </c>
      <c r="G30" s="1">
        <f t="shared" si="33"/>
        <v>4400</v>
      </c>
      <c r="H30" s="1">
        <f t="shared" si="33"/>
        <v>200294.8125</v>
      </c>
      <c r="I30" s="1">
        <f t="shared" si="33"/>
        <v>702</v>
      </c>
      <c r="J30" s="1">
        <f t="shared" si="33"/>
        <v>7480</v>
      </c>
      <c r="K30" s="1">
        <f t="shared" si="33"/>
        <v>14760.70996</v>
      </c>
      <c r="L30" s="1">
        <f t="shared" si="6"/>
        <v>268837.5225</v>
      </c>
      <c r="M30" s="11">
        <f t="shared" si="9"/>
        <v>10339.90471</v>
      </c>
      <c r="N30" s="11">
        <f t="shared" si="7"/>
        <v>-2351.455051</v>
      </c>
    </row>
    <row r="31">
      <c r="A31" s="5">
        <v>27.0</v>
      </c>
      <c r="B31" s="8">
        <f t="shared" si="2"/>
        <v>0.9966260235</v>
      </c>
      <c r="C31" s="1">
        <f t="shared" si="3"/>
        <v>7973.008188</v>
      </c>
      <c r="D31" s="1">
        <f t="shared" si="4"/>
        <v>7987.898178</v>
      </c>
      <c r="E31" s="1">
        <f t="shared" ref="E31:K31" si="34">(E$1-_xlfn.FLOOR.MATH(E$1*(180-MIN(180,$A31))/180))*E$2</f>
        <v>20200</v>
      </c>
      <c r="F31" s="1">
        <f t="shared" si="34"/>
        <v>21000</v>
      </c>
      <c r="G31" s="1">
        <f t="shared" si="34"/>
        <v>4400</v>
      </c>
      <c r="H31" s="1">
        <f t="shared" si="34"/>
        <v>200294.8125</v>
      </c>
      <c r="I31" s="1">
        <f t="shared" si="34"/>
        <v>702</v>
      </c>
      <c r="J31" s="1">
        <f t="shared" si="34"/>
        <v>7650</v>
      </c>
      <c r="K31" s="1">
        <f t="shared" si="34"/>
        <v>14760.70996</v>
      </c>
      <c r="L31" s="1">
        <f t="shared" si="6"/>
        <v>269007.5225</v>
      </c>
      <c r="M31" s="11">
        <f t="shared" si="9"/>
        <v>9963.241573</v>
      </c>
      <c r="N31" s="11">
        <f t="shared" si="7"/>
        <v>-1975.343395</v>
      </c>
    </row>
    <row r="32">
      <c r="A32" s="5">
        <v>28.0</v>
      </c>
      <c r="B32" s="8">
        <f t="shared" si="2"/>
        <v>0.9963770866</v>
      </c>
      <c r="C32" s="1">
        <f t="shared" si="3"/>
        <v>7971.016693</v>
      </c>
      <c r="D32" s="1">
        <f t="shared" si="4"/>
        <v>7987.316057</v>
      </c>
      <c r="E32" s="1">
        <f t="shared" ref="E32:K32" si="35">(E$1-_xlfn.FLOOR.MATH(E$1*(180-MIN(180,$A32))/180))*E$2</f>
        <v>20200</v>
      </c>
      <c r="F32" s="1">
        <f t="shared" si="35"/>
        <v>21000</v>
      </c>
      <c r="G32" s="1">
        <f t="shared" si="35"/>
        <v>4400</v>
      </c>
      <c r="H32" s="1">
        <f t="shared" si="35"/>
        <v>200294.8125</v>
      </c>
      <c r="I32" s="1">
        <f t="shared" si="35"/>
        <v>741</v>
      </c>
      <c r="J32" s="1">
        <f t="shared" si="35"/>
        <v>7990</v>
      </c>
      <c r="K32" s="1">
        <f t="shared" si="35"/>
        <v>14760.70996</v>
      </c>
      <c r="L32" s="1">
        <f t="shared" si="6"/>
        <v>269386.5225</v>
      </c>
      <c r="M32" s="11">
        <f t="shared" si="9"/>
        <v>9620.947231</v>
      </c>
      <c r="N32" s="11">
        <f t="shared" si="7"/>
        <v>-1633.631173</v>
      </c>
    </row>
    <row r="33">
      <c r="A33" s="5">
        <v>29.0</v>
      </c>
      <c r="B33" s="8">
        <f t="shared" si="2"/>
        <v>0.9961098899</v>
      </c>
      <c r="C33" s="1">
        <f t="shared" si="3"/>
        <v>7968.879119</v>
      </c>
      <c r="D33" s="1">
        <f t="shared" si="4"/>
        <v>7986.701493</v>
      </c>
      <c r="E33" s="1">
        <f t="shared" ref="E33:K33" si="36">(E$1-_xlfn.FLOOR.MATH(E$1*(180-MIN(180,$A33))/180))*E$2</f>
        <v>20200</v>
      </c>
      <c r="F33" s="1">
        <f t="shared" si="36"/>
        <v>21000</v>
      </c>
      <c r="G33" s="1">
        <f t="shared" si="36"/>
        <v>4400</v>
      </c>
      <c r="H33" s="1">
        <f t="shared" si="36"/>
        <v>200294.8125</v>
      </c>
      <c r="I33" s="1">
        <f t="shared" si="36"/>
        <v>780</v>
      </c>
      <c r="J33" s="1">
        <f t="shared" si="36"/>
        <v>8330</v>
      </c>
      <c r="K33" s="1">
        <f t="shared" si="36"/>
        <v>14760.70996</v>
      </c>
      <c r="L33" s="1">
        <f t="shared" si="6"/>
        <v>269765.5225</v>
      </c>
      <c r="M33" s="11">
        <f t="shared" si="9"/>
        <v>9302.259395</v>
      </c>
      <c r="N33" s="11">
        <f t="shared" si="7"/>
        <v>-1315.557902</v>
      </c>
    </row>
    <row r="34">
      <c r="A34" s="5">
        <v>30.0</v>
      </c>
      <c r="B34" s="8">
        <f t="shared" si="2"/>
        <v>0.9958231105</v>
      </c>
      <c r="C34" s="1">
        <f t="shared" si="3"/>
        <v>7966.584884</v>
      </c>
      <c r="D34" s="1">
        <f t="shared" si="4"/>
        <v>7986.05257</v>
      </c>
      <c r="E34" s="1">
        <f t="shared" ref="E34:K34" si="37">(E$1-_xlfn.FLOOR.MATH(E$1*(180-MIN(180,$A34))/180))*E$2</f>
        <v>20200</v>
      </c>
      <c r="F34" s="1">
        <f t="shared" si="37"/>
        <v>21000</v>
      </c>
      <c r="G34" s="1">
        <f t="shared" si="37"/>
        <v>4400</v>
      </c>
      <c r="H34" s="1">
        <f t="shared" si="37"/>
        <v>200294.8125</v>
      </c>
      <c r="I34" s="1">
        <f t="shared" si="37"/>
        <v>780</v>
      </c>
      <c r="J34" s="1">
        <f t="shared" si="37"/>
        <v>8500</v>
      </c>
      <c r="K34" s="1">
        <f t="shared" si="37"/>
        <v>14760.70996</v>
      </c>
      <c r="L34" s="1">
        <f t="shared" si="6"/>
        <v>269935.5225</v>
      </c>
      <c r="M34" s="11">
        <f t="shared" si="9"/>
        <v>8997.850749</v>
      </c>
      <c r="N34" s="11">
        <f t="shared" si="7"/>
        <v>-1011.798179</v>
      </c>
    </row>
    <row r="35">
      <c r="A35" s="5">
        <v>31.0</v>
      </c>
      <c r="B35" s="8">
        <f t="shared" si="2"/>
        <v>0.995515332</v>
      </c>
      <c r="C35" s="1">
        <f t="shared" si="3"/>
        <v>7964.122656</v>
      </c>
      <c r="D35" s="1">
        <f t="shared" si="4"/>
        <v>7985.36726</v>
      </c>
      <c r="E35" s="1">
        <f t="shared" ref="E35:K35" si="38">(E$1-_xlfn.FLOOR.MATH(E$1*(180-MIN(180,$A35))/180))*E$2</f>
        <v>20200</v>
      </c>
      <c r="F35" s="1">
        <f t="shared" si="38"/>
        <v>31500</v>
      </c>
      <c r="G35" s="1">
        <f t="shared" si="38"/>
        <v>8800</v>
      </c>
      <c r="H35" s="1">
        <f t="shared" si="38"/>
        <v>200294.8125</v>
      </c>
      <c r="I35" s="1">
        <f t="shared" si="38"/>
        <v>819</v>
      </c>
      <c r="J35" s="1">
        <f t="shared" si="38"/>
        <v>8840</v>
      </c>
      <c r="K35" s="1">
        <f t="shared" si="38"/>
        <v>14760.70996</v>
      </c>
      <c r="L35" s="1">
        <f t="shared" si="6"/>
        <v>285214.5225</v>
      </c>
      <c r="M35" s="11">
        <f t="shared" si="9"/>
        <v>9200.468466</v>
      </c>
      <c r="N35" s="11">
        <f t="shared" si="7"/>
        <v>-1215.101206</v>
      </c>
    </row>
    <row r="36">
      <c r="A36" s="5">
        <v>32.0</v>
      </c>
      <c r="B36" s="8">
        <f t="shared" si="2"/>
        <v>0.9951850385</v>
      </c>
      <c r="C36" s="1">
        <f t="shared" si="3"/>
        <v>7961.480308</v>
      </c>
      <c r="D36" s="1">
        <f t="shared" si="4"/>
        <v>7984.643413</v>
      </c>
      <c r="E36" s="1">
        <f t="shared" ref="E36:K36" si="39">(E$1-_xlfn.FLOOR.MATH(E$1*(180-MIN(180,$A36))/180))*E$2</f>
        <v>20200</v>
      </c>
      <c r="F36" s="1">
        <f t="shared" si="39"/>
        <v>31500</v>
      </c>
      <c r="G36" s="1">
        <f t="shared" si="39"/>
        <v>8800</v>
      </c>
      <c r="H36" s="1">
        <f t="shared" si="39"/>
        <v>200294.8125</v>
      </c>
      <c r="I36" s="1">
        <f t="shared" si="39"/>
        <v>858</v>
      </c>
      <c r="J36" s="1">
        <f t="shared" si="39"/>
        <v>9180</v>
      </c>
      <c r="K36" s="1">
        <f t="shared" si="39"/>
        <v>14760.70996</v>
      </c>
      <c r="L36" s="1">
        <f t="shared" si="6"/>
        <v>285593.5225</v>
      </c>
      <c r="M36" s="11">
        <f t="shared" si="9"/>
        <v>8924.797577</v>
      </c>
      <c r="N36" s="11">
        <f t="shared" si="7"/>
        <v>-940.1541638</v>
      </c>
    </row>
    <row r="37">
      <c r="A37" s="5">
        <v>33.0</v>
      </c>
      <c r="B37" s="8">
        <f t="shared" si="2"/>
        <v>0.994830608</v>
      </c>
      <c r="C37" s="1">
        <f t="shared" si="3"/>
        <v>7958.644864</v>
      </c>
      <c r="D37" s="1">
        <f t="shared" si="4"/>
        <v>7983.87875</v>
      </c>
      <c r="E37" s="1">
        <f t="shared" ref="E37:K37" si="40">(E$1-_xlfn.FLOOR.MATH(E$1*(180-MIN(180,$A37))/180))*E$2</f>
        <v>20200</v>
      </c>
      <c r="F37" s="1">
        <f t="shared" si="40"/>
        <v>31500</v>
      </c>
      <c r="G37" s="1">
        <f t="shared" si="40"/>
        <v>8800</v>
      </c>
      <c r="H37" s="1">
        <f t="shared" si="40"/>
        <v>200294.8125</v>
      </c>
      <c r="I37" s="1">
        <f t="shared" si="40"/>
        <v>858</v>
      </c>
      <c r="J37" s="1">
        <f t="shared" si="40"/>
        <v>9350</v>
      </c>
      <c r="K37" s="1">
        <f t="shared" si="40"/>
        <v>14760.70996</v>
      </c>
      <c r="L37" s="1">
        <f t="shared" si="6"/>
        <v>285763.5225</v>
      </c>
      <c r="M37" s="11">
        <f t="shared" si="9"/>
        <v>8659.500681</v>
      </c>
      <c r="N37" s="11">
        <f t="shared" si="7"/>
        <v>-675.6219307</v>
      </c>
    </row>
    <row r="38">
      <c r="A38" s="5">
        <v>34.0</v>
      </c>
      <c r="B38" s="8">
        <f t="shared" si="2"/>
        <v>0.9944503054</v>
      </c>
      <c r="C38" s="1">
        <f t="shared" si="3"/>
        <v>7955.602444</v>
      </c>
      <c r="D38" s="1">
        <f t="shared" si="4"/>
        <v>7983.070855</v>
      </c>
      <c r="E38" s="1">
        <f t="shared" ref="E38:K38" si="41">(E$1-_xlfn.FLOOR.MATH(E$1*(180-MIN(180,$A38))/180))*E$2</f>
        <v>20200</v>
      </c>
      <c r="F38" s="1">
        <f t="shared" si="41"/>
        <v>31500</v>
      </c>
      <c r="G38" s="1">
        <f t="shared" si="41"/>
        <v>8800</v>
      </c>
      <c r="H38" s="1">
        <f t="shared" si="41"/>
        <v>200294.8125</v>
      </c>
      <c r="I38" s="1">
        <f t="shared" si="41"/>
        <v>897</v>
      </c>
      <c r="J38" s="1">
        <f t="shared" si="41"/>
        <v>9690</v>
      </c>
      <c r="K38" s="1">
        <f t="shared" si="41"/>
        <v>14760.70996</v>
      </c>
      <c r="L38" s="1">
        <f t="shared" si="6"/>
        <v>286142.5225</v>
      </c>
      <c r="M38" s="11">
        <f t="shared" si="9"/>
        <v>8415.956543</v>
      </c>
      <c r="N38" s="11">
        <f t="shared" si="7"/>
        <v>-432.8856875</v>
      </c>
    </row>
    <row r="39">
      <c r="A39" s="5">
        <v>35.0</v>
      </c>
      <c r="B39" s="8">
        <f t="shared" si="2"/>
        <v>0.9940422755</v>
      </c>
      <c r="C39" s="1">
        <f t="shared" si="3"/>
        <v>7952.338204</v>
      </c>
      <c r="D39" s="1">
        <f t="shared" si="4"/>
        <v>7982.217171</v>
      </c>
      <c r="E39" s="1">
        <f t="shared" ref="E39:K39" si="42">(E$1-_xlfn.FLOOR.MATH(E$1*(180-MIN(180,$A39))/180))*E$2</f>
        <v>20200</v>
      </c>
      <c r="F39" s="1">
        <f t="shared" si="42"/>
        <v>31500</v>
      </c>
      <c r="G39" s="1">
        <f t="shared" si="42"/>
        <v>8800</v>
      </c>
      <c r="H39" s="1">
        <f t="shared" si="42"/>
        <v>200294.8125</v>
      </c>
      <c r="I39" s="1">
        <f t="shared" si="42"/>
        <v>936</v>
      </c>
      <c r="J39" s="1">
        <f t="shared" si="42"/>
        <v>10030</v>
      </c>
      <c r="K39" s="1">
        <f t="shared" si="42"/>
        <v>14760.70996</v>
      </c>
      <c r="L39" s="1">
        <f t="shared" si="6"/>
        <v>286521.5225</v>
      </c>
      <c r="M39" s="11">
        <f t="shared" si="9"/>
        <v>8186.329213</v>
      </c>
      <c r="N39" s="11">
        <f t="shared" si="7"/>
        <v>-204.1120425</v>
      </c>
    </row>
    <row r="40">
      <c r="A40" s="5">
        <v>36.0</v>
      </c>
      <c r="B40" s="8">
        <f t="shared" si="2"/>
        <v>0.9936045347</v>
      </c>
      <c r="C40" s="1">
        <f t="shared" si="3"/>
        <v>7948.836278</v>
      </c>
      <c r="D40" s="1">
        <f t="shared" si="4"/>
        <v>7981.314984</v>
      </c>
      <c r="E40" s="1">
        <f t="shared" ref="E40:K40" si="43">(E$1-_xlfn.FLOOR.MATH(E$1*(180-MIN(180,$A40))/180))*E$2</f>
        <v>20200</v>
      </c>
      <c r="F40" s="1">
        <f t="shared" si="43"/>
        <v>31500</v>
      </c>
      <c r="G40" s="1">
        <f t="shared" si="43"/>
        <v>8800</v>
      </c>
      <c r="H40" s="1">
        <f t="shared" si="43"/>
        <v>200294.8125</v>
      </c>
      <c r="I40" s="1">
        <f t="shared" si="43"/>
        <v>936</v>
      </c>
      <c r="J40" s="1">
        <f t="shared" si="43"/>
        <v>10200</v>
      </c>
      <c r="K40" s="1">
        <f t="shared" si="43"/>
        <v>14760.70996</v>
      </c>
      <c r="L40" s="1">
        <f t="shared" si="6"/>
        <v>286691.5225</v>
      </c>
      <c r="M40" s="11">
        <f t="shared" si="9"/>
        <v>7963.653402</v>
      </c>
      <c r="N40" s="11">
        <f t="shared" si="7"/>
        <v>17.6615827</v>
      </c>
    </row>
    <row r="41">
      <c r="A41" s="5">
        <v>37.0</v>
      </c>
      <c r="B41" s="8">
        <f t="shared" si="2"/>
        <v>0.9931349636</v>
      </c>
      <c r="C41" s="1">
        <f t="shared" si="3"/>
        <v>7945.079709</v>
      </c>
      <c r="D41" s="1">
        <f t="shared" si="4"/>
        <v>7980.361425</v>
      </c>
      <c r="E41" s="1">
        <f t="shared" ref="E41:K41" si="44">(E$1-_xlfn.FLOOR.MATH(E$1*(180-MIN(180,$A41))/180))*E$2</f>
        <v>20200</v>
      </c>
      <c r="F41" s="1">
        <f t="shared" si="44"/>
        <v>31500</v>
      </c>
      <c r="G41" s="1">
        <f t="shared" si="44"/>
        <v>8800</v>
      </c>
      <c r="H41" s="1">
        <f t="shared" si="44"/>
        <v>200294.8125</v>
      </c>
      <c r="I41" s="1">
        <f t="shared" si="44"/>
        <v>975</v>
      </c>
      <c r="J41" s="1">
        <f t="shared" si="44"/>
        <v>10540</v>
      </c>
      <c r="K41" s="1">
        <f t="shared" si="44"/>
        <v>14760.70996</v>
      </c>
      <c r="L41" s="1">
        <f t="shared" si="6"/>
        <v>287070.5225</v>
      </c>
      <c r="M41" s="11">
        <f t="shared" si="9"/>
        <v>7758.662769</v>
      </c>
      <c r="N41" s="11">
        <f t="shared" si="7"/>
        <v>221.6986553</v>
      </c>
    </row>
    <row r="42">
      <c r="A42" s="5">
        <v>38.0</v>
      </c>
      <c r="B42" s="8">
        <f t="shared" si="2"/>
        <v>0.9926312983</v>
      </c>
      <c r="C42" s="1">
        <f t="shared" si="3"/>
        <v>7941.050387</v>
      </c>
      <c r="D42" s="1">
        <f t="shared" si="4"/>
        <v>7979.353449</v>
      </c>
      <c r="E42" s="1">
        <f t="shared" ref="E42:K42" si="45">(E$1-_xlfn.FLOOR.MATH(E$1*(180-MIN(180,$A42))/180))*E$2</f>
        <v>20200</v>
      </c>
      <c r="F42" s="1">
        <f t="shared" si="45"/>
        <v>31500</v>
      </c>
      <c r="G42" s="1">
        <f t="shared" si="45"/>
        <v>8800</v>
      </c>
      <c r="H42" s="1">
        <f t="shared" si="45"/>
        <v>200294.8125</v>
      </c>
      <c r="I42" s="1">
        <f t="shared" si="45"/>
        <v>1014</v>
      </c>
      <c r="J42" s="1">
        <f t="shared" si="45"/>
        <v>10880</v>
      </c>
      <c r="K42" s="1">
        <f t="shared" si="45"/>
        <v>14760.70996</v>
      </c>
      <c r="L42" s="1">
        <f t="shared" si="6"/>
        <v>287449.5225</v>
      </c>
      <c r="M42" s="11">
        <f t="shared" si="9"/>
        <v>7564.461117</v>
      </c>
      <c r="N42" s="11">
        <f t="shared" si="7"/>
        <v>414.8923318</v>
      </c>
    </row>
    <row r="43">
      <c r="A43" s="5">
        <v>39.0</v>
      </c>
      <c r="B43" s="8">
        <f t="shared" si="2"/>
        <v>0.9920911215</v>
      </c>
      <c r="C43" s="1">
        <f t="shared" si="3"/>
        <v>7936.728972</v>
      </c>
      <c r="D43" s="1">
        <f t="shared" si="4"/>
        <v>7978.287837</v>
      </c>
      <c r="E43" s="1">
        <f t="shared" ref="E43:K43" si="46">(E$1-_xlfn.FLOOR.MATH(E$1*(180-MIN(180,$A43))/180))*E$2</f>
        <v>20200</v>
      </c>
      <c r="F43" s="1">
        <f t="shared" si="46"/>
        <v>31500</v>
      </c>
      <c r="G43" s="1">
        <f t="shared" si="46"/>
        <v>8800</v>
      </c>
      <c r="H43" s="1">
        <f t="shared" si="46"/>
        <v>200294.8125</v>
      </c>
      <c r="I43" s="1">
        <f t="shared" si="46"/>
        <v>1014</v>
      </c>
      <c r="J43" s="1">
        <f t="shared" si="46"/>
        <v>11050</v>
      </c>
      <c r="K43" s="1">
        <f t="shared" si="46"/>
        <v>14760.70996</v>
      </c>
      <c r="L43" s="1">
        <f t="shared" si="6"/>
        <v>287619.5225</v>
      </c>
      <c r="M43" s="11">
        <f t="shared" si="9"/>
        <v>7374.85955</v>
      </c>
      <c r="N43" s="11">
        <f t="shared" si="7"/>
        <v>603.428287</v>
      </c>
    </row>
    <row r="44">
      <c r="A44" s="5">
        <v>40.0</v>
      </c>
      <c r="B44" s="8">
        <f t="shared" si="2"/>
        <v>0.9915118532</v>
      </c>
      <c r="C44" s="1">
        <f t="shared" si="3"/>
        <v>7932.094825</v>
      </c>
      <c r="D44" s="1">
        <f t="shared" si="4"/>
        <v>7977.161178</v>
      </c>
      <c r="E44" s="1">
        <f t="shared" ref="E44:K44" si="47">(E$1-_xlfn.FLOOR.MATH(E$1*(180-MIN(180,$A44))/180))*E$2</f>
        <v>20200</v>
      </c>
      <c r="F44" s="1">
        <f t="shared" si="47"/>
        <v>31500</v>
      </c>
      <c r="G44" s="1">
        <f t="shared" si="47"/>
        <v>8800</v>
      </c>
      <c r="H44" s="1">
        <f t="shared" si="47"/>
        <v>200294.8125</v>
      </c>
      <c r="I44" s="1">
        <f t="shared" si="47"/>
        <v>1053</v>
      </c>
      <c r="J44" s="1">
        <f t="shared" si="47"/>
        <v>11390</v>
      </c>
      <c r="K44" s="1">
        <f t="shared" si="47"/>
        <v>14760.70996</v>
      </c>
      <c r="L44" s="1">
        <f t="shared" si="6"/>
        <v>287998.5225</v>
      </c>
      <c r="M44" s="11">
        <f t="shared" si="9"/>
        <v>7199.963062</v>
      </c>
      <c r="N44" s="11">
        <f t="shared" si="7"/>
        <v>777.1981169</v>
      </c>
    </row>
    <row r="45">
      <c r="A45" s="5">
        <v>41.0</v>
      </c>
      <c r="B45" s="8">
        <f t="shared" si="2"/>
        <v>0.9908907413</v>
      </c>
      <c r="C45" s="1">
        <f t="shared" si="3"/>
        <v>7927.125931</v>
      </c>
      <c r="D45" s="1">
        <f t="shared" si="4"/>
        <v>7975.969863</v>
      </c>
      <c r="E45" s="1">
        <f t="shared" ref="E45:K45" si="48">(E$1-_xlfn.FLOOR.MATH(E$1*(180-MIN(180,$A45))/180))*E$2</f>
        <v>20200</v>
      </c>
      <c r="F45" s="1">
        <f t="shared" si="48"/>
        <v>31500</v>
      </c>
      <c r="G45" s="1">
        <f t="shared" si="48"/>
        <v>8800</v>
      </c>
      <c r="H45" s="1">
        <f t="shared" si="48"/>
        <v>200294.8125</v>
      </c>
      <c r="I45" s="1">
        <f t="shared" si="48"/>
        <v>1092</v>
      </c>
      <c r="J45" s="1">
        <f t="shared" si="48"/>
        <v>11730</v>
      </c>
      <c r="K45" s="1">
        <f t="shared" si="48"/>
        <v>14760.70996</v>
      </c>
      <c r="L45" s="1">
        <f t="shared" si="6"/>
        <v>288377.5225</v>
      </c>
      <c r="M45" s="11">
        <f t="shared" si="9"/>
        <v>7033.598109</v>
      </c>
      <c r="N45" s="11">
        <f t="shared" si="7"/>
        <v>942.3717542</v>
      </c>
    </row>
    <row r="46">
      <c r="A46" s="5">
        <v>42.0</v>
      </c>
      <c r="B46" s="8">
        <f t="shared" si="2"/>
        <v>0.9902248519</v>
      </c>
      <c r="C46" s="1">
        <f t="shared" si="3"/>
        <v>7921.798815</v>
      </c>
      <c r="D46" s="1">
        <f t="shared" si="4"/>
        <v>7974.710071</v>
      </c>
      <c r="E46" s="1">
        <f t="shared" ref="E46:K46" si="49">(E$1-_xlfn.FLOOR.MATH(E$1*(180-MIN(180,$A46))/180))*E$2</f>
        <v>20200</v>
      </c>
      <c r="F46" s="1">
        <f t="shared" si="49"/>
        <v>31500</v>
      </c>
      <c r="G46" s="1">
        <f t="shared" si="49"/>
        <v>8800</v>
      </c>
      <c r="H46" s="1">
        <f t="shared" si="49"/>
        <v>200294.8125</v>
      </c>
      <c r="I46" s="1">
        <f t="shared" si="49"/>
        <v>1092</v>
      </c>
      <c r="J46" s="1">
        <f t="shared" si="49"/>
        <v>11900</v>
      </c>
      <c r="K46" s="1">
        <f t="shared" si="49"/>
        <v>14760.70996</v>
      </c>
      <c r="L46" s="1">
        <f t="shared" si="6"/>
        <v>288547.5225</v>
      </c>
      <c r="M46" s="11">
        <f t="shared" si="9"/>
        <v>6870.179106</v>
      </c>
      <c r="N46" s="11">
        <f t="shared" si="7"/>
        <v>1104.530965</v>
      </c>
    </row>
    <row r="47">
      <c r="A47" s="5">
        <v>43.0</v>
      </c>
      <c r="B47" s="8">
        <f t="shared" si="2"/>
        <v>0.9895110582</v>
      </c>
      <c r="C47" s="1">
        <f t="shared" si="3"/>
        <v>7916.088466</v>
      </c>
      <c r="D47" s="1">
        <f t="shared" si="4"/>
        <v>7973.377762</v>
      </c>
      <c r="E47" s="1">
        <f t="shared" ref="E47:K47" si="50">(E$1-_xlfn.FLOOR.MATH(E$1*(180-MIN(180,$A47))/180))*E$2</f>
        <v>20200</v>
      </c>
      <c r="F47" s="1">
        <f t="shared" si="50"/>
        <v>31500</v>
      </c>
      <c r="G47" s="1">
        <f t="shared" si="50"/>
        <v>8800</v>
      </c>
      <c r="H47" s="1">
        <f t="shared" si="50"/>
        <v>200294.8125</v>
      </c>
      <c r="I47" s="1">
        <f t="shared" si="50"/>
        <v>1131</v>
      </c>
      <c r="J47" s="1">
        <f t="shared" si="50"/>
        <v>12240</v>
      </c>
      <c r="K47" s="1">
        <f t="shared" si="50"/>
        <v>14760.70996</v>
      </c>
      <c r="L47" s="1">
        <f t="shared" si="6"/>
        <v>288926.5225</v>
      </c>
      <c r="M47" s="11">
        <f t="shared" si="9"/>
        <v>6719.221453</v>
      </c>
      <c r="N47" s="11">
        <f t="shared" si="7"/>
        <v>1254.156309</v>
      </c>
    </row>
    <row r="48">
      <c r="A48" s="5">
        <v>44.0</v>
      </c>
      <c r="B48" s="8">
        <f t="shared" si="2"/>
        <v>0.9887460309</v>
      </c>
      <c r="C48" s="1">
        <f t="shared" si="3"/>
        <v>7909.968247</v>
      </c>
      <c r="D48" s="1">
        <f t="shared" si="4"/>
        <v>7971.968662</v>
      </c>
      <c r="E48" s="1">
        <f t="shared" ref="E48:K48" si="51">(E$1-_xlfn.FLOOR.MATH(E$1*(180-MIN(180,$A48))/180))*E$2</f>
        <v>20200</v>
      </c>
      <c r="F48" s="1">
        <f t="shared" si="51"/>
        <v>31500</v>
      </c>
      <c r="G48" s="1">
        <f t="shared" si="51"/>
        <v>8800</v>
      </c>
      <c r="H48" s="1">
        <f t="shared" si="51"/>
        <v>200294.8125</v>
      </c>
      <c r="I48" s="1">
        <f t="shared" si="51"/>
        <v>1170</v>
      </c>
      <c r="J48" s="1">
        <f t="shared" si="51"/>
        <v>12580</v>
      </c>
      <c r="K48" s="1">
        <f t="shared" si="51"/>
        <v>14760.70996</v>
      </c>
      <c r="L48" s="1">
        <f t="shared" si="6"/>
        <v>289305.5225</v>
      </c>
      <c r="M48" s="11">
        <f t="shared" si="9"/>
        <v>6575.12551</v>
      </c>
      <c r="N48" s="11">
        <f t="shared" si="7"/>
        <v>1396.843151</v>
      </c>
    </row>
    <row r="49">
      <c r="A49" s="5">
        <v>45.0</v>
      </c>
      <c r="B49" s="8">
        <f t="shared" si="2"/>
        <v>0.9879262267</v>
      </c>
      <c r="C49" s="1">
        <f t="shared" si="3"/>
        <v>7903.409813</v>
      </c>
      <c r="D49" s="1">
        <f t="shared" si="4"/>
        <v>7970.478252</v>
      </c>
      <c r="E49" s="1">
        <f t="shared" ref="E49:K49" si="52">(E$1-_xlfn.FLOOR.MATH(E$1*(180-MIN(180,$A49))/180))*E$2</f>
        <v>20200</v>
      </c>
      <c r="F49" s="1">
        <f t="shared" si="52"/>
        <v>31500</v>
      </c>
      <c r="G49" s="1">
        <f t="shared" si="52"/>
        <v>8800</v>
      </c>
      <c r="H49" s="1">
        <f t="shared" si="52"/>
        <v>200294.8125</v>
      </c>
      <c r="I49" s="1">
        <f t="shared" si="52"/>
        <v>1170</v>
      </c>
      <c r="J49" s="1">
        <f t="shared" si="52"/>
        <v>12750</v>
      </c>
      <c r="K49" s="1">
        <f t="shared" si="52"/>
        <v>14760.70996</v>
      </c>
      <c r="L49" s="1">
        <f t="shared" si="6"/>
        <v>289475.5225</v>
      </c>
      <c r="M49" s="11">
        <f t="shared" si="9"/>
        <v>6432.789388</v>
      </c>
      <c r="N49" s="11">
        <f t="shared" si="7"/>
        <v>1537.688864</v>
      </c>
    </row>
    <row r="50">
      <c r="A50" s="5">
        <v>46.0</v>
      </c>
      <c r="B50" s="8">
        <f t="shared" si="2"/>
        <v>0.9870478773</v>
      </c>
      <c r="C50" s="1">
        <f t="shared" si="3"/>
        <v>7896.383019</v>
      </c>
      <c r="D50" s="1">
        <f t="shared" si="4"/>
        <v>7968.901758</v>
      </c>
      <c r="E50" s="1">
        <f t="shared" ref="E50:K50" si="53">(E$1-_xlfn.FLOOR.MATH(E$1*(180-MIN(180,$A50))/180))*E$2</f>
        <v>30300</v>
      </c>
      <c r="F50" s="1">
        <f t="shared" si="53"/>
        <v>42000</v>
      </c>
      <c r="G50" s="1">
        <f t="shared" si="53"/>
        <v>8800</v>
      </c>
      <c r="H50" s="1">
        <f t="shared" si="53"/>
        <v>300442.2188</v>
      </c>
      <c r="I50" s="1">
        <f t="shared" si="53"/>
        <v>1209</v>
      </c>
      <c r="J50" s="1">
        <f t="shared" si="53"/>
        <v>13090</v>
      </c>
      <c r="K50" s="1">
        <f t="shared" si="53"/>
        <v>14760.70996</v>
      </c>
      <c r="L50" s="1">
        <f t="shared" si="6"/>
        <v>410601.9287</v>
      </c>
      <c r="M50" s="11">
        <f t="shared" si="9"/>
        <v>8926.128885</v>
      </c>
      <c r="N50" s="11">
        <f t="shared" si="7"/>
        <v>-957.2271275</v>
      </c>
    </row>
    <row r="51">
      <c r="A51" s="5">
        <v>47.0</v>
      </c>
      <c r="B51" s="8">
        <f t="shared" si="2"/>
        <v>0.9861069787</v>
      </c>
      <c r="C51" s="1">
        <f t="shared" si="3"/>
        <v>7888.855829</v>
      </c>
      <c r="D51" s="1">
        <f t="shared" si="4"/>
        <v>7967.234134</v>
      </c>
      <c r="E51" s="1">
        <f t="shared" ref="E51:K51" si="54">(E$1-_xlfn.FLOOR.MATH(E$1*(180-MIN(180,$A51))/180))*E$2</f>
        <v>30300</v>
      </c>
      <c r="F51" s="1">
        <f t="shared" si="54"/>
        <v>42000</v>
      </c>
      <c r="G51" s="1">
        <f t="shared" si="54"/>
        <v>8800</v>
      </c>
      <c r="H51" s="1">
        <f t="shared" si="54"/>
        <v>300442.2188</v>
      </c>
      <c r="I51" s="1">
        <f t="shared" si="54"/>
        <v>1248</v>
      </c>
      <c r="J51" s="1">
        <f t="shared" si="54"/>
        <v>13430</v>
      </c>
      <c r="K51" s="1">
        <f t="shared" si="54"/>
        <v>14760.70996</v>
      </c>
      <c r="L51" s="1">
        <f t="shared" si="6"/>
        <v>410980.9287</v>
      </c>
      <c r="M51" s="11">
        <f t="shared" si="9"/>
        <v>8744.275079</v>
      </c>
      <c r="N51" s="11">
        <f t="shared" si="7"/>
        <v>-777.0409449</v>
      </c>
    </row>
    <row r="52">
      <c r="A52" s="5">
        <v>48.0</v>
      </c>
      <c r="B52" s="8">
        <f t="shared" si="2"/>
        <v>0.9850992791</v>
      </c>
      <c r="C52" s="1">
        <f t="shared" si="3"/>
        <v>7880.794233</v>
      </c>
      <c r="D52" s="1">
        <f t="shared" si="4"/>
        <v>7965.470054</v>
      </c>
      <c r="E52" s="1">
        <f t="shared" ref="E52:K52" si="55">(E$1-_xlfn.FLOOR.MATH(E$1*(180-MIN(180,$A52))/180))*E$2</f>
        <v>30300</v>
      </c>
      <c r="F52" s="1">
        <f t="shared" si="55"/>
        <v>42000</v>
      </c>
      <c r="G52" s="1">
        <f t="shared" si="55"/>
        <v>8800</v>
      </c>
      <c r="H52" s="1">
        <f t="shared" si="55"/>
        <v>300442.2188</v>
      </c>
      <c r="I52" s="1">
        <f t="shared" si="55"/>
        <v>1248</v>
      </c>
      <c r="J52" s="1">
        <f t="shared" si="55"/>
        <v>13600</v>
      </c>
      <c r="K52" s="1">
        <f t="shared" si="55"/>
        <v>14760.70996</v>
      </c>
      <c r="L52" s="1">
        <f t="shared" si="6"/>
        <v>411150.9287</v>
      </c>
      <c r="M52" s="11">
        <f t="shared" si="9"/>
        <v>8565.644348</v>
      </c>
      <c r="N52" s="11">
        <f t="shared" si="7"/>
        <v>-600.1742937</v>
      </c>
    </row>
    <row r="53">
      <c r="A53" s="5">
        <v>49.0</v>
      </c>
      <c r="B53" s="8">
        <f t="shared" si="2"/>
        <v>0.9840202684</v>
      </c>
      <c r="C53" s="1">
        <f t="shared" si="3"/>
        <v>7872.162147</v>
      </c>
      <c r="D53" s="1">
        <f t="shared" si="4"/>
        <v>7963.603896</v>
      </c>
      <c r="E53" s="1">
        <f t="shared" ref="E53:K53" si="56">(E$1-_xlfn.FLOOR.MATH(E$1*(180-MIN(180,$A53))/180))*E$2</f>
        <v>30300</v>
      </c>
      <c r="F53" s="1">
        <f t="shared" si="56"/>
        <v>42000</v>
      </c>
      <c r="G53" s="1">
        <f t="shared" si="56"/>
        <v>8800</v>
      </c>
      <c r="H53" s="1">
        <f t="shared" si="56"/>
        <v>300442.2188</v>
      </c>
      <c r="I53" s="1">
        <f t="shared" si="56"/>
        <v>1287</v>
      </c>
      <c r="J53" s="1">
        <f t="shared" si="56"/>
        <v>13940</v>
      </c>
      <c r="K53" s="1">
        <f t="shared" si="56"/>
        <v>14760.70996</v>
      </c>
      <c r="L53" s="1">
        <f t="shared" si="6"/>
        <v>411529.9287</v>
      </c>
      <c r="M53" s="11">
        <f t="shared" si="9"/>
        <v>8398.569974</v>
      </c>
      <c r="N53" s="11">
        <f t="shared" si="7"/>
        <v>-434.9660774</v>
      </c>
    </row>
    <row r="54">
      <c r="A54" s="5">
        <v>50.0</v>
      </c>
      <c r="B54" s="8">
        <f t="shared" si="2"/>
        <v>0.9828651667</v>
      </c>
      <c r="C54" s="1">
        <f t="shared" si="3"/>
        <v>7862.921334</v>
      </c>
      <c r="D54" s="1">
        <f t="shared" si="4"/>
        <v>7961.629728</v>
      </c>
      <c r="E54" s="1">
        <f t="shared" ref="E54:K54" si="57">(E$1-_xlfn.FLOOR.MATH(E$1*(180-MIN(180,$A54))/180))*E$2</f>
        <v>30300</v>
      </c>
      <c r="F54" s="1">
        <f t="shared" si="57"/>
        <v>42000</v>
      </c>
      <c r="G54" s="1">
        <f t="shared" si="57"/>
        <v>8800</v>
      </c>
      <c r="H54" s="1">
        <f t="shared" si="57"/>
        <v>300442.2188</v>
      </c>
      <c r="I54" s="1">
        <f t="shared" si="57"/>
        <v>1326</v>
      </c>
      <c r="J54" s="1">
        <f t="shared" si="57"/>
        <v>14280</v>
      </c>
      <c r="K54" s="1">
        <f t="shared" si="57"/>
        <v>14760.70996</v>
      </c>
      <c r="L54" s="1">
        <f t="shared" si="6"/>
        <v>411908.9287</v>
      </c>
      <c r="M54" s="11">
        <f t="shared" si="9"/>
        <v>8238.178574</v>
      </c>
      <c r="N54" s="11">
        <f t="shared" si="7"/>
        <v>-276.5488458</v>
      </c>
    </row>
    <row r="55">
      <c r="A55" s="5">
        <v>51.0</v>
      </c>
      <c r="B55" s="8">
        <f t="shared" si="2"/>
        <v>0.9816289134</v>
      </c>
      <c r="C55" s="1">
        <f t="shared" si="3"/>
        <v>7853.031307</v>
      </c>
      <c r="D55" s="1">
        <f t="shared" si="4"/>
        <v>7959.541297</v>
      </c>
      <c r="E55" s="1">
        <f t="shared" ref="E55:K55" si="58">(E$1-_xlfn.FLOOR.MATH(E$1*(180-MIN(180,$A55))/180))*E$2</f>
        <v>30300</v>
      </c>
      <c r="F55" s="1">
        <f t="shared" si="58"/>
        <v>42000</v>
      </c>
      <c r="G55" s="1">
        <f t="shared" si="58"/>
        <v>8800</v>
      </c>
      <c r="H55" s="1">
        <f t="shared" si="58"/>
        <v>300442.2188</v>
      </c>
      <c r="I55" s="1">
        <f t="shared" si="58"/>
        <v>1326</v>
      </c>
      <c r="J55" s="1">
        <f t="shared" si="58"/>
        <v>14450</v>
      </c>
      <c r="K55" s="1">
        <f t="shared" si="58"/>
        <v>14760.70996</v>
      </c>
      <c r="L55" s="1">
        <f t="shared" si="6"/>
        <v>412078.9287</v>
      </c>
      <c r="M55" s="11">
        <f t="shared" si="9"/>
        <v>8079.978994</v>
      </c>
      <c r="N55" s="11">
        <f t="shared" si="7"/>
        <v>-120.4376971</v>
      </c>
    </row>
    <row r="56">
      <c r="A56" s="5">
        <v>52.0</v>
      </c>
      <c r="B56" s="8">
        <f t="shared" si="2"/>
        <v>0.9803061567</v>
      </c>
      <c r="C56" s="1">
        <f t="shared" si="3"/>
        <v>7842.449254</v>
      </c>
      <c r="D56" s="1">
        <f t="shared" si="4"/>
        <v>7957.332013</v>
      </c>
      <c r="E56" s="1">
        <f t="shared" ref="E56:K56" si="59">(E$1-_xlfn.FLOOR.MATH(E$1*(180-MIN(180,$A56))/180))*E$2</f>
        <v>30300</v>
      </c>
      <c r="F56" s="1">
        <f t="shared" si="59"/>
        <v>42000</v>
      </c>
      <c r="G56" s="1">
        <f t="shared" si="59"/>
        <v>8800</v>
      </c>
      <c r="H56" s="1">
        <f t="shared" si="59"/>
        <v>300442.2188</v>
      </c>
      <c r="I56" s="1">
        <f t="shared" si="59"/>
        <v>1365</v>
      </c>
      <c r="J56" s="1">
        <f t="shared" si="59"/>
        <v>14790</v>
      </c>
      <c r="K56" s="1">
        <f t="shared" si="59"/>
        <v>14760.70996</v>
      </c>
      <c r="L56" s="1">
        <f t="shared" si="6"/>
        <v>412457.9287</v>
      </c>
      <c r="M56" s="11">
        <f t="shared" si="9"/>
        <v>7931.883244</v>
      </c>
      <c r="N56" s="11">
        <f t="shared" si="7"/>
        <v>25.44876895</v>
      </c>
    </row>
    <row r="57">
      <c r="A57" s="5">
        <v>53.0</v>
      </c>
      <c r="B57" s="8">
        <f t="shared" si="2"/>
        <v>0.9788912441</v>
      </c>
      <c r="C57" s="1">
        <f t="shared" si="3"/>
        <v>7831.129952</v>
      </c>
      <c r="D57" s="1">
        <f t="shared" si="4"/>
        <v>7954.994938</v>
      </c>
      <c r="E57" s="1">
        <f t="shared" ref="E57:K57" si="60">(E$1-_xlfn.FLOOR.MATH(E$1*(180-MIN(180,$A57))/180))*E$2</f>
        <v>30300</v>
      </c>
      <c r="F57" s="1">
        <f t="shared" si="60"/>
        <v>42000</v>
      </c>
      <c r="G57" s="1">
        <f t="shared" si="60"/>
        <v>8800</v>
      </c>
      <c r="H57" s="1">
        <f t="shared" si="60"/>
        <v>300442.2188</v>
      </c>
      <c r="I57" s="1">
        <f t="shared" si="60"/>
        <v>1404</v>
      </c>
      <c r="J57" s="1">
        <f t="shared" si="60"/>
        <v>15130</v>
      </c>
      <c r="K57" s="1">
        <f t="shared" si="60"/>
        <v>14760.70996</v>
      </c>
      <c r="L57" s="1">
        <f t="shared" si="6"/>
        <v>412836.9287</v>
      </c>
      <c r="M57" s="11">
        <f t="shared" si="9"/>
        <v>7789.376013</v>
      </c>
      <c r="N57" s="11">
        <f t="shared" si="7"/>
        <v>165.6189248</v>
      </c>
    </row>
    <row r="58">
      <c r="A58" s="5">
        <v>54.0</v>
      </c>
      <c r="B58" s="8">
        <f t="shared" si="2"/>
        <v>0.9773782126</v>
      </c>
      <c r="C58" s="1">
        <f t="shared" si="3"/>
        <v>7819.025701</v>
      </c>
      <c r="D58" s="1">
        <f t="shared" si="4"/>
        <v>7952.52277</v>
      </c>
      <c r="E58" s="1">
        <f t="shared" ref="E58:K58" si="61">(E$1-_xlfn.FLOOR.MATH(E$1*(180-MIN(180,$A58))/180))*E$2</f>
        <v>30300</v>
      </c>
      <c r="F58" s="1">
        <f t="shared" si="61"/>
        <v>42000</v>
      </c>
      <c r="G58" s="1">
        <f t="shared" si="61"/>
        <v>8800</v>
      </c>
      <c r="H58" s="1">
        <f t="shared" si="61"/>
        <v>300442.2188</v>
      </c>
      <c r="I58" s="1">
        <f t="shared" si="61"/>
        <v>1404</v>
      </c>
      <c r="J58" s="1">
        <f t="shared" si="61"/>
        <v>15300</v>
      </c>
      <c r="K58" s="1">
        <f t="shared" si="61"/>
        <v>14760.70996</v>
      </c>
      <c r="L58" s="1">
        <f t="shared" si="6"/>
        <v>413006.9287</v>
      </c>
      <c r="M58" s="11">
        <f t="shared" si="9"/>
        <v>7648.276458</v>
      </c>
      <c r="N58" s="11">
        <f t="shared" si="7"/>
        <v>304.2463126</v>
      </c>
    </row>
    <row r="59">
      <c r="A59" s="5">
        <v>55.0</v>
      </c>
      <c r="B59" s="8">
        <f t="shared" si="2"/>
        <v>0.9757607813</v>
      </c>
      <c r="C59" s="1">
        <f t="shared" si="3"/>
        <v>7806.086251</v>
      </c>
      <c r="D59" s="1">
        <f t="shared" si="4"/>
        <v>7949.907832</v>
      </c>
      <c r="E59" s="1">
        <f t="shared" ref="E59:K59" si="62">(E$1-_xlfn.FLOOR.MATH(E$1*(180-MIN(180,$A59))/180))*E$2</f>
        <v>30300</v>
      </c>
      <c r="F59" s="1">
        <f t="shared" si="62"/>
        <v>42000</v>
      </c>
      <c r="G59" s="1">
        <f t="shared" si="62"/>
        <v>8800</v>
      </c>
      <c r="H59" s="1">
        <f t="shared" si="62"/>
        <v>300442.2188</v>
      </c>
      <c r="I59" s="1">
        <f t="shared" si="62"/>
        <v>1443</v>
      </c>
      <c r="J59" s="1">
        <f t="shared" si="62"/>
        <v>15640</v>
      </c>
      <c r="K59" s="1">
        <f t="shared" si="62"/>
        <v>14760.70996</v>
      </c>
      <c r="L59" s="1">
        <f t="shared" si="6"/>
        <v>413385.9287</v>
      </c>
      <c r="M59" s="11">
        <f t="shared" si="9"/>
        <v>7516.107795</v>
      </c>
      <c r="N59" s="11">
        <f t="shared" si="7"/>
        <v>433.8000376</v>
      </c>
    </row>
    <row r="60">
      <c r="A60" s="5">
        <v>56.0</v>
      </c>
      <c r="B60" s="8">
        <f t="shared" si="2"/>
        <v>0.9740323444</v>
      </c>
      <c r="C60" s="1">
        <f t="shared" si="3"/>
        <v>7792.258755</v>
      </c>
      <c r="D60" s="1">
        <f t="shared" si="4"/>
        <v>7947.142059</v>
      </c>
      <c r="E60" s="1">
        <f t="shared" ref="E60:K60" si="63">(E$1-_xlfn.FLOOR.MATH(E$1*(180-MIN(180,$A60))/180))*E$2</f>
        <v>30300</v>
      </c>
      <c r="F60" s="1">
        <f t="shared" si="63"/>
        <v>42000</v>
      </c>
      <c r="G60" s="1">
        <f t="shared" si="63"/>
        <v>8800</v>
      </c>
      <c r="H60" s="1">
        <f t="shared" si="63"/>
        <v>300442.2188</v>
      </c>
      <c r="I60" s="1">
        <f t="shared" si="63"/>
        <v>1482</v>
      </c>
      <c r="J60" s="1">
        <f t="shared" si="63"/>
        <v>15980</v>
      </c>
      <c r="K60" s="1">
        <f t="shared" si="63"/>
        <v>14760.70996</v>
      </c>
      <c r="L60" s="1">
        <f t="shared" si="6"/>
        <v>413764.9287</v>
      </c>
      <c r="M60" s="11">
        <f t="shared" si="9"/>
        <v>7388.659441</v>
      </c>
      <c r="N60" s="11">
        <f t="shared" si="7"/>
        <v>558.4826178</v>
      </c>
    </row>
    <row r="61">
      <c r="A61" s="5">
        <v>57.0</v>
      </c>
      <c r="B61" s="8">
        <f t="shared" si="2"/>
        <v>0.9721859656</v>
      </c>
      <c r="C61" s="1">
        <f t="shared" si="3"/>
        <v>7777.487725</v>
      </c>
      <c r="D61" s="1">
        <f t="shared" si="4"/>
        <v>7944.216984</v>
      </c>
      <c r="E61" s="1">
        <f t="shared" ref="E61:K61" si="64">(E$1-_xlfn.FLOOR.MATH(E$1*(180-MIN(180,$A61))/180))*E$2</f>
        <v>30300</v>
      </c>
      <c r="F61" s="1">
        <f t="shared" si="64"/>
        <v>42000</v>
      </c>
      <c r="G61" s="1">
        <f t="shared" si="64"/>
        <v>8800</v>
      </c>
      <c r="H61" s="1">
        <f t="shared" si="64"/>
        <v>300442.2188</v>
      </c>
      <c r="I61" s="1">
        <f t="shared" si="64"/>
        <v>1482</v>
      </c>
      <c r="J61" s="1">
        <f t="shared" si="64"/>
        <v>16150</v>
      </c>
      <c r="K61" s="1">
        <f t="shared" si="64"/>
        <v>14760.70996</v>
      </c>
      <c r="L61" s="1">
        <f t="shared" si="6"/>
        <v>413934.9287</v>
      </c>
      <c r="M61" s="11">
        <f t="shared" si="9"/>
        <v>7262.016293</v>
      </c>
      <c r="N61" s="11">
        <f t="shared" si="7"/>
        <v>682.2006912</v>
      </c>
    </row>
    <row r="62">
      <c r="A62" s="5">
        <v>58.0</v>
      </c>
      <c r="B62" s="8">
        <f t="shared" si="2"/>
        <v>0.9702143754</v>
      </c>
      <c r="C62" s="1">
        <f t="shared" si="3"/>
        <v>7761.715003</v>
      </c>
      <c r="D62" s="1">
        <f t="shared" si="4"/>
        <v>7941.12373</v>
      </c>
      <c r="E62" s="1">
        <f t="shared" ref="E62:K62" si="65">(E$1-_xlfn.FLOOR.MATH(E$1*(180-MIN(180,$A62))/180))*E$2</f>
        <v>30300</v>
      </c>
      <c r="F62" s="1">
        <f t="shared" si="65"/>
        <v>42000</v>
      </c>
      <c r="G62" s="1">
        <f t="shared" si="65"/>
        <v>8800</v>
      </c>
      <c r="H62" s="1">
        <f t="shared" si="65"/>
        <v>300442.2188</v>
      </c>
      <c r="I62" s="1">
        <f t="shared" si="65"/>
        <v>1521</v>
      </c>
      <c r="J62" s="1">
        <f t="shared" si="65"/>
        <v>16490</v>
      </c>
      <c r="K62" s="1">
        <f t="shared" si="65"/>
        <v>14760.70996</v>
      </c>
      <c r="L62" s="1">
        <f t="shared" si="6"/>
        <v>414313.9287</v>
      </c>
      <c r="M62" s="11">
        <f t="shared" si="9"/>
        <v>7143.343598</v>
      </c>
      <c r="N62" s="11">
        <f t="shared" si="7"/>
        <v>797.780132</v>
      </c>
    </row>
    <row r="63">
      <c r="A63" s="5">
        <v>59.0</v>
      </c>
      <c r="B63" s="8">
        <f t="shared" si="2"/>
        <v>0.9681099696</v>
      </c>
      <c r="C63" s="1">
        <f t="shared" si="3"/>
        <v>7744.879757</v>
      </c>
      <c r="D63" s="1">
        <f t="shared" si="4"/>
        <v>7937.852998</v>
      </c>
      <c r="E63" s="1">
        <f t="shared" ref="E63:K63" si="66">(E$1-_xlfn.FLOOR.MATH(E$1*(180-MIN(180,$A63))/180))*E$2</f>
        <v>30300</v>
      </c>
      <c r="F63" s="1">
        <f t="shared" si="66"/>
        <v>42000</v>
      </c>
      <c r="G63" s="1">
        <f t="shared" si="66"/>
        <v>8800</v>
      </c>
      <c r="H63" s="1">
        <f t="shared" si="66"/>
        <v>300442.2188</v>
      </c>
      <c r="I63" s="1">
        <f t="shared" si="66"/>
        <v>1560</v>
      </c>
      <c r="J63" s="1">
        <f t="shared" si="66"/>
        <v>16830</v>
      </c>
      <c r="K63" s="1">
        <f t="shared" si="66"/>
        <v>14760.70996</v>
      </c>
      <c r="L63" s="1">
        <f t="shared" si="6"/>
        <v>414692.9287</v>
      </c>
      <c r="M63" s="11">
        <f t="shared" si="9"/>
        <v>7028.693707</v>
      </c>
      <c r="N63" s="11">
        <f t="shared" si="7"/>
        <v>909.1592906</v>
      </c>
    </row>
    <row r="64">
      <c r="A64" s="5">
        <v>60.0</v>
      </c>
      <c r="B64" s="8">
        <f t="shared" si="2"/>
        <v>0.9658648113</v>
      </c>
      <c r="C64" s="1">
        <f t="shared" si="3"/>
        <v>7726.91849</v>
      </c>
      <c r="D64" s="1">
        <f t="shared" si="4"/>
        <v>7934.395055</v>
      </c>
      <c r="E64" s="1">
        <f t="shared" ref="E64:K64" si="67">(E$1-_xlfn.FLOOR.MATH(E$1*(180-MIN(180,$A64))/180))*E$2</f>
        <v>30300</v>
      </c>
      <c r="F64" s="1">
        <f t="shared" si="67"/>
        <v>42000</v>
      </c>
      <c r="G64" s="1">
        <f t="shared" si="67"/>
        <v>8800</v>
      </c>
      <c r="H64" s="1">
        <f t="shared" si="67"/>
        <v>300442.2188</v>
      </c>
      <c r="I64" s="1">
        <f t="shared" si="67"/>
        <v>1560</v>
      </c>
      <c r="J64" s="1">
        <f t="shared" si="67"/>
        <v>17000</v>
      </c>
      <c r="K64" s="1">
        <f t="shared" si="67"/>
        <v>14760.70996</v>
      </c>
      <c r="L64" s="1">
        <f t="shared" si="6"/>
        <v>414862.9287</v>
      </c>
      <c r="M64" s="11">
        <f t="shared" si="9"/>
        <v>6914.382145</v>
      </c>
      <c r="N64" s="11">
        <f t="shared" si="7"/>
        <v>1020.01291</v>
      </c>
    </row>
    <row r="65">
      <c r="A65" s="5">
        <v>61.0</v>
      </c>
      <c r="B65" s="8">
        <f t="shared" si="2"/>
        <v>0.9634706354</v>
      </c>
      <c r="C65" s="1">
        <f t="shared" si="3"/>
        <v>7707.765083</v>
      </c>
      <c r="D65" s="1">
        <f t="shared" si="4"/>
        <v>7930.739733</v>
      </c>
      <c r="E65" s="1">
        <f t="shared" ref="E65:K65" si="68">(E$1-_xlfn.FLOOR.MATH(E$1*(180-MIN(180,$A65))/180))*E$2</f>
        <v>30300</v>
      </c>
      <c r="F65" s="1">
        <f t="shared" si="68"/>
        <v>52500</v>
      </c>
      <c r="G65" s="1">
        <f t="shared" si="68"/>
        <v>13200</v>
      </c>
      <c r="H65" s="1">
        <f t="shared" si="68"/>
        <v>300442.2188</v>
      </c>
      <c r="I65" s="1">
        <f t="shared" si="68"/>
        <v>1599</v>
      </c>
      <c r="J65" s="1">
        <f t="shared" si="68"/>
        <v>17340</v>
      </c>
      <c r="K65" s="1">
        <f t="shared" si="68"/>
        <v>14760.70996</v>
      </c>
      <c r="L65" s="1">
        <f t="shared" si="6"/>
        <v>430141.9287</v>
      </c>
      <c r="M65" s="11">
        <f t="shared" si="9"/>
        <v>7051.507028</v>
      </c>
      <c r="N65" s="11">
        <f t="shared" si="7"/>
        <v>879.2327046</v>
      </c>
    </row>
    <row r="66">
      <c r="A66" s="5">
        <v>62.0</v>
      </c>
      <c r="B66" s="8">
        <f t="shared" si="2"/>
        <v>0.9609188575</v>
      </c>
      <c r="C66" s="1">
        <f t="shared" si="3"/>
        <v>7687.35086</v>
      </c>
      <c r="D66" s="1">
        <f t="shared" si="4"/>
        <v>7926.876417</v>
      </c>
      <c r="E66" s="1">
        <f t="shared" ref="E66:K66" si="69">(E$1-_xlfn.FLOOR.MATH(E$1*(180-MIN(180,$A66))/180))*E$2</f>
        <v>30300</v>
      </c>
      <c r="F66" s="1">
        <f t="shared" si="69"/>
        <v>52500</v>
      </c>
      <c r="G66" s="1">
        <f t="shared" si="69"/>
        <v>13200</v>
      </c>
      <c r="H66" s="1">
        <f t="shared" si="69"/>
        <v>300442.2188</v>
      </c>
      <c r="I66" s="1">
        <f t="shared" si="69"/>
        <v>1638</v>
      </c>
      <c r="J66" s="1">
        <f t="shared" si="69"/>
        <v>17680</v>
      </c>
      <c r="K66" s="1">
        <f t="shared" si="69"/>
        <v>14760.70996</v>
      </c>
      <c r="L66" s="1">
        <f t="shared" si="6"/>
        <v>430520.9287</v>
      </c>
      <c r="M66" s="11">
        <f t="shared" si="9"/>
        <v>6943.885947</v>
      </c>
      <c r="N66" s="11">
        <f t="shared" si="7"/>
        <v>982.9904703</v>
      </c>
    </row>
    <row r="67">
      <c r="A67" s="5">
        <v>63.0</v>
      </c>
      <c r="B67" s="8">
        <f t="shared" si="2"/>
        <v>0.958200586</v>
      </c>
      <c r="C67" s="1">
        <f t="shared" si="3"/>
        <v>7665.604688</v>
      </c>
      <c r="D67" s="1">
        <f t="shared" si="4"/>
        <v>7922.794046</v>
      </c>
      <c r="E67" s="1">
        <f t="shared" ref="E67:K67" si="70">(E$1-_xlfn.FLOOR.MATH(E$1*(180-MIN(180,$A67))/180))*E$2</f>
        <v>30300</v>
      </c>
      <c r="F67" s="1">
        <f t="shared" si="70"/>
        <v>52500</v>
      </c>
      <c r="G67" s="1">
        <f t="shared" si="70"/>
        <v>13200</v>
      </c>
      <c r="H67" s="1">
        <f t="shared" si="70"/>
        <v>300442.2188</v>
      </c>
      <c r="I67" s="1">
        <f t="shared" si="70"/>
        <v>1638</v>
      </c>
      <c r="J67" s="1">
        <f t="shared" si="70"/>
        <v>17850</v>
      </c>
      <c r="K67" s="1">
        <f t="shared" si="70"/>
        <v>14760.70996</v>
      </c>
      <c r="L67" s="1">
        <f t="shared" si="6"/>
        <v>430690.9287</v>
      </c>
      <c r="M67" s="11">
        <f t="shared" si="9"/>
        <v>6836.363948</v>
      </c>
      <c r="N67" s="11">
        <f t="shared" si="7"/>
        <v>1086.430099</v>
      </c>
    </row>
    <row r="68">
      <c r="A68" s="5">
        <v>64.0</v>
      </c>
      <c r="B68" s="8">
        <f t="shared" si="2"/>
        <v>0.9553066396</v>
      </c>
      <c r="C68" s="1">
        <f t="shared" si="3"/>
        <v>7642.453117</v>
      </c>
      <c r="D68" s="1">
        <f t="shared" si="4"/>
        <v>7918.481109</v>
      </c>
      <c r="E68" s="1">
        <f t="shared" ref="E68:K68" si="71">(E$1-_xlfn.FLOOR.MATH(E$1*(180-MIN(180,$A68))/180))*E$2</f>
        <v>30300</v>
      </c>
      <c r="F68" s="1">
        <f t="shared" si="71"/>
        <v>52500</v>
      </c>
      <c r="G68" s="1">
        <f t="shared" si="71"/>
        <v>13200</v>
      </c>
      <c r="H68" s="1">
        <f t="shared" si="71"/>
        <v>300442.2188</v>
      </c>
      <c r="I68" s="1">
        <f t="shared" si="71"/>
        <v>1677</v>
      </c>
      <c r="J68" s="1">
        <f t="shared" si="71"/>
        <v>18190</v>
      </c>
      <c r="K68" s="1">
        <f t="shared" si="71"/>
        <v>14760.70996</v>
      </c>
      <c r="L68" s="1">
        <f t="shared" si="6"/>
        <v>431069.9287</v>
      </c>
      <c r="M68" s="11">
        <f t="shared" si="9"/>
        <v>6735.467636</v>
      </c>
      <c r="N68" s="11">
        <f t="shared" si="7"/>
        <v>1183.013473</v>
      </c>
    </row>
    <row r="69">
      <c r="A69" s="5">
        <v>65.0</v>
      </c>
      <c r="B69" s="8">
        <f t="shared" si="2"/>
        <v>0.95222757</v>
      </c>
      <c r="C69" s="1">
        <f t="shared" si="3"/>
        <v>7617.82056</v>
      </c>
      <c r="D69" s="1">
        <f t="shared" si="4"/>
        <v>7913.925646</v>
      </c>
      <c r="E69" s="1">
        <f t="shared" ref="E69:K69" si="72">(E$1-_xlfn.FLOOR.MATH(E$1*(180-MIN(180,$A69))/180))*E$2</f>
        <v>30300</v>
      </c>
      <c r="F69" s="1">
        <f t="shared" si="72"/>
        <v>52500</v>
      </c>
      <c r="G69" s="1">
        <f t="shared" si="72"/>
        <v>13200</v>
      </c>
      <c r="H69" s="1">
        <f t="shared" si="72"/>
        <v>300442.2188</v>
      </c>
      <c r="I69" s="1">
        <f t="shared" si="72"/>
        <v>1716</v>
      </c>
      <c r="J69" s="1">
        <f t="shared" si="72"/>
        <v>18530</v>
      </c>
      <c r="K69" s="1">
        <f t="shared" si="72"/>
        <v>14760.70996</v>
      </c>
      <c r="L69" s="1">
        <f t="shared" si="6"/>
        <v>431448.9287</v>
      </c>
      <c r="M69" s="11">
        <f t="shared" si="9"/>
        <v>6637.675826</v>
      </c>
      <c r="N69" s="11">
        <f t="shared" si="7"/>
        <v>1276.24982</v>
      </c>
    </row>
    <row r="70">
      <c r="A70" s="5">
        <v>66.0</v>
      </c>
      <c r="B70" s="8">
        <f t="shared" si="2"/>
        <v>0.9489536902</v>
      </c>
      <c r="C70" s="1">
        <f t="shared" si="3"/>
        <v>7591.629522</v>
      </c>
      <c r="D70" s="1">
        <f t="shared" si="4"/>
        <v>7909.115256</v>
      </c>
      <c r="E70" s="1">
        <f t="shared" ref="E70:K70" si="73">(E$1-_xlfn.FLOOR.MATH(E$1*(180-MIN(180,$A70))/180))*E$2</f>
        <v>30300</v>
      </c>
      <c r="F70" s="1">
        <f t="shared" si="73"/>
        <v>52500</v>
      </c>
      <c r="G70" s="1">
        <f t="shared" si="73"/>
        <v>13200</v>
      </c>
      <c r="H70" s="1">
        <f t="shared" si="73"/>
        <v>300442.2188</v>
      </c>
      <c r="I70" s="1">
        <f t="shared" si="73"/>
        <v>1716</v>
      </c>
      <c r="J70" s="1">
        <f t="shared" si="73"/>
        <v>18700</v>
      </c>
      <c r="K70" s="1">
        <f t="shared" si="73"/>
        <v>14760.70996</v>
      </c>
      <c r="L70" s="1">
        <f t="shared" si="6"/>
        <v>431618.9287</v>
      </c>
      <c r="M70" s="11">
        <f t="shared" si="9"/>
        <v>6539.680738</v>
      </c>
      <c r="N70" s="11">
        <f t="shared" si="7"/>
        <v>1369.434518</v>
      </c>
    </row>
    <row r="71">
      <c r="A71" s="5">
        <v>67.0</v>
      </c>
      <c r="B71" s="8">
        <f t="shared" si="2"/>
        <v>0.9454751094</v>
      </c>
      <c r="C71" s="1">
        <f t="shared" si="3"/>
        <v>7563.800875</v>
      </c>
      <c r="D71" s="1">
        <f t="shared" si="4"/>
        <v>7904.037104</v>
      </c>
      <c r="E71" s="1">
        <f t="shared" ref="E71:K71" si="74">(E$1-_xlfn.FLOOR.MATH(E$1*(180-MIN(180,$A71))/180))*E$2</f>
        <v>30300</v>
      </c>
      <c r="F71" s="1">
        <f t="shared" si="74"/>
        <v>52500</v>
      </c>
      <c r="G71" s="1">
        <f t="shared" si="74"/>
        <v>13200</v>
      </c>
      <c r="H71" s="1">
        <f t="shared" si="74"/>
        <v>300442.2188</v>
      </c>
      <c r="I71" s="1">
        <f t="shared" si="74"/>
        <v>1755</v>
      </c>
      <c r="J71" s="1">
        <f t="shared" si="74"/>
        <v>19040</v>
      </c>
      <c r="K71" s="1">
        <f t="shared" si="74"/>
        <v>14760.70996</v>
      </c>
      <c r="L71" s="1">
        <f t="shared" si="6"/>
        <v>431997.9287</v>
      </c>
      <c r="M71" s="11">
        <f t="shared" si="9"/>
        <v>6447.730279</v>
      </c>
      <c r="N71" s="11">
        <f t="shared" si="7"/>
        <v>1456.306824</v>
      </c>
    </row>
    <row r="72">
      <c r="A72" s="5">
        <v>68.0</v>
      </c>
      <c r="B72" s="8">
        <f t="shared" si="2"/>
        <v>0.9417817754</v>
      </c>
      <c r="C72" s="1">
        <f t="shared" si="3"/>
        <v>7534.254203</v>
      </c>
      <c r="D72" s="1">
        <f t="shared" si="4"/>
        <v>7898.677931</v>
      </c>
      <c r="E72" s="1">
        <f t="shared" ref="E72:K72" si="75">(E$1-_xlfn.FLOOR.MATH(E$1*(180-MIN(180,$A72))/180))*E$2</f>
        <v>40400</v>
      </c>
      <c r="F72" s="1">
        <f t="shared" si="75"/>
        <v>52500</v>
      </c>
      <c r="G72" s="1">
        <f t="shared" si="75"/>
        <v>13200</v>
      </c>
      <c r="H72" s="1">
        <f t="shared" si="75"/>
        <v>400589.625</v>
      </c>
      <c r="I72" s="1">
        <f t="shared" si="75"/>
        <v>1794</v>
      </c>
      <c r="J72" s="1">
        <f t="shared" si="75"/>
        <v>19380</v>
      </c>
      <c r="K72" s="1">
        <f t="shared" si="75"/>
        <v>14760.70996</v>
      </c>
      <c r="L72" s="1">
        <f t="shared" si="6"/>
        <v>542624.335</v>
      </c>
      <c r="M72" s="11">
        <f t="shared" si="9"/>
        <v>7979.769632</v>
      </c>
      <c r="N72" s="11">
        <f t="shared" si="7"/>
        <v>-81.09170058</v>
      </c>
    </row>
    <row r="73">
      <c r="A73" s="5">
        <v>69.0</v>
      </c>
      <c r="B73" s="8">
        <f t="shared" si="2"/>
        <v>0.9378635241</v>
      </c>
      <c r="C73" s="1">
        <f t="shared" si="3"/>
        <v>7502.908193</v>
      </c>
      <c r="D73" s="1">
        <f t="shared" si="4"/>
        <v>7893.024078</v>
      </c>
      <c r="E73" s="1">
        <f t="shared" ref="E73:K73" si="76">(E$1-_xlfn.FLOOR.MATH(E$1*(180-MIN(180,$A73))/180))*E$2</f>
        <v>40400</v>
      </c>
      <c r="F73" s="1">
        <f t="shared" si="76"/>
        <v>52500</v>
      </c>
      <c r="G73" s="1">
        <f t="shared" si="76"/>
        <v>13200</v>
      </c>
      <c r="H73" s="1">
        <f t="shared" si="76"/>
        <v>400589.625</v>
      </c>
      <c r="I73" s="1">
        <f t="shared" si="76"/>
        <v>1794</v>
      </c>
      <c r="J73" s="1">
        <f t="shared" si="76"/>
        <v>19550</v>
      </c>
      <c r="K73" s="1">
        <f t="shared" si="76"/>
        <v>14760.70996</v>
      </c>
      <c r="L73" s="1">
        <f t="shared" si="6"/>
        <v>542794.335</v>
      </c>
      <c r="M73" s="11">
        <f t="shared" si="9"/>
        <v>7866.584565</v>
      </c>
      <c r="N73" s="11">
        <f t="shared" si="7"/>
        <v>26.43951315</v>
      </c>
    </row>
    <row r="74">
      <c r="A74" s="5">
        <v>70.0</v>
      </c>
      <c r="B74" s="8">
        <f t="shared" si="2"/>
        <v>0.9337101377</v>
      </c>
      <c r="C74" s="1">
        <f t="shared" si="3"/>
        <v>7469.681102</v>
      </c>
      <c r="D74" s="1">
        <f t="shared" si="4"/>
        <v>7887.061501</v>
      </c>
      <c r="E74" s="1">
        <f t="shared" ref="E74:K74" si="77">(E$1-_xlfn.FLOOR.MATH(E$1*(180-MIN(180,$A74))/180))*E$2</f>
        <v>40400</v>
      </c>
      <c r="F74" s="1">
        <f t="shared" si="77"/>
        <v>52500</v>
      </c>
      <c r="G74" s="1">
        <f t="shared" si="77"/>
        <v>13200</v>
      </c>
      <c r="H74" s="1">
        <f t="shared" si="77"/>
        <v>400589.625</v>
      </c>
      <c r="I74" s="1">
        <f t="shared" si="77"/>
        <v>1833</v>
      </c>
      <c r="J74" s="1">
        <f t="shared" si="77"/>
        <v>19890</v>
      </c>
      <c r="K74" s="1">
        <f t="shared" si="77"/>
        <v>14760.70996</v>
      </c>
      <c r="L74" s="1">
        <f t="shared" si="6"/>
        <v>543173.335</v>
      </c>
      <c r="M74" s="11">
        <f t="shared" si="9"/>
        <v>7759.619071</v>
      </c>
      <c r="N74" s="11">
        <f t="shared" si="7"/>
        <v>127.4424298</v>
      </c>
    </row>
    <row r="75">
      <c r="A75" s="5">
        <v>71.0</v>
      </c>
      <c r="B75" s="8">
        <f t="shared" si="2"/>
        <v>0.9293114117</v>
      </c>
      <c r="C75" s="1">
        <f t="shared" si="3"/>
        <v>7434.491294</v>
      </c>
      <c r="D75" s="1">
        <f t="shared" si="4"/>
        <v>7880.775803</v>
      </c>
      <c r="E75" s="1">
        <f t="shared" ref="E75:K75" si="78">(E$1-_xlfn.FLOOR.MATH(E$1*(180-MIN(180,$A75))/180))*E$2</f>
        <v>40400</v>
      </c>
      <c r="F75" s="1">
        <f t="shared" si="78"/>
        <v>52500</v>
      </c>
      <c r="G75" s="1">
        <f t="shared" si="78"/>
        <v>13200</v>
      </c>
      <c r="H75" s="1">
        <f t="shared" si="78"/>
        <v>400589.625</v>
      </c>
      <c r="I75" s="1">
        <f t="shared" si="78"/>
        <v>1872</v>
      </c>
      <c r="J75" s="1">
        <f t="shared" si="78"/>
        <v>20230</v>
      </c>
      <c r="K75" s="1">
        <f t="shared" si="78"/>
        <v>14760.70996</v>
      </c>
      <c r="L75" s="1">
        <f t="shared" si="6"/>
        <v>543552.335</v>
      </c>
      <c r="M75" s="11">
        <f t="shared" si="9"/>
        <v>7655.66669</v>
      </c>
      <c r="N75" s="11">
        <f t="shared" si="7"/>
        <v>225.1091138</v>
      </c>
    </row>
    <row r="76">
      <c r="A76" s="5">
        <v>72.0</v>
      </c>
      <c r="B76" s="8">
        <f t="shared" si="2"/>
        <v>0.9246572309</v>
      </c>
      <c r="C76" s="1">
        <f t="shared" si="3"/>
        <v>7397.257847</v>
      </c>
      <c r="D76" s="1">
        <f t="shared" si="4"/>
        <v>7874.15227</v>
      </c>
      <c r="E76" s="1">
        <f t="shared" ref="E76:K76" si="79">(E$1-_xlfn.FLOOR.MATH(E$1*(180-MIN(180,$A76))/180))*E$2</f>
        <v>40400</v>
      </c>
      <c r="F76" s="1">
        <f t="shared" si="79"/>
        <v>52500</v>
      </c>
      <c r="G76" s="1">
        <f t="shared" si="79"/>
        <v>13200</v>
      </c>
      <c r="H76" s="1">
        <f t="shared" si="79"/>
        <v>400589.625</v>
      </c>
      <c r="I76" s="1">
        <f t="shared" si="79"/>
        <v>1872</v>
      </c>
      <c r="J76" s="1">
        <f t="shared" si="79"/>
        <v>20400</v>
      </c>
      <c r="K76" s="1">
        <f t="shared" si="79"/>
        <v>14760.70996</v>
      </c>
      <c r="L76" s="1">
        <f t="shared" si="6"/>
        <v>543722.335</v>
      </c>
      <c r="M76" s="11">
        <f t="shared" si="9"/>
        <v>7551.699097</v>
      </c>
      <c r="N76" s="11">
        <f t="shared" si="7"/>
        <v>322.453173</v>
      </c>
    </row>
    <row r="77">
      <c r="A77" s="5">
        <v>73.0</v>
      </c>
      <c r="B77" s="8">
        <f t="shared" si="2"/>
        <v>0.9197376548</v>
      </c>
      <c r="C77" s="1">
        <f t="shared" si="3"/>
        <v>7357.901238</v>
      </c>
      <c r="D77" s="1">
        <f t="shared" si="4"/>
        <v>7867.175904</v>
      </c>
      <c r="E77" s="1">
        <f t="shared" ref="E77:K77" si="80">(E$1-_xlfn.FLOOR.MATH(E$1*(180-MIN(180,$A77))/180))*E$2</f>
        <v>40400</v>
      </c>
      <c r="F77" s="1">
        <f t="shared" si="80"/>
        <v>52500</v>
      </c>
      <c r="G77" s="1">
        <f t="shared" si="80"/>
        <v>13200</v>
      </c>
      <c r="H77" s="1">
        <f t="shared" si="80"/>
        <v>400589.625</v>
      </c>
      <c r="I77" s="1">
        <f t="shared" si="80"/>
        <v>1911</v>
      </c>
      <c r="J77" s="1">
        <f t="shared" si="80"/>
        <v>20740</v>
      </c>
      <c r="K77" s="1">
        <f t="shared" si="80"/>
        <v>14760.70996</v>
      </c>
      <c r="L77" s="1">
        <f t="shared" si="6"/>
        <v>544101.335</v>
      </c>
      <c r="M77" s="11">
        <f t="shared" si="9"/>
        <v>7453.442945</v>
      </c>
      <c r="N77" s="11">
        <f t="shared" si="7"/>
        <v>413.7329597</v>
      </c>
    </row>
    <row r="78">
      <c r="A78" s="5">
        <v>74.0</v>
      </c>
      <c r="B78" s="8">
        <f t="shared" si="2"/>
        <v>0.9145430134</v>
      </c>
      <c r="C78" s="1">
        <f t="shared" si="3"/>
        <v>7316.344107</v>
      </c>
      <c r="D78" s="1">
        <f t="shared" si="4"/>
        <v>7859.83148</v>
      </c>
      <c r="E78" s="1">
        <f t="shared" ref="E78:K78" si="81">(E$1-_xlfn.FLOOR.MATH(E$1*(180-MIN(180,$A78))/180))*E$2</f>
        <v>40400</v>
      </c>
      <c r="F78" s="1">
        <f t="shared" si="81"/>
        <v>52500</v>
      </c>
      <c r="G78" s="1">
        <f t="shared" si="81"/>
        <v>13200</v>
      </c>
      <c r="H78" s="1">
        <f t="shared" si="81"/>
        <v>400589.625</v>
      </c>
      <c r="I78" s="1">
        <f t="shared" si="81"/>
        <v>1950</v>
      </c>
      <c r="J78" s="1">
        <f t="shared" si="81"/>
        <v>21080</v>
      </c>
      <c r="K78" s="1">
        <f t="shared" si="81"/>
        <v>14760.70996</v>
      </c>
      <c r="L78" s="1">
        <f t="shared" si="6"/>
        <v>544480.335</v>
      </c>
      <c r="M78" s="11">
        <f t="shared" si="9"/>
        <v>7357.842364</v>
      </c>
      <c r="N78" s="11">
        <f t="shared" si="7"/>
        <v>501.9891161</v>
      </c>
    </row>
    <row r="79">
      <c r="A79" s="5">
        <v>75.0</v>
      </c>
      <c r="B79" s="8">
        <f t="shared" si="2"/>
        <v>0.9090640122</v>
      </c>
      <c r="C79" s="1">
        <f t="shared" si="3"/>
        <v>7272.512098</v>
      </c>
      <c r="D79" s="1">
        <f t="shared" si="4"/>
        <v>7852.103594</v>
      </c>
      <c r="E79" s="1">
        <f t="shared" ref="E79:K79" si="82">(E$1-_xlfn.FLOOR.MATH(E$1*(180-MIN(180,$A79))/180))*E$2</f>
        <v>40400</v>
      </c>
      <c r="F79" s="1">
        <f t="shared" si="82"/>
        <v>52500</v>
      </c>
      <c r="G79" s="1">
        <f t="shared" si="82"/>
        <v>13200</v>
      </c>
      <c r="H79" s="1">
        <f t="shared" si="82"/>
        <v>400589.625</v>
      </c>
      <c r="I79" s="1">
        <f t="shared" si="82"/>
        <v>1950</v>
      </c>
      <c r="J79" s="1">
        <f t="shared" si="82"/>
        <v>21250</v>
      </c>
      <c r="K79" s="1">
        <f t="shared" si="82"/>
        <v>14760.70996</v>
      </c>
      <c r="L79" s="1">
        <f t="shared" si="6"/>
        <v>544650.335</v>
      </c>
      <c r="M79" s="11">
        <f t="shared" si="9"/>
        <v>7262.004466</v>
      </c>
      <c r="N79" s="11">
        <f t="shared" si="7"/>
        <v>590.0991277</v>
      </c>
    </row>
    <row r="80">
      <c r="A80" s="5">
        <v>76.0</v>
      </c>
      <c r="B80" s="8">
        <f t="shared" si="2"/>
        <v>0.9032918464</v>
      </c>
      <c r="C80" s="1">
        <f t="shared" si="3"/>
        <v>7226.334771</v>
      </c>
      <c r="D80" s="1">
        <f t="shared" si="4"/>
        <v>7843.976726</v>
      </c>
      <c r="E80" s="1">
        <f t="shared" ref="E80:K80" si="83">(E$1-_xlfn.FLOOR.MATH(E$1*(180-MIN(180,$A80))/180))*E$2</f>
        <v>40400</v>
      </c>
      <c r="F80" s="1">
        <f t="shared" si="83"/>
        <v>63000</v>
      </c>
      <c r="G80" s="1">
        <f t="shared" si="83"/>
        <v>13200</v>
      </c>
      <c r="H80" s="1">
        <f t="shared" si="83"/>
        <v>400589.625</v>
      </c>
      <c r="I80" s="1">
        <f t="shared" si="83"/>
        <v>1989</v>
      </c>
      <c r="J80" s="1">
        <f t="shared" si="83"/>
        <v>21590</v>
      </c>
      <c r="K80" s="1">
        <f t="shared" si="83"/>
        <v>14760.70996</v>
      </c>
      <c r="L80" s="1">
        <f t="shared" si="6"/>
        <v>555529.335</v>
      </c>
      <c r="M80" s="11">
        <f t="shared" si="9"/>
        <v>7309.596513</v>
      </c>
      <c r="N80" s="11">
        <f t="shared" si="7"/>
        <v>534.3802134</v>
      </c>
    </row>
    <row r="81">
      <c r="A81" s="5">
        <v>77.0</v>
      </c>
      <c r="B81" s="8">
        <f t="shared" si="2"/>
        <v>0.8972183246</v>
      </c>
      <c r="C81" s="1">
        <f t="shared" si="3"/>
        <v>7177.746597</v>
      </c>
      <c r="D81" s="1">
        <f t="shared" si="4"/>
        <v>7835.435314</v>
      </c>
      <c r="E81" s="1">
        <f t="shared" ref="E81:K81" si="84">(E$1-_xlfn.FLOOR.MATH(E$1*(180-MIN(180,$A81))/180))*E$2</f>
        <v>40400</v>
      </c>
      <c r="F81" s="1">
        <f t="shared" si="84"/>
        <v>63000</v>
      </c>
      <c r="G81" s="1">
        <f t="shared" si="84"/>
        <v>13200</v>
      </c>
      <c r="H81" s="1">
        <f t="shared" si="84"/>
        <v>400589.625</v>
      </c>
      <c r="I81" s="1">
        <f t="shared" si="84"/>
        <v>2028</v>
      </c>
      <c r="J81" s="1">
        <f t="shared" si="84"/>
        <v>21930</v>
      </c>
      <c r="K81" s="1">
        <f t="shared" si="84"/>
        <v>14760.70996</v>
      </c>
      <c r="L81" s="1">
        <f t="shared" si="6"/>
        <v>555908.335</v>
      </c>
      <c r="M81" s="11">
        <f t="shared" si="9"/>
        <v>7219.588766</v>
      </c>
      <c r="N81" s="11">
        <f t="shared" si="7"/>
        <v>615.8465484</v>
      </c>
    </row>
    <row r="82">
      <c r="A82" s="5">
        <v>78.0</v>
      </c>
      <c r="B82" s="8">
        <f t="shared" si="2"/>
        <v>0.890836001</v>
      </c>
      <c r="C82" s="1">
        <f t="shared" si="3"/>
        <v>7126.688008</v>
      </c>
      <c r="D82" s="1">
        <f t="shared" si="4"/>
        <v>7826.463829</v>
      </c>
      <c r="E82" s="1">
        <f t="shared" ref="E82:K82" si="85">(E$1-_xlfn.FLOOR.MATH(E$1*(180-MIN(180,$A82))/180))*E$2</f>
        <v>40400</v>
      </c>
      <c r="F82" s="1">
        <f t="shared" si="85"/>
        <v>63000</v>
      </c>
      <c r="G82" s="1">
        <f t="shared" si="85"/>
        <v>13200</v>
      </c>
      <c r="H82" s="1">
        <f t="shared" si="85"/>
        <v>400589.625</v>
      </c>
      <c r="I82" s="1">
        <f t="shared" si="85"/>
        <v>2028</v>
      </c>
      <c r="J82" s="1">
        <f t="shared" si="85"/>
        <v>22100</v>
      </c>
      <c r="K82" s="1">
        <f t="shared" si="85"/>
        <v>14760.70996</v>
      </c>
      <c r="L82" s="1">
        <f t="shared" si="6"/>
        <v>556078.335</v>
      </c>
      <c r="M82" s="11">
        <f t="shared" si="9"/>
        <v>7129.209423</v>
      </c>
      <c r="N82" s="11">
        <f t="shared" si="7"/>
        <v>697.2544066</v>
      </c>
    </row>
    <row r="83">
      <c r="A83" s="5">
        <v>79.0</v>
      </c>
      <c r="B83" s="8">
        <f t="shared" si="2"/>
        <v>0.8841383138</v>
      </c>
      <c r="C83" s="1">
        <f t="shared" si="3"/>
        <v>7073.10651</v>
      </c>
      <c r="D83" s="1">
        <f t="shared" si="4"/>
        <v>7817.046863</v>
      </c>
      <c r="E83" s="1">
        <f t="shared" ref="E83:K83" si="86">(E$1-_xlfn.FLOOR.MATH(E$1*(180-MIN(180,$A83))/180))*E$2</f>
        <v>40400</v>
      </c>
      <c r="F83" s="1">
        <f t="shared" si="86"/>
        <v>63000</v>
      </c>
      <c r="G83" s="1">
        <f t="shared" si="86"/>
        <v>13200</v>
      </c>
      <c r="H83" s="1">
        <f t="shared" si="86"/>
        <v>400589.625</v>
      </c>
      <c r="I83" s="1">
        <f t="shared" si="86"/>
        <v>2067</v>
      </c>
      <c r="J83" s="1">
        <f t="shared" si="86"/>
        <v>22440</v>
      </c>
      <c r="K83" s="1">
        <f t="shared" si="86"/>
        <v>14760.70996</v>
      </c>
      <c r="L83" s="1">
        <f t="shared" si="6"/>
        <v>556457.335</v>
      </c>
      <c r="M83" s="11">
        <f t="shared" si="9"/>
        <v>7043.763734</v>
      </c>
      <c r="N83" s="11">
        <f t="shared" si="7"/>
        <v>773.283129</v>
      </c>
    </row>
    <row r="84">
      <c r="A84" s="5">
        <v>80.0</v>
      </c>
      <c r="B84" s="8">
        <f t="shared" si="2"/>
        <v>0.8771197303</v>
      </c>
      <c r="C84" s="1">
        <f t="shared" si="3"/>
        <v>7016.957843</v>
      </c>
      <c r="D84" s="1">
        <f t="shared" si="4"/>
        <v>7807.169221</v>
      </c>
      <c r="E84" s="1">
        <f t="shared" ref="E84:K84" si="87">(E$1-_xlfn.FLOOR.MATH(E$1*(180-MIN(180,$A84))/180))*E$2</f>
        <v>40400</v>
      </c>
      <c r="F84" s="1">
        <f t="shared" si="87"/>
        <v>63000</v>
      </c>
      <c r="G84" s="1">
        <f t="shared" si="87"/>
        <v>13200</v>
      </c>
      <c r="H84" s="1">
        <f t="shared" si="87"/>
        <v>400589.625</v>
      </c>
      <c r="I84" s="1">
        <f t="shared" si="87"/>
        <v>2106</v>
      </c>
      <c r="J84" s="1">
        <f t="shared" si="87"/>
        <v>22780</v>
      </c>
      <c r="K84" s="1">
        <f t="shared" si="87"/>
        <v>14760.70996</v>
      </c>
      <c r="L84" s="1">
        <f t="shared" si="6"/>
        <v>556836.335</v>
      </c>
      <c r="M84" s="11">
        <f t="shared" si="9"/>
        <v>6960.454187</v>
      </c>
      <c r="N84" s="11">
        <f t="shared" si="7"/>
        <v>846.7150335</v>
      </c>
    </row>
    <row r="85">
      <c r="A85" s="5">
        <v>81.0</v>
      </c>
      <c r="B85" s="8">
        <f t="shared" si="2"/>
        <v>0.8697758957</v>
      </c>
      <c r="C85" s="1">
        <f t="shared" si="3"/>
        <v>6958.207166</v>
      </c>
      <c r="D85" s="1">
        <f t="shared" si="4"/>
        <v>7796.816025</v>
      </c>
      <c r="E85" s="1">
        <f t="shared" ref="E85:K85" si="88">(E$1-_xlfn.FLOOR.MATH(E$1*(180-MIN(180,$A85))/180))*E$2</f>
        <v>40400</v>
      </c>
      <c r="F85" s="1">
        <f t="shared" si="88"/>
        <v>63000</v>
      </c>
      <c r="G85" s="1">
        <f t="shared" si="88"/>
        <v>13200</v>
      </c>
      <c r="H85" s="1">
        <f t="shared" si="88"/>
        <v>400589.625</v>
      </c>
      <c r="I85" s="1">
        <f t="shared" si="88"/>
        <v>2106</v>
      </c>
      <c r="J85" s="1">
        <f t="shared" si="88"/>
        <v>22950</v>
      </c>
      <c r="K85" s="1">
        <f t="shared" si="88"/>
        <v>14760.70996</v>
      </c>
      <c r="L85" s="1">
        <f t="shared" si="6"/>
        <v>557006.335</v>
      </c>
      <c r="M85" s="11">
        <f t="shared" si="9"/>
        <v>6876.621419</v>
      </c>
      <c r="N85" s="11">
        <f t="shared" si="7"/>
        <v>920.1946054</v>
      </c>
    </row>
    <row r="86">
      <c r="A86" s="5">
        <v>82.0</v>
      </c>
      <c r="B86" s="8">
        <f t="shared" si="2"/>
        <v>0.862103783</v>
      </c>
      <c r="C86" s="1">
        <f t="shared" si="3"/>
        <v>6896.830264</v>
      </c>
      <c r="D86" s="1">
        <f t="shared" si="4"/>
        <v>7785.972823</v>
      </c>
      <c r="E86" s="1">
        <f t="shared" ref="E86:K86" si="89">(E$1-_xlfn.FLOOR.MATH(E$1*(180-MIN(180,$A86))/180))*E$2</f>
        <v>40400</v>
      </c>
      <c r="F86" s="1">
        <f t="shared" si="89"/>
        <v>63000</v>
      </c>
      <c r="G86" s="1">
        <f t="shared" si="89"/>
        <v>13200</v>
      </c>
      <c r="H86" s="1">
        <f t="shared" si="89"/>
        <v>400589.625</v>
      </c>
      <c r="I86" s="1">
        <f t="shared" si="89"/>
        <v>2145</v>
      </c>
      <c r="J86" s="1">
        <f t="shared" si="89"/>
        <v>23290</v>
      </c>
      <c r="K86" s="1">
        <f t="shared" si="89"/>
        <v>14760.70996</v>
      </c>
      <c r="L86" s="1">
        <f t="shared" si="6"/>
        <v>557385.335</v>
      </c>
      <c r="M86" s="11">
        <f t="shared" si="9"/>
        <v>6797.382134</v>
      </c>
      <c r="N86" s="11">
        <f t="shared" si="7"/>
        <v>988.5906891</v>
      </c>
    </row>
    <row r="87">
      <c r="A87" s="5">
        <v>83.0</v>
      </c>
      <c r="B87" s="8">
        <f t="shared" si="2"/>
        <v>0.8541018431</v>
      </c>
      <c r="C87" s="1">
        <f t="shared" si="3"/>
        <v>6832.814745</v>
      </c>
      <c r="D87" s="1">
        <f t="shared" si="4"/>
        <v>7774.625703</v>
      </c>
      <c r="E87" s="1">
        <f t="shared" ref="E87:K87" si="90">(E$1-_xlfn.FLOOR.MATH(E$1*(180-MIN(180,$A87))/180))*E$2</f>
        <v>40400</v>
      </c>
      <c r="F87" s="1">
        <f t="shared" si="90"/>
        <v>63000</v>
      </c>
      <c r="G87" s="1">
        <f t="shared" si="90"/>
        <v>13200</v>
      </c>
      <c r="H87" s="1">
        <f t="shared" si="90"/>
        <v>400589.625</v>
      </c>
      <c r="I87" s="1">
        <f t="shared" si="90"/>
        <v>2184</v>
      </c>
      <c r="J87" s="1">
        <f t="shared" si="90"/>
        <v>23630</v>
      </c>
      <c r="K87" s="1">
        <f t="shared" si="90"/>
        <v>14760.70996</v>
      </c>
      <c r="L87" s="1">
        <f t="shared" si="6"/>
        <v>557764.335</v>
      </c>
      <c r="M87" s="11">
        <f t="shared" si="9"/>
        <v>6720.052228</v>
      </c>
      <c r="N87" s="11">
        <f t="shared" si="7"/>
        <v>1054.573474</v>
      </c>
    </row>
    <row r="88">
      <c r="A88" s="5">
        <v>84.0</v>
      </c>
      <c r="B88" s="8">
        <f t="shared" si="2"/>
        <v>0.8457701502</v>
      </c>
      <c r="C88" s="1">
        <f t="shared" si="3"/>
        <v>6766.161202</v>
      </c>
      <c r="D88" s="1">
        <f t="shared" si="4"/>
        <v>7762.761415</v>
      </c>
      <c r="E88" s="1">
        <f t="shared" ref="E88:K88" si="91">(E$1-_xlfn.FLOOR.MATH(E$1*(180-MIN(180,$A88))/180))*E$2</f>
        <v>40400</v>
      </c>
      <c r="F88" s="1">
        <f t="shared" si="91"/>
        <v>63000</v>
      </c>
      <c r="G88" s="1">
        <f t="shared" si="91"/>
        <v>13200</v>
      </c>
      <c r="H88" s="1">
        <f t="shared" si="91"/>
        <v>400589.625</v>
      </c>
      <c r="I88" s="1">
        <f t="shared" si="91"/>
        <v>2184</v>
      </c>
      <c r="J88" s="1">
        <f t="shared" si="91"/>
        <v>23800</v>
      </c>
      <c r="K88" s="1">
        <f t="shared" si="91"/>
        <v>14760.70996</v>
      </c>
      <c r="L88" s="1">
        <f t="shared" si="6"/>
        <v>557934.335</v>
      </c>
      <c r="M88" s="11">
        <f t="shared" si="9"/>
        <v>6642.075416</v>
      </c>
      <c r="N88" s="11">
        <f t="shared" si="7"/>
        <v>1120.685998</v>
      </c>
    </row>
    <row r="89">
      <c r="A89" s="5">
        <v>85.0</v>
      </c>
      <c r="B89" s="8">
        <f t="shared" si="2"/>
        <v>0.8371105405</v>
      </c>
      <c r="C89" s="1">
        <f t="shared" si="3"/>
        <v>6696.884324</v>
      </c>
      <c r="D89" s="1">
        <f t="shared" si="4"/>
        <v>7750.367495</v>
      </c>
      <c r="E89" s="1">
        <f t="shared" ref="E89:K89" si="92">(E$1-_xlfn.FLOOR.MATH(E$1*(180-MIN(180,$A89))/180))*E$2</f>
        <v>40400</v>
      </c>
      <c r="F89" s="1">
        <f t="shared" si="92"/>
        <v>63000</v>
      </c>
      <c r="G89" s="1">
        <f t="shared" si="92"/>
        <v>13200</v>
      </c>
      <c r="H89" s="1">
        <f t="shared" si="92"/>
        <v>400589.625</v>
      </c>
      <c r="I89" s="1">
        <f t="shared" si="92"/>
        <v>2223</v>
      </c>
      <c r="J89" s="1">
        <f t="shared" si="92"/>
        <v>24140</v>
      </c>
      <c r="K89" s="1">
        <f t="shared" si="92"/>
        <v>14760.70996</v>
      </c>
      <c r="L89" s="1">
        <f t="shared" si="6"/>
        <v>558313.335</v>
      </c>
      <c r="M89" s="11">
        <f t="shared" si="9"/>
        <v>6568.392176</v>
      </c>
      <c r="N89" s="11">
        <f t="shared" si="7"/>
        <v>1181.975319</v>
      </c>
    </row>
    <row r="90">
      <c r="A90" s="5">
        <v>86.0</v>
      </c>
      <c r="B90" s="8">
        <f t="shared" si="2"/>
        <v>0.8281267403</v>
      </c>
      <c r="C90" s="1">
        <f t="shared" si="3"/>
        <v>6625.013922</v>
      </c>
      <c r="D90" s="1">
        <f t="shared" si="4"/>
        <v>7737.432396</v>
      </c>
      <c r="E90" s="1">
        <f t="shared" ref="E90:K90" si="93">(E$1-_xlfn.FLOOR.MATH(E$1*(180-MIN(180,$A90))/180))*E$2</f>
        <v>40400</v>
      </c>
      <c r="F90" s="1">
        <f t="shared" si="93"/>
        <v>63000</v>
      </c>
      <c r="G90" s="1">
        <f t="shared" si="93"/>
        <v>13200</v>
      </c>
      <c r="H90" s="1">
        <f t="shared" si="93"/>
        <v>400589.625</v>
      </c>
      <c r="I90" s="1">
        <f t="shared" si="93"/>
        <v>2262</v>
      </c>
      <c r="J90" s="1">
        <f t="shared" si="93"/>
        <v>24480</v>
      </c>
      <c r="K90" s="1">
        <f t="shared" si="93"/>
        <v>14760.70996</v>
      </c>
      <c r="L90" s="1">
        <f t="shared" si="6"/>
        <v>558692.335</v>
      </c>
      <c r="M90" s="11">
        <f t="shared" si="9"/>
        <v>6496.4225</v>
      </c>
      <c r="N90" s="11">
        <f t="shared" si="7"/>
        <v>1241.009897</v>
      </c>
    </row>
    <row r="91">
      <c r="A91" s="5">
        <v>87.0</v>
      </c>
      <c r="B91" s="8">
        <f t="shared" si="2"/>
        <v>0.8188244796</v>
      </c>
      <c r="C91" s="1">
        <f t="shared" si="3"/>
        <v>6550.595837</v>
      </c>
      <c r="D91" s="1">
        <f t="shared" si="4"/>
        <v>7723.945617</v>
      </c>
      <c r="E91" s="1">
        <f t="shared" ref="E91:K91" si="94">(E$1-_xlfn.FLOOR.MATH(E$1*(180-MIN(180,$A91))/180))*E$2</f>
        <v>40400</v>
      </c>
      <c r="F91" s="1">
        <f t="shared" si="94"/>
        <v>63000</v>
      </c>
      <c r="G91" s="1">
        <f t="shared" si="94"/>
        <v>13200</v>
      </c>
      <c r="H91" s="1">
        <f t="shared" si="94"/>
        <v>400589.625</v>
      </c>
      <c r="I91" s="1">
        <f t="shared" si="94"/>
        <v>2262</v>
      </c>
      <c r="J91" s="1">
        <f t="shared" si="94"/>
        <v>24650</v>
      </c>
      <c r="K91" s="1">
        <f t="shared" si="94"/>
        <v>14760.70996</v>
      </c>
      <c r="L91" s="1">
        <f t="shared" si="6"/>
        <v>558862.335</v>
      </c>
      <c r="M91" s="11">
        <f t="shared" si="9"/>
        <v>6423.705</v>
      </c>
      <c r="N91" s="11">
        <f t="shared" si="7"/>
        <v>1300.240618</v>
      </c>
    </row>
    <row r="92">
      <c r="A92" s="5">
        <v>88.0</v>
      </c>
      <c r="B92" s="8">
        <f t="shared" si="2"/>
        <v>0.8092115873</v>
      </c>
      <c r="C92" s="1">
        <f t="shared" si="3"/>
        <v>6473.692698</v>
      </c>
      <c r="D92" s="1">
        <f t="shared" si="4"/>
        <v>7709.897832</v>
      </c>
      <c r="E92" s="1">
        <f t="shared" ref="E92:K92" si="95">(E$1-_xlfn.FLOOR.MATH(E$1*(180-MIN(180,$A92))/180))*E$2</f>
        <v>40400</v>
      </c>
      <c r="F92" s="1">
        <f t="shared" si="95"/>
        <v>63000</v>
      </c>
      <c r="G92" s="1">
        <f t="shared" si="95"/>
        <v>13200</v>
      </c>
      <c r="H92" s="1">
        <f t="shared" si="95"/>
        <v>400589.625</v>
      </c>
      <c r="I92" s="1">
        <f t="shared" si="95"/>
        <v>2301</v>
      </c>
      <c r="J92" s="1">
        <f t="shared" si="95"/>
        <v>24990</v>
      </c>
      <c r="K92" s="1">
        <f t="shared" si="95"/>
        <v>14760.70996</v>
      </c>
      <c r="L92" s="1">
        <f t="shared" si="6"/>
        <v>559241.335</v>
      </c>
      <c r="M92" s="11">
        <f t="shared" si="9"/>
        <v>6355.01517</v>
      </c>
      <c r="N92" s="11">
        <f t="shared" si="7"/>
        <v>1354.882662</v>
      </c>
    </row>
    <row r="93">
      <c r="A93" s="5">
        <v>89.0</v>
      </c>
      <c r="B93" s="8">
        <f t="shared" si="2"/>
        <v>0.7992980646</v>
      </c>
      <c r="C93" s="1">
        <f t="shared" si="3"/>
        <v>6394.384517</v>
      </c>
      <c r="D93" s="1">
        <f t="shared" si="4"/>
        <v>7695.281017</v>
      </c>
      <c r="E93" s="1">
        <f t="shared" ref="E93:K93" si="96">(E$1-_xlfn.FLOOR.MATH(E$1*(180-MIN(180,$A93))/180))*E$2</f>
        <v>40400</v>
      </c>
      <c r="F93" s="1">
        <f t="shared" si="96"/>
        <v>63000</v>
      </c>
      <c r="G93" s="1">
        <f t="shared" si="96"/>
        <v>13200</v>
      </c>
      <c r="H93" s="1">
        <f t="shared" si="96"/>
        <v>400589.625</v>
      </c>
      <c r="I93" s="1">
        <f t="shared" si="96"/>
        <v>2340</v>
      </c>
      <c r="J93" s="1">
        <f t="shared" si="96"/>
        <v>25330</v>
      </c>
      <c r="K93" s="1">
        <f t="shared" si="96"/>
        <v>14760.70996</v>
      </c>
      <c r="L93" s="1">
        <f t="shared" si="6"/>
        <v>559620.335</v>
      </c>
      <c r="M93" s="11">
        <f t="shared" si="9"/>
        <v>6287.868932</v>
      </c>
      <c r="N93" s="11">
        <f t="shared" si="7"/>
        <v>1407.412085</v>
      </c>
    </row>
    <row r="94">
      <c r="A94" s="5">
        <v>90.0</v>
      </c>
      <c r="B94" s="8">
        <f t="shared" si="2"/>
        <v>0.7890961322</v>
      </c>
      <c r="C94" s="1">
        <f t="shared" si="3"/>
        <v>6312.769058</v>
      </c>
      <c r="D94" s="1">
        <f t="shared" si="4"/>
        <v>7680.088578</v>
      </c>
      <c r="E94" s="1">
        <f t="shared" ref="E94:K94" si="97">(E$1-_xlfn.FLOOR.MATH(E$1*(180-MIN(180,$A94))/180))*E$2</f>
        <v>40400</v>
      </c>
      <c r="F94" s="1">
        <f t="shared" si="97"/>
        <v>63000</v>
      </c>
      <c r="G94" s="1">
        <f t="shared" si="97"/>
        <v>13200</v>
      </c>
      <c r="H94" s="1">
        <f t="shared" si="97"/>
        <v>400589.625</v>
      </c>
      <c r="I94" s="1">
        <f t="shared" si="97"/>
        <v>2340</v>
      </c>
      <c r="J94" s="1">
        <f t="shared" si="97"/>
        <v>25500</v>
      </c>
      <c r="K94" s="1">
        <f t="shared" si="97"/>
        <v>14760.70996</v>
      </c>
      <c r="L94" s="1">
        <f t="shared" si="6"/>
        <v>559790.335</v>
      </c>
      <c r="M94" s="11">
        <f t="shared" si="9"/>
        <v>6219.892611</v>
      </c>
      <c r="N94" s="11">
        <f t="shared" si="7"/>
        <v>1460.195967</v>
      </c>
    </row>
    <row r="95">
      <c r="A95" s="5">
        <v>91.0</v>
      </c>
      <c r="B95" s="8">
        <f t="shared" si="2"/>
        <v>0.7786202487</v>
      </c>
      <c r="C95" s="1">
        <f t="shared" si="3"/>
        <v>6228.96199</v>
      </c>
      <c r="D95" s="1">
        <f t="shared" si="4"/>
        <v>7664.315463</v>
      </c>
      <c r="E95" s="1">
        <f t="shared" ref="E95:K95" si="98">(E$1-_xlfn.FLOOR.MATH(E$1*(180-MIN(180,$A95))/180))*E$2</f>
        <v>50500</v>
      </c>
      <c r="F95" s="1">
        <f t="shared" si="98"/>
        <v>73500</v>
      </c>
      <c r="G95" s="1">
        <f t="shared" si="98"/>
        <v>17600</v>
      </c>
      <c r="H95" s="1">
        <f t="shared" si="98"/>
        <v>500737.0313</v>
      </c>
      <c r="I95" s="1">
        <f t="shared" si="98"/>
        <v>2379</v>
      </c>
      <c r="J95" s="1">
        <f t="shared" si="98"/>
        <v>25840</v>
      </c>
      <c r="K95" s="1">
        <f t="shared" si="98"/>
        <v>14760.70996</v>
      </c>
      <c r="L95" s="1">
        <f t="shared" si="6"/>
        <v>685316.7412</v>
      </c>
      <c r="M95" s="11">
        <f t="shared" si="9"/>
        <v>7530.9532</v>
      </c>
      <c r="N95" s="11">
        <f t="shared" si="7"/>
        <v>133.3622627</v>
      </c>
    </row>
    <row r="96">
      <c r="A96" s="5">
        <v>92.0</v>
      </c>
      <c r="B96" s="8">
        <f t="shared" si="2"/>
        <v>0.7678870965</v>
      </c>
      <c r="C96" s="1">
        <f t="shared" si="3"/>
        <v>6143.096772</v>
      </c>
      <c r="D96" s="1">
        <f t="shared" si="4"/>
        <v>7647.958273</v>
      </c>
      <c r="E96" s="1">
        <f t="shared" ref="E96:K96" si="99">(E$1-_xlfn.FLOOR.MATH(E$1*(180-MIN(180,$A96))/180))*E$2</f>
        <v>50500</v>
      </c>
      <c r="F96" s="1">
        <f t="shared" si="99"/>
        <v>73500</v>
      </c>
      <c r="G96" s="1">
        <f t="shared" si="99"/>
        <v>17600</v>
      </c>
      <c r="H96" s="1">
        <f t="shared" si="99"/>
        <v>500737.0313</v>
      </c>
      <c r="I96" s="1">
        <f t="shared" si="99"/>
        <v>2418</v>
      </c>
      <c r="J96" s="1">
        <f t="shared" si="99"/>
        <v>26180</v>
      </c>
      <c r="K96" s="1">
        <f t="shared" si="99"/>
        <v>14760.70996</v>
      </c>
      <c r="L96" s="1">
        <f t="shared" si="6"/>
        <v>685695.7412</v>
      </c>
      <c r="M96" s="11">
        <f t="shared" si="9"/>
        <v>7453.214578</v>
      </c>
      <c r="N96" s="11">
        <f t="shared" si="7"/>
        <v>194.7436943</v>
      </c>
    </row>
    <row r="97">
      <c r="A97" s="5">
        <v>93.0</v>
      </c>
      <c r="B97" s="8">
        <f t="shared" si="2"/>
        <v>0.7569155338</v>
      </c>
      <c r="C97" s="1">
        <f t="shared" si="3"/>
        <v>6055.32427</v>
      </c>
      <c r="D97" s="1">
        <f t="shared" si="4"/>
        <v>7631.015358</v>
      </c>
      <c r="E97" s="1">
        <f t="shared" ref="E97:K97" si="100">(E$1-_xlfn.FLOOR.MATH(E$1*(180-MIN(180,$A97))/180))*E$2</f>
        <v>50500</v>
      </c>
      <c r="F97" s="1">
        <f t="shared" si="100"/>
        <v>73500</v>
      </c>
      <c r="G97" s="1">
        <f t="shared" si="100"/>
        <v>17600</v>
      </c>
      <c r="H97" s="1">
        <f t="shared" si="100"/>
        <v>500737.0313</v>
      </c>
      <c r="I97" s="1">
        <f t="shared" si="100"/>
        <v>2418</v>
      </c>
      <c r="J97" s="1">
        <f t="shared" si="100"/>
        <v>26350</v>
      </c>
      <c r="K97" s="1">
        <f t="shared" si="100"/>
        <v>14760.70996</v>
      </c>
      <c r="L97" s="1">
        <f t="shared" si="6"/>
        <v>685865.7412</v>
      </c>
      <c r="M97" s="11">
        <f t="shared" si="9"/>
        <v>7374.900443</v>
      </c>
      <c r="N97" s="11">
        <f t="shared" si="7"/>
        <v>256.1149146</v>
      </c>
    </row>
    <row r="98">
      <c r="A98" s="5">
        <v>94.0</v>
      </c>
      <c r="B98" s="8">
        <f t="shared" si="2"/>
        <v>0.7457265106</v>
      </c>
      <c r="C98" s="1">
        <f t="shared" si="3"/>
        <v>5965.812085</v>
      </c>
      <c r="D98" s="1">
        <f t="shared" si="4"/>
        <v>7613.486902</v>
      </c>
      <c r="E98" s="1">
        <f t="shared" ref="E98:K98" si="101">(E$1-_xlfn.FLOOR.MATH(E$1*(180-MIN(180,$A98))/180))*E$2</f>
        <v>50500</v>
      </c>
      <c r="F98" s="1">
        <f t="shared" si="101"/>
        <v>73500</v>
      </c>
      <c r="G98" s="1">
        <f t="shared" si="101"/>
        <v>17600</v>
      </c>
      <c r="H98" s="1">
        <f t="shared" si="101"/>
        <v>500737.0313</v>
      </c>
      <c r="I98" s="1">
        <f t="shared" si="101"/>
        <v>2457</v>
      </c>
      <c r="J98" s="1">
        <f t="shared" si="101"/>
        <v>26690</v>
      </c>
      <c r="K98" s="1">
        <f t="shared" si="101"/>
        <v>14760.70996</v>
      </c>
      <c r="L98" s="1">
        <f t="shared" si="6"/>
        <v>686244.7412</v>
      </c>
      <c r="M98" s="11">
        <f t="shared" si="9"/>
        <v>7300.47597</v>
      </c>
      <c r="N98" s="11">
        <f t="shared" si="7"/>
        <v>313.0109319</v>
      </c>
    </row>
    <row r="99">
      <c r="A99" s="5">
        <v>95.0</v>
      </c>
      <c r="B99" s="8">
        <f t="shared" si="2"/>
        <v>0.734342948</v>
      </c>
      <c r="C99" s="1">
        <f t="shared" si="3"/>
        <v>5874.743584</v>
      </c>
      <c r="D99" s="1">
        <f t="shared" si="4"/>
        <v>7595.374993</v>
      </c>
      <c r="E99" s="1">
        <f t="shared" ref="E99:K99" si="102">(E$1-_xlfn.FLOOR.MATH(E$1*(180-MIN(180,$A99))/180))*E$2</f>
        <v>50500</v>
      </c>
      <c r="F99" s="1">
        <f t="shared" si="102"/>
        <v>73500</v>
      </c>
      <c r="G99" s="1">
        <f t="shared" si="102"/>
        <v>17600</v>
      </c>
      <c r="H99" s="1">
        <f t="shared" si="102"/>
        <v>500737.0313</v>
      </c>
      <c r="I99" s="1">
        <f t="shared" si="102"/>
        <v>2496</v>
      </c>
      <c r="J99" s="1">
        <f t="shared" si="102"/>
        <v>27030</v>
      </c>
      <c r="K99" s="1">
        <f t="shared" si="102"/>
        <v>14760.70996</v>
      </c>
      <c r="L99" s="1">
        <f t="shared" si="6"/>
        <v>686623.7412</v>
      </c>
      <c r="M99" s="11">
        <f t="shared" si="9"/>
        <v>7227.618329</v>
      </c>
      <c r="N99" s="11">
        <f t="shared" si="7"/>
        <v>367.7566641</v>
      </c>
    </row>
    <row r="100">
      <c r="A100" s="5">
        <v>96.0</v>
      </c>
      <c r="B100" s="8">
        <f t="shared" si="2"/>
        <v>0.7227895813</v>
      </c>
      <c r="C100" s="1">
        <f t="shared" si="3"/>
        <v>5782.316651</v>
      </c>
      <c r="D100" s="1">
        <f t="shared" si="4"/>
        <v>7576.68367</v>
      </c>
      <c r="E100" s="1">
        <f t="shared" ref="E100:K100" si="103">(E$1-_xlfn.FLOOR.MATH(E$1*(180-MIN(180,$A100))/180))*E$2</f>
        <v>50500</v>
      </c>
      <c r="F100" s="1">
        <f t="shared" si="103"/>
        <v>73500</v>
      </c>
      <c r="G100" s="1">
        <f t="shared" si="103"/>
        <v>17600</v>
      </c>
      <c r="H100" s="1">
        <f t="shared" si="103"/>
        <v>500737.0313</v>
      </c>
      <c r="I100" s="1">
        <f t="shared" si="103"/>
        <v>2496</v>
      </c>
      <c r="J100" s="1">
        <f t="shared" si="103"/>
        <v>27200</v>
      </c>
      <c r="K100" s="1">
        <f t="shared" si="103"/>
        <v>14760.70996</v>
      </c>
      <c r="L100" s="1">
        <f t="shared" si="6"/>
        <v>686793.7412</v>
      </c>
      <c r="M100" s="11">
        <f t="shared" si="9"/>
        <v>7154.101471</v>
      </c>
      <c r="N100" s="11">
        <f t="shared" si="7"/>
        <v>422.5821986</v>
      </c>
    </row>
    <row r="101">
      <c r="A101" s="5">
        <v>97.0</v>
      </c>
      <c r="B101" s="8">
        <f t="shared" si="2"/>
        <v>0.7110927695</v>
      </c>
      <c r="C101" s="1">
        <f t="shared" si="3"/>
        <v>5688.742156</v>
      </c>
      <c r="D101" s="1">
        <f t="shared" si="4"/>
        <v>7557.41896</v>
      </c>
      <c r="E101" s="1">
        <f t="shared" ref="E101:K101" si="104">(E$1-_xlfn.FLOOR.MATH(E$1*(180-MIN(180,$A101))/180))*E$2</f>
        <v>50500</v>
      </c>
      <c r="F101" s="1">
        <f t="shared" si="104"/>
        <v>73500</v>
      </c>
      <c r="G101" s="1">
        <f t="shared" si="104"/>
        <v>17600</v>
      </c>
      <c r="H101" s="1">
        <f t="shared" si="104"/>
        <v>500737.0313</v>
      </c>
      <c r="I101" s="1">
        <f t="shared" si="104"/>
        <v>2535</v>
      </c>
      <c r="J101" s="1">
        <f t="shared" si="104"/>
        <v>27540</v>
      </c>
      <c r="K101" s="1">
        <f t="shared" si="104"/>
        <v>14760.70996</v>
      </c>
      <c r="L101" s="1">
        <f t="shared" si="6"/>
        <v>687172.7412</v>
      </c>
      <c r="M101" s="11">
        <f t="shared" si="9"/>
        <v>7084.255064</v>
      </c>
      <c r="N101" s="11">
        <f t="shared" si="7"/>
        <v>473.1638962</v>
      </c>
    </row>
    <row r="102">
      <c r="A102" s="5">
        <v>98.0</v>
      </c>
      <c r="B102" s="8">
        <f t="shared" si="2"/>
        <v>0.6992802711</v>
      </c>
      <c r="C102" s="1">
        <f t="shared" si="3"/>
        <v>5594.242168</v>
      </c>
      <c r="D102" s="1">
        <f t="shared" si="4"/>
        <v>7537.588892</v>
      </c>
      <c r="E102" s="1">
        <f t="shared" ref="E102:K102" si="105">(E$1-_xlfn.FLOOR.MATH(E$1*(180-MIN(180,$A102))/180))*E$2</f>
        <v>50500</v>
      </c>
      <c r="F102" s="1">
        <f t="shared" si="105"/>
        <v>73500</v>
      </c>
      <c r="G102" s="1">
        <f t="shared" si="105"/>
        <v>17600</v>
      </c>
      <c r="H102" s="1">
        <f t="shared" si="105"/>
        <v>500737.0313</v>
      </c>
      <c r="I102" s="1">
        <f t="shared" si="105"/>
        <v>2574</v>
      </c>
      <c r="J102" s="1">
        <f t="shared" si="105"/>
        <v>27880</v>
      </c>
      <c r="K102" s="1">
        <f t="shared" si="105"/>
        <v>14760.70996</v>
      </c>
      <c r="L102" s="1">
        <f t="shared" si="6"/>
        <v>687551.7412</v>
      </c>
      <c r="M102" s="11">
        <f t="shared" si="9"/>
        <v>7015.834094</v>
      </c>
      <c r="N102" s="11">
        <f t="shared" si="7"/>
        <v>521.7547976</v>
      </c>
    </row>
    <row r="103">
      <c r="A103" s="5">
        <v>99.0</v>
      </c>
      <c r="B103" s="8">
        <f t="shared" si="2"/>
        <v>0.6873809928</v>
      </c>
      <c r="C103" s="1">
        <f t="shared" si="3"/>
        <v>5499.047943</v>
      </c>
      <c r="D103" s="1">
        <f t="shared" si="4"/>
        <v>7517.203482</v>
      </c>
      <c r="E103" s="1">
        <f t="shared" ref="E103:K103" si="106">(E$1-_xlfn.FLOOR.MATH(E$1*(180-MIN(180,$A103))/180))*E$2</f>
        <v>50500</v>
      </c>
      <c r="F103" s="1">
        <f t="shared" si="106"/>
        <v>73500</v>
      </c>
      <c r="G103" s="1">
        <f t="shared" si="106"/>
        <v>17600</v>
      </c>
      <c r="H103" s="1">
        <f t="shared" si="106"/>
        <v>500737.0313</v>
      </c>
      <c r="I103" s="1">
        <f t="shared" si="106"/>
        <v>2574</v>
      </c>
      <c r="J103" s="1">
        <f t="shared" si="106"/>
        <v>28050</v>
      </c>
      <c r="K103" s="1">
        <f t="shared" si="106"/>
        <v>14760.70996</v>
      </c>
      <c r="L103" s="1">
        <f t="shared" si="6"/>
        <v>687721.7412</v>
      </c>
      <c r="M103" s="11">
        <f t="shared" si="9"/>
        <v>6946.684255</v>
      </c>
      <c r="N103" s="11">
        <f t="shared" si="7"/>
        <v>570.5192275</v>
      </c>
    </row>
    <row r="104">
      <c r="A104" s="5">
        <v>100.0</v>
      </c>
      <c r="B104" s="8">
        <f t="shared" si="2"/>
        <v>0.6754247141</v>
      </c>
      <c r="C104" s="1">
        <f t="shared" si="3"/>
        <v>5403.397713</v>
      </c>
      <c r="D104" s="1">
        <f t="shared" si="4"/>
        <v>7496.274712</v>
      </c>
      <c r="E104" s="1">
        <f t="shared" ref="E104:K104" si="107">(E$1-_xlfn.FLOOR.MATH(E$1*(180-MIN(180,$A104))/180))*E$2</f>
        <v>50500</v>
      </c>
      <c r="F104" s="1">
        <f t="shared" si="107"/>
        <v>73500</v>
      </c>
      <c r="G104" s="1">
        <f t="shared" si="107"/>
        <v>17600</v>
      </c>
      <c r="H104" s="1">
        <f t="shared" si="107"/>
        <v>500737.0313</v>
      </c>
      <c r="I104" s="1">
        <f t="shared" si="107"/>
        <v>2613</v>
      </c>
      <c r="J104" s="1">
        <f t="shared" si="107"/>
        <v>28390</v>
      </c>
      <c r="K104" s="1">
        <f t="shared" si="107"/>
        <v>14760.70996</v>
      </c>
      <c r="L104" s="1">
        <f t="shared" si="6"/>
        <v>688100.7412</v>
      </c>
      <c r="M104" s="11">
        <f t="shared" si="9"/>
        <v>6881.007412</v>
      </c>
      <c r="N104" s="11">
        <f t="shared" si="7"/>
        <v>615.2673</v>
      </c>
    </row>
    <row r="105">
      <c r="A105" s="5">
        <v>101.0</v>
      </c>
      <c r="B105" s="8">
        <f t="shared" si="2"/>
        <v>0.6634417922</v>
      </c>
      <c r="C105" s="1">
        <f t="shared" si="3"/>
        <v>5307.534338</v>
      </c>
      <c r="D105" s="1">
        <f t="shared" si="4"/>
        <v>7474.816473</v>
      </c>
      <c r="E105" s="1">
        <f t="shared" ref="E105:K105" si="108">(E$1-_xlfn.FLOOR.MATH(E$1*(180-MIN(180,$A105))/180))*E$2</f>
        <v>50500</v>
      </c>
      <c r="F105" s="1">
        <f t="shared" si="108"/>
        <v>73500</v>
      </c>
      <c r="G105" s="1">
        <f t="shared" si="108"/>
        <v>17600</v>
      </c>
      <c r="H105" s="1">
        <f t="shared" si="108"/>
        <v>500737.0313</v>
      </c>
      <c r="I105" s="1">
        <f t="shared" si="108"/>
        <v>2652</v>
      </c>
      <c r="J105" s="1">
        <f t="shared" si="108"/>
        <v>28730</v>
      </c>
      <c r="K105" s="1">
        <f t="shared" si="108"/>
        <v>14760.70996</v>
      </c>
      <c r="L105" s="1">
        <f t="shared" si="6"/>
        <v>688479.7412</v>
      </c>
      <c r="M105" s="11">
        <f t="shared" si="9"/>
        <v>6816.631101</v>
      </c>
      <c r="N105" s="11">
        <f t="shared" si="7"/>
        <v>658.1853721</v>
      </c>
    </row>
    <row r="106">
      <c r="A106" s="5">
        <v>102.0</v>
      </c>
      <c r="B106" s="8">
        <f t="shared" si="2"/>
        <v>0.6514628566</v>
      </c>
      <c r="C106" s="1">
        <f t="shared" si="3"/>
        <v>5211.702853</v>
      </c>
      <c r="D106" s="1">
        <f t="shared" si="4"/>
        <v>7452.844496</v>
      </c>
      <c r="E106" s="1">
        <f t="shared" ref="E106:K106" si="109">(E$1-_xlfn.FLOOR.MATH(E$1*(180-MIN(180,$A106))/180))*E$2</f>
        <v>50500</v>
      </c>
      <c r="F106" s="1">
        <f t="shared" si="109"/>
        <v>73500</v>
      </c>
      <c r="G106" s="1">
        <f t="shared" si="109"/>
        <v>17600</v>
      </c>
      <c r="H106" s="1">
        <f t="shared" si="109"/>
        <v>500737.0313</v>
      </c>
      <c r="I106" s="1">
        <f t="shared" si="109"/>
        <v>2652</v>
      </c>
      <c r="J106" s="1">
        <f t="shared" si="109"/>
        <v>28900</v>
      </c>
      <c r="K106" s="1">
        <f t="shared" si="109"/>
        <v>14760.70996</v>
      </c>
      <c r="L106" s="1">
        <f t="shared" si="6"/>
        <v>688649.7412</v>
      </c>
      <c r="M106" s="11">
        <f t="shared" si="9"/>
        <v>6751.468051</v>
      </c>
      <c r="N106" s="11">
        <f t="shared" si="7"/>
        <v>701.3764452</v>
      </c>
    </row>
    <row r="107">
      <c r="A107" s="5">
        <v>103.0</v>
      </c>
      <c r="B107" s="8">
        <f t="shared" si="2"/>
        <v>0.6395184956</v>
      </c>
      <c r="C107" s="1">
        <f t="shared" si="3"/>
        <v>5116.147965</v>
      </c>
      <c r="D107" s="1">
        <f t="shared" si="4"/>
        <v>7430.37626</v>
      </c>
      <c r="E107" s="1">
        <f t="shared" ref="E107:K107" si="110">(E$1-_xlfn.FLOOR.MATH(E$1*(180-MIN(180,$A107))/180))*E$2</f>
        <v>50500</v>
      </c>
      <c r="F107" s="1">
        <f t="shared" si="110"/>
        <v>73500</v>
      </c>
      <c r="G107" s="1">
        <f t="shared" si="110"/>
        <v>17600</v>
      </c>
      <c r="H107" s="1">
        <f t="shared" si="110"/>
        <v>500737.0313</v>
      </c>
      <c r="I107" s="1">
        <f t="shared" si="110"/>
        <v>2691</v>
      </c>
      <c r="J107" s="1">
        <f t="shared" si="110"/>
        <v>29240</v>
      </c>
      <c r="K107" s="1">
        <f t="shared" si="110"/>
        <v>14760.70996</v>
      </c>
      <c r="L107" s="1">
        <f t="shared" si="6"/>
        <v>689028.7412</v>
      </c>
      <c r="M107" s="11">
        <f t="shared" si="9"/>
        <v>6689.599429</v>
      </c>
      <c r="N107" s="11">
        <f t="shared" si="7"/>
        <v>740.7768311</v>
      </c>
    </row>
    <row r="108">
      <c r="A108" s="5">
        <v>104.0</v>
      </c>
      <c r="B108" s="8">
        <f t="shared" si="2"/>
        <v>0.6276389456</v>
      </c>
      <c r="C108" s="1">
        <f t="shared" si="3"/>
        <v>5021.111565</v>
      </c>
      <c r="D108" s="1">
        <f t="shared" si="4"/>
        <v>7407.430882</v>
      </c>
      <c r="E108" s="1">
        <f t="shared" ref="E108:K108" si="111">(E$1-_xlfn.FLOOR.MATH(E$1*(180-MIN(180,$A108))/180))*E$2</f>
        <v>50500</v>
      </c>
      <c r="F108" s="1">
        <f t="shared" si="111"/>
        <v>73500</v>
      </c>
      <c r="G108" s="1">
        <f t="shared" si="111"/>
        <v>17600</v>
      </c>
      <c r="H108" s="1">
        <f t="shared" si="111"/>
        <v>500737.0313</v>
      </c>
      <c r="I108" s="1">
        <f t="shared" si="111"/>
        <v>2730</v>
      </c>
      <c r="J108" s="1">
        <f t="shared" si="111"/>
        <v>29580</v>
      </c>
      <c r="K108" s="1">
        <f t="shared" si="111"/>
        <v>14760.70996</v>
      </c>
      <c r="L108" s="1">
        <f t="shared" si="6"/>
        <v>689407.7412</v>
      </c>
      <c r="M108" s="11">
        <f t="shared" si="9"/>
        <v>6628.920589</v>
      </c>
      <c r="N108" s="11">
        <f t="shared" si="7"/>
        <v>778.5102938</v>
      </c>
    </row>
    <row r="109">
      <c r="A109" s="5">
        <v>105.0</v>
      </c>
      <c r="B109" s="8">
        <f t="shared" si="2"/>
        <v>0.6158537866</v>
      </c>
      <c r="C109" s="1">
        <f t="shared" si="3"/>
        <v>4926.830292</v>
      </c>
      <c r="D109" s="1">
        <f t="shared" si="4"/>
        <v>7384.02899</v>
      </c>
      <c r="E109" s="1">
        <f t="shared" ref="E109:K109" si="112">(E$1-_xlfn.FLOOR.MATH(E$1*(180-MIN(180,$A109))/180))*E$2</f>
        <v>50500</v>
      </c>
      <c r="F109" s="1">
        <f t="shared" si="112"/>
        <v>73500</v>
      </c>
      <c r="G109" s="1">
        <f t="shared" si="112"/>
        <v>17600</v>
      </c>
      <c r="H109" s="1">
        <f t="shared" si="112"/>
        <v>500737.0313</v>
      </c>
      <c r="I109" s="1">
        <f t="shared" si="112"/>
        <v>2730</v>
      </c>
      <c r="J109" s="1">
        <f t="shared" si="112"/>
        <v>29750</v>
      </c>
      <c r="K109" s="1">
        <f t="shared" si="112"/>
        <v>14760.70996</v>
      </c>
      <c r="L109" s="1">
        <f t="shared" si="6"/>
        <v>689577.7412</v>
      </c>
      <c r="M109" s="11">
        <f t="shared" si="9"/>
        <v>6567.407059</v>
      </c>
      <c r="N109" s="11">
        <f t="shared" si="7"/>
        <v>816.6219308</v>
      </c>
    </row>
    <row r="110">
      <c r="A110" s="5">
        <v>106.0</v>
      </c>
      <c r="B110" s="8">
        <f t="shared" si="2"/>
        <v>0.6041916524</v>
      </c>
      <c r="C110" s="1">
        <f t="shared" si="3"/>
        <v>4833.533219</v>
      </c>
      <c r="D110" s="1">
        <f t="shared" si="4"/>
        <v>7360.192581</v>
      </c>
      <c r="E110" s="1">
        <f t="shared" ref="E110:K110" si="113">(E$1-_xlfn.FLOOR.MATH(E$1*(180-MIN(180,$A110))/180))*E$2</f>
        <v>50500</v>
      </c>
      <c r="F110" s="1">
        <f t="shared" si="113"/>
        <v>84000</v>
      </c>
      <c r="G110" s="1">
        <f t="shared" si="113"/>
        <v>17600</v>
      </c>
      <c r="H110" s="1">
        <f t="shared" si="113"/>
        <v>500737.0313</v>
      </c>
      <c r="I110" s="1">
        <f t="shared" si="113"/>
        <v>2769</v>
      </c>
      <c r="J110" s="1">
        <f t="shared" si="113"/>
        <v>30090</v>
      </c>
      <c r="K110" s="1">
        <f t="shared" si="113"/>
        <v>14760.70996</v>
      </c>
      <c r="L110" s="1">
        <f t="shared" si="6"/>
        <v>700456.7412</v>
      </c>
      <c r="M110" s="11">
        <f t="shared" si="9"/>
        <v>6608.082464</v>
      </c>
      <c r="N110" s="11">
        <f t="shared" si="7"/>
        <v>752.1101166</v>
      </c>
    </row>
    <row r="111">
      <c r="A111" s="5">
        <v>107.0</v>
      </c>
      <c r="B111" s="8">
        <f t="shared" si="2"/>
        <v>0.592679961</v>
      </c>
      <c r="C111" s="1">
        <f t="shared" si="3"/>
        <v>4741.439688</v>
      </c>
      <c r="D111" s="1">
        <f t="shared" si="4"/>
        <v>7335.944869</v>
      </c>
      <c r="E111" s="1">
        <f t="shared" ref="E111:K111" si="114">(E$1-_xlfn.FLOOR.MATH(E$1*(180-MIN(180,$A111))/180))*E$2</f>
        <v>50500</v>
      </c>
      <c r="F111" s="1">
        <f t="shared" si="114"/>
        <v>84000</v>
      </c>
      <c r="G111" s="1">
        <f t="shared" si="114"/>
        <v>17600</v>
      </c>
      <c r="H111" s="1">
        <f t="shared" si="114"/>
        <v>500737.0313</v>
      </c>
      <c r="I111" s="1">
        <f t="shared" si="114"/>
        <v>2808</v>
      </c>
      <c r="J111" s="1">
        <f t="shared" si="114"/>
        <v>30430</v>
      </c>
      <c r="K111" s="1">
        <f t="shared" si="114"/>
        <v>14760.70996</v>
      </c>
      <c r="L111" s="1">
        <f t="shared" si="6"/>
        <v>700835.7412</v>
      </c>
      <c r="M111" s="11">
        <f t="shared" si="9"/>
        <v>6549.86674</v>
      </c>
      <c r="N111" s="11">
        <f t="shared" si="7"/>
        <v>786.0781286</v>
      </c>
    </row>
    <row r="112">
      <c r="A112" s="5">
        <v>108.0</v>
      </c>
      <c r="B112" s="8">
        <f t="shared" si="2"/>
        <v>0.5813446693</v>
      </c>
      <c r="C112" s="1">
        <f t="shared" si="3"/>
        <v>4650.757354</v>
      </c>
      <c r="D112" s="1">
        <f t="shared" si="4"/>
        <v>7311.310121</v>
      </c>
      <c r="E112" s="1">
        <f t="shared" ref="E112:K112" si="115">(E$1-_xlfn.FLOOR.MATH(E$1*(180-MIN(180,$A112))/180))*E$2</f>
        <v>50500</v>
      </c>
      <c r="F112" s="1">
        <f t="shared" si="115"/>
        <v>84000</v>
      </c>
      <c r="G112" s="1">
        <f t="shared" si="115"/>
        <v>17600</v>
      </c>
      <c r="H112" s="1">
        <f t="shared" si="115"/>
        <v>500737.0313</v>
      </c>
      <c r="I112" s="1">
        <f t="shared" si="115"/>
        <v>2808</v>
      </c>
      <c r="J112" s="1">
        <f t="shared" si="115"/>
        <v>30600</v>
      </c>
      <c r="K112" s="1">
        <f t="shared" si="115"/>
        <v>14760.70996</v>
      </c>
      <c r="L112" s="1">
        <f t="shared" si="6"/>
        <v>701005.7412</v>
      </c>
      <c r="M112" s="11">
        <f t="shared" si="9"/>
        <v>6490.7939</v>
      </c>
      <c r="N112" s="11">
        <f t="shared" si="7"/>
        <v>820.516221</v>
      </c>
    </row>
    <row r="113">
      <c r="A113" s="5">
        <v>109.0</v>
      </c>
      <c r="B113" s="8">
        <f t="shared" si="2"/>
        <v>0.570210058</v>
      </c>
      <c r="C113" s="1">
        <f t="shared" si="3"/>
        <v>4561.680464</v>
      </c>
      <c r="D113" s="1">
        <f t="shared" si="4"/>
        <v>7286.313488</v>
      </c>
      <c r="E113" s="1">
        <f t="shared" ref="E113:K113" si="116">(E$1-_xlfn.FLOOR.MATH(E$1*(180-MIN(180,$A113))/180))*E$2</f>
        <v>50500</v>
      </c>
      <c r="F113" s="1">
        <f t="shared" si="116"/>
        <v>84000</v>
      </c>
      <c r="G113" s="1">
        <f t="shared" si="116"/>
        <v>17600</v>
      </c>
      <c r="H113" s="1">
        <f t="shared" si="116"/>
        <v>500737.0313</v>
      </c>
      <c r="I113" s="1">
        <f t="shared" si="116"/>
        <v>2847</v>
      </c>
      <c r="J113" s="1">
        <f t="shared" si="116"/>
        <v>30940</v>
      </c>
      <c r="K113" s="1">
        <f t="shared" si="116"/>
        <v>14760.70996</v>
      </c>
      <c r="L113" s="1">
        <f t="shared" si="6"/>
        <v>701384.7412</v>
      </c>
      <c r="M113" s="11">
        <f t="shared" si="9"/>
        <v>6434.722396</v>
      </c>
      <c r="N113" s="11">
        <f t="shared" si="7"/>
        <v>851.5910914</v>
      </c>
    </row>
    <row r="114">
      <c r="A114" s="5">
        <v>110.0</v>
      </c>
      <c r="B114" s="8">
        <f t="shared" si="2"/>
        <v>0.5592985494</v>
      </c>
      <c r="C114" s="1">
        <f t="shared" si="3"/>
        <v>4474.388395</v>
      </c>
      <c r="D114" s="1">
        <f t="shared" si="4"/>
        <v>7260.980829</v>
      </c>
      <c r="E114" s="1">
        <f t="shared" ref="E114:K114" si="117">(E$1-_xlfn.FLOOR.MATH(E$1*(180-MIN(180,$A114))/180))*E$2</f>
        <v>50500</v>
      </c>
      <c r="F114" s="1">
        <f t="shared" si="117"/>
        <v>84000</v>
      </c>
      <c r="G114" s="1">
        <f t="shared" si="117"/>
        <v>17600</v>
      </c>
      <c r="H114" s="1">
        <f t="shared" si="117"/>
        <v>500737.0313</v>
      </c>
      <c r="I114" s="1">
        <f t="shared" si="117"/>
        <v>2886</v>
      </c>
      <c r="J114" s="1">
        <f t="shared" si="117"/>
        <v>31280</v>
      </c>
      <c r="K114" s="1">
        <f t="shared" si="117"/>
        <v>14760.70996</v>
      </c>
      <c r="L114" s="1">
        <f t="shared" si="6"/>
        <v>701763.7412</v>
      </c>
      <c r="M114" s="11">
        <f t="shared" si="9"/>
        <v>6379.670375</v>
      </c>
      <c r="N114" s="11">
        <f t="shared" si="7"/>
        <v>881.3104547</v>
      </c>
    </row>
    <row r="115">
      <c r="A115" s="5">
        <v>111.0</v>
      </c>
      <c r="B115" s="8">
        <f t="shared" si="2"/>
        <v>0.5486305595</v>
      </c>
      <c r="C115" s="1">
        <f t="shared" si="3"/>
        <v>4389.044476</v>
      </c>
      <c r="D115" s="1">
        <f t="shared" si="4"/>
        <v>7235.33854</v>
      </c>
      <c r="E115" s="1">
        <f t="shared" ref="E115:K115" si="118">(E$1-_xlfn.FLOOR.MATH(E$1*(180-MIN(180,$A115))/180))*E$2</f>
        <v>50500</v>
      </c>
      <c r="F115" s="1">
        <f t="shared" si="118"/>
        <v>84000</v>
      </c>
      <c r="G115" s="1">
        <f t="shared" si="118"/>
        <v>17600</v>
      </c>
      <c r="H115" s="1">
        <f t="shared" si="118"/>
        <v>500737.0313</v>
      </c>
      <c r="I115" s="1">
        <f t="shared" si="118"/>
        <v>2886</v>
      </c>
      <c r="J115" s="1">
        <f t="shared" si="118"/>
        <v>31450</v>
      </c>
      <c r="K115" s="1">
        <f t="shared" si="118"/>
        <v>14760.70996</v>
      </c>
      <c r="L115" s="1">
        <f t="shared" si="6"/>
        <v>701933.7412</v>
      </c>
      <c r="M115" s="11">
        <f t="shared" si="9"/>
        <v>6323.727398</v>
      </c>
      <c r="N115" s="11">
        <f t="shared" si="7"/>
        <v>911.6111422</v>
      </c>
    </row>
    <row r="116">
      <c r="A116" s="5">
        <v>112.0</v>
      </c>
      <c r="B116" s="8">
        <f t="shared" si="2"/>
        <v>0.5382243877</v>
      </c>
      <c r="C116" s="1">
        <f t="shared" si="3"/>
        <v>4305.795102</v>
      </c>
      <c r="D116" s="1">
        <f t="shared" si="4"/>
        <v>7209.413377</v>
      </c>
      <c r="E116" s="1">
        <f t="shared" ref="E116:K116" si="119">(E$1-_xlfn.FLOOR.MATH(E$1*(180-MIN(180,$A116))/180))*E$2</f>
        <v>50500</v>
      </c>
      <c r="F116" s="1">
        <f t="shared" si="119"/>
        <v>84000</v>
      </c>
      <c r="G116" s="1">
        <f t="shared" si="119"/>
        <v>17600</v>
      </c>
      <c r="H116" s="1">
        <f t="shared" si="119"/>
        <v>500737.0313</v>
      </c>
      <c r="I116" s="1">
        <f t="shared" si="119"/>
        <v>2925</v>
      </c>
      <c r="J116" s="1">
        <f t="shared" si="119"/>
        <v>31790</v>
      </c>
      <c r="K116" s="1">
        <f t="shared" si="119"/>
        <v>14760.70996</v>
      </c>
      <c r="L116" s="1">
        <f t="shared" si="6"/>
        <v>702312.7412</v>
      </c>
      <c r="M116" s="11">
        <f t="shared" si="9"/>
        <v>6270.649475</v>
      </c>
      <c r="N116" s="11">
        <f t="shared" si="7"/>
        <v>938.7639022</v>
      </c>
    </row>
    <row r="117">
      <c r="A117" s="5">
        <v>113.0</v>
      </c>
      <c r="B117" s="8">
        <f t="shared" si="2"/>
        <v>0.5280961414</v>
      </c>
      <c r="C117" s="1">
        <f t="shared" si="3"/>
        <v>4224.769131</v>
      </c>
      <c r="D117" s="1">
        <f t="shared" si="4"/>
        <v>7183.232287</v>
      </c>
      <c r="E117" s="1">
        <f t="shared" ref="E117:K117" si="120">(E$1-_xlfn.FLOOR.MATH(E$1*(180-MIN(180,$A117))/180))*E$2</f>
        <v>60600</v>
      </c>
      <c r="F117" s="1">
        <f t="shared" si="120"/>
        <v>84000</v>
      </c>
      <c r="G117" s="1">
        <f t="shared" si="120"/>
        <v>17600</v>
      </c>
      <c r="H117" s="1">
        <f t="shared" si="120"/>
        <v>600884.4375</v>
      </c>
      <c r="I117" s="1">
        <f t="shared" si="120"/>
        <v>2964</v>
      </c>
      <c r="J117" s="1">
        <f t="shared" si="120"/>
        <v>32130</v>
      </c>
      <c r="K117" s="1">
        <f t="shared" si="120"/>
        <v>14760.70996</v>
      </c>
      <c r="L117" s="1">
        <f t="shared" si="6"/>
        <v>812939.1475</v>
      </c>
      <c r="M117" s="11">
        <f t="shared" si="9"/>
        <v>7194.151747</v>
      </c>
      <c r="N117" s="11">
        <f t="shared" si="7"/>
        <v>-10.91946001</v>
      </c>
    </row>
    <row r="118">
      <c r="A118" s="5">
        <v>114.0</v>
      </c>
      <c r="B118" s="8">
        <f t="shared" si="2"/>
        <v>0.5182596972</v>
      </c>
      <c r="C118" s="1">
        <f t="shared" si="3"/>
        <v>4146.077578</v>
      </c>
      <c r="D118" s="1">
        <f t="shared" si="4"/>
        <v>7156.822246</v>
      </c>
      <c r="E118" s="1">
        <f t="shared" ref="E118:K118" si="121">(E$1-_xlfn.FLOOR.MATH(E$1*(180-MIN(180,$A118))/180))*E$2</f>
        <v>60600</v>
      </c>
      <c r="F118" s="1">
        <f t="shared" si="121"/>
        <v>84000</v>
      </c>
      <c r="G118" s="1">
        <f t="shared" si="121"/>
        <v>17600</v>
      </c>
      <c r="H118" s="1">
        <f t="shared" si="121"/>
        <v>600884.4375</v>
      </c>
      <c r="I118" s="1">
        <f t="shared" si="121"/>
        <v>2964</v>
      </c>
      <c r="J118" s="1">
        <f t="shared" si="121"/>
        <v>32300</v>
      </c>
      <c r="K118" s="1">
        <f t="shared" si="121"/>
        <v>14760.70996</v>
      </c>
      <c r="L118" s="1">
        <f t="shared" si="6"/>
        <v>813109.1475</v>
      </c>
      <c r="M118" s="11">
        <f t="shared" si="9"/>
        <v>7132.536381</v>
      </c>
      <c r="N118" s="11">
        <f t="shared" si="7"/>
        <v>24.28586524</v>
      </c>
    </row>
    <row r="119">
      <c r="A119" s="5">
        <v>115.0</v>
      </c>
      <c r="B119" s="8">
        <f t="shared" si="2"/>
        <v>0.5087266959</v>
      </c>
      <c r="C119" s="1">
        <f t="shared" si="3"/>
        <v>4069.813567</v>
      </c>
      <c r="D119" s="1">
        <f t="shared" si="4"/>
        <v>7130.210103</v>
      </c>
      <c r="E119" s="1">
        <f t="shared" ref="E119:K119" si="122">(E$1-_xlfn.FLOOR.MATH(E$1*(180-MIN(180,$A119))/180))*E$2</f>
        <v>60600</v>
      </c>
      <c r="F119" s="1">
        <f t="shared" si="122"/>
        <v>84000</v>
      </c>
      <c r="G119" s="1">
        <f t="shared" si="122"/>
        <v>17600</v>
      </c>
      <c r="H119" s="1">
        <f t="shared" si="122"/>
        <v>600884.4375</v>
      </c>
      <c r="I119" s="1">
        <f t="shared" si="122"/>
        <v>3003</v>
      </c>
      <c r="J119" s="1">
        <f t="shared" si="122"/>
        <v>32640</v>
      </c>
      <c r="K119" s="1">
        <f t="shared" si="122"/>
        <v>14760.70996</v>
      </c>
      <c r="L119" s="1">
        <f t="shared" si="6"/>
        <v>813488.1475</v>
      </c>
      <c r="M119" s="11">
        <f t="shared" si="9"/>
        <v>7073.809978</v>
      </c>
      <c r="N119" s="11">
        <f t="shared" si="7"/>
        <v>56.40012477</v>
      </c>
    </row>
    <row r="120">
      <c r="A120" s="5">
        <v>116.0</v>
      </c>
      <c r="B120" s="8">
        <f t="shared" si="2"/>
        <v>0.4995065681</v>
      </c>
      <c r="C120" s="1">
        <f t="shared" si="3"/>
        <v>3996.052544</v>
      </c>
      <c r="D120" s="1">
        <f t="shared" si="4"/>
        <v>7103.422431</v>
      </c>
      <c r="E120" s="1">
        <f t="shared" ref="E120:K120" si="123">(E$1-_xlfn.FLOOR.MATH(E$1*(180-MIN(180,$A120))/180))*E$2</f>
        <v>60600</v>
      </c>
      <c r="F120" s="1">
        <f t="shared" si="123"/>
        <v>84000</v>
      </c>
      <c r="G120" s="1">
        <f t="shared" si="123"/>
        <v>17600</v>
      </c>
      <c r="H120" s="1">
        <f t="shared" si="123"/>
        <v>600884.4375</v>
      </c>
      <c r="I120" s="1">
        <f t="shared" si="123"/>
        <v>3042</v>
      </c>
      <c r="J120" s="1">
        <f t="shared" si="123"/>
        <v>32980</v>
      </c>
      <c r="K120" s="1">
        <f t="shared" si="123"/>
        <v>14760.70996</v>
      </c>
      <c r="L120" s="1">
        <f t="shared" si="6"/>
        <v>813867.1475</v>
      </c>
      <c r="M120" s="11">
        <f t="shared" si="9"/>
        <v>7016.096099</v>
      </c>
      <c r="N120" s="11">
        <f t="shared" si="7"/>
        <v>87.32633245</v>
      </c>
    </row>
    <row r="121">
      <c r="A121" s="5">
        <v>117.0</v>
      </c>
      <c r="B121" s="8">
        <f t="shared" si="2"/>
        <v>0.4906065889</v>
      </c>
      <c r="C121" s="1">
        <f t="shared" si="3"/>
        <v>3924.852712</v>
      </c>
      <c r="D121" s="1">
        <f t="shared" si="4"/>
        <v>7076.4854</v>
      </c>
      <c r="E121" s="1">
        <f t="shared" ref="E121:K121" si="124">(E$1-_xlfn.FLOOR.MATH(E$1*(180-MIN(180,$A121))/180))*E$2</f>
        <v>60600</v>
      </c>
      <c r="F121" s="1">
        <f t="shared" si="124"/>
        <v>84000</v>
      </c>
      <c r="G121" s="1">
        <f t="shared" si="124"/>
        <v>17600</v>
      </c>
      <c r="H121" s="1">
        <f t="shared" si="124"/>
        <v>600884.4375</v>
      </c>
      <c r="I121" s="1">
        <f t="shared" si="124"/>
        <v>3042</v>
      </c>
      <c r="J121" s="1">
        <f t="shared" si="124"/>
        <v>33150</v>
      </c>
      <c r="K121" s="1">
        <f t="shared" si="124"/>
        <v>14760.70996</v>
      </c>
      <c r="L121" s="1">
        <f t="shared" si="6"/>
        <v>814037.1475</v>
      </c>
      <c r="M121" s="11">
        <f t="shared" si="9"/>
        <v>6957.582457</v>
      </c>
      <c r="N121" s="11">
        <f t="shared" si="7"/>
        <v>118.9029428</v>
      </c>
    </row>
    <row r="122">
      <c r="A122" s="5">
        <v>118.0</v>
      </c>
      <c r="B122" s="8">
        <f t="shared" si="2"/>
        <v>0.4820319576</v>
      </c>
      <c r="C122" s="1">
        <f t="shared" si="3"/>
        <v>3856.255661</v>
      </c>
      <c r="D122" s="1">
        <f t="shared" si="4"/>
        <v>7049.424646</v>
      </c>
      <c r="E122" s="1">
        <f t="shared" ref="E122:K122" si="125">(E$1-_xlfn.FLOOR.MATH(E$1*(180-MIN(180,$A122))/180))*E$2</f>
        <v>60600</v>
      </c>
      <c r="F122" s="1">
        <f t="shared" si="125"/>
        <v>84000</v>
      </c>
      <c r="G122" s="1">
        <f t="shared" si="125"/>
        <v>17600</v>
      </c>
      <c r="H122" s="1">
        <f t="shared" si="125"/>
        <v>600884.4375</v>
      </c>
      <c r="I122" s="1">
        <f t="shared" si="125"/>
        <v>3081</v>
      </c>
      <c r="J122" s="1">
        <f t="shared" si="125"/>
        <v>33490</v>
      </c>
      <c r="K122" s="1">
        <f t="shared" si="125"/>
        <v>14760.70996</v>
      </c>
      <c r="L122" s="1">
        <f t="shared" si="6"/>
        <v>814416.1475</v>
      </c>
      <c r="M122" s="11">
        <f t="shared" si="9"/>
        <v>6901.831758</v>
      </c>
      <c r="N122" s="11">
        <f t="shared" si="7"/>
        <v>147.5928875</v>
      </c>
    </row>
    <row r="123">
      <c r="A123" s="5">
        <v>119.0</v>
      </c>
      <c r="B123" s="8">
        <f t="shared" si="2"/>
        <v>0.4737858973</v>
      </c>
      <c r="C123" s="1">
        <f t="shared" si="3"/>
        <v>3790.287179</v>
      </c>
      <c r="D123" s="1">
        <f t="shared" si="4"/>
        <v>7022.265167</v>
      </c>
      <c r="E123" s="1">
        <f t="shared" ref="E123:K123" si="126">(E$1-_xlfn.FLOOR.MATH(E$1*(180-MIN(180,$A123))/180))*E$2</f>
        <v>60600</v>
      </c>
      <c r="F123" s="1">
        <f t="shared" si="126"/>
        <v>84000</v>
      </c>
      <c r="G123" s="1">
        <f t="shared" si="126"/>
        <v>17600</v>
      </c>
      <c r="H123" s="1">
        <f t="shared" si="126"/>
        <v>600884.4375</v>
      </c>
      <c r="I123" s="1">
        <f t="shared" si="126"/>
        <v>3120</v>
      </c>
      <c r="J123" s="1">
        <f t="shared" si="126"/>
        <v>33830</v>
      </c>
      <c r="K123" s="1">
        <f t="shared" si="126"/>
        <v>14760.70996</v>
      </c>
      <c r="L123" s="1">
        <f t="shared" si="6"/>
        <v>814795.1475</v>
      </c>
      <c r="M123" s="11">
        <f t="shared" si="9"/>
        <v>6847.018046</v>
      </c>
      <c r="N123" s="11">
        <f t="shared" si="7"/>
        <v>175.2471208</v>
      </c>
    </row>
    <row r="124">
      <c r="A124" s="5">
        <v>120.0</v>
      </c>
      <c r="B124" s="8">
        <f t="shared" si="2"/>
        <v>0.4658697735</v>
      </c>
      <c r="C124" s="1">
        <f t="shared" si="3"/>
        <v>3726.958188</v>
      </c>
      <c r="D124" s="1">
        <f t="shared" si="4"/>
        <v>6995.031225</v>
      </c>
      <c r="E124" s="1">
        <f t="shared" ref="E124:K124" si="127">(E$1-_xlfn.FLOOR.MATH(E$1*(180-MIN(180,$A124))/180))*E$2</f>
        <v>60600</v>
      </c>
      <c r="F124" s="1">
        <f t="shared" si="127"/>
        <v>84000</v>
      </c>
      <c r="G124" s="1">
        <f t="shared" si="127"/>
        <v>17600</v>
      </c>
      <c r="H124" s="1">
        <f t="shared" si="127"/>
        <v>600884.4375</v>
      </c>
      <c r="I124" s="1">
        <f t="shared" si="127"/>
        <v>3120</v>
      </c>
      <c r="J124" s="1">
        <f t="shared" si="127"/>
        <v>34000</v>
      </c>
      <c r="K124" s="1">
        <f t="shared" si="127"/>
        <v>14760.70996</v>
      </c>
      <c r="L124" s="1">
        <f t="shared" si="6"/>
        <v>814965.1475</v>
      </c>
      <c r="M124" s="11">
        <f t="shared" si="9"/>
        <v>6791.376229</v>
      </c>
      <c r="N124" s="11">
        <f t="shared" si="7"/>
        <v>203.6549959</v>
      </c>
    </row>
    <row r="125">
      <c r="A125" s="5">
        <v>121.0</v>
      </c>
      <c r="B125" s="8">
        <f t="shared" si="2"/>
        <v>0.4582832244</v>
      </c>
      <c r="C125" s="1">
        <f t="shared" si="3"/>
        <v>3666.265796</v>
      </c>
      <c r="D125" s="1">
        <f t="shared" si="4"/>
        <v>6967.746262</v>
      </c>
      <c r="E125" s="1">
        <f t="shared" ref="E125:K125" si="128">(E$1-_xlfn.FLOOR.MATH(E$1*(180-MIN(180,$A125))/180))*E$2</f>
        <v>60600</v>
      </c>
      <c r="F125" s="1">
        <f t="shared" si="128"/>
        <v>94500</v>
      </c>
      <c r="G125" s="1">
        <f t="shared" si="128"/>
        <v>22000</v>
      </c>
      <c r="H125" s="1">
        <f t="shared" si="128"/>
        <v>600884.4375</v>
      </c>
      <c r="I125" s="1">
        <f t="shared" si="128"/>
        <v>3159</v>
      </c>
      <c r="J125" s="1">
        <f t="shared" si="128"/>
        <v>34340</v>
      </c>
      <c r="K125" s="1">
        <f t="shared" si="128"/>
        <v>14760.70996</v>
      </c>
      <c r="L125" s="1">
        <f t="shared" si="6"/>
        <v>830244.1475</v>
      </c>
      <c r="M125" s="11">
        <f t="shared" si="9"/>
        <v>6861.52188</v>
      </c>
      <c r="N125" s="11">
        <f t="shared" si="7"/>
        <v>106.2243824</v>
      </c>
    </row>
    <row r="126">
      <c r="A126" s="5">
        <v>122.0</v>
      </c>
      <c r="B126" s="8">
        <f t="shared" si="2"/>
        <v>0.4510243026</v>
      </c>
      <c r="C126" s="1">
        <f t="shared" si="3"/>
        <v>3608.194421</v>
      </c>
      <c r="D126" s="1">
        <f t="shared" si="4"/>
        <v>6940.432833</v>
      </c>
      <c r="E126" s="1">
        <f t="shared" ref="E126:K126" si="129">(E$1-_xlfn.FLOOR.MATH(E$1*(180-MIN(180,$A126))/180))*E$2</f>
        <v>60600</v>
      </c>
      <c r="F126" s="1">
        <f t="shared" si="129"/>
        <v>94500</v>
      </c>
      <c r="G126" s="1">
        <f t="shared" si="129"/>
        <v>22000</v>
      </c>
      <c r="H126" s="1">
        <f t="shared" si="129"/>
        <v>600884.4375</v>
      </c>
      <c r="I126" s="1">
        <f t="shared" si="129"/>
        <v>3198</v>
      </c>
      <c r="J126" s="1">
        <f t="shared" si="129"/>
        <v>34680</v>
      </c>
      <c r="K126" s="1">
        <f t="shared" si="129"/>
        <v>14760.70996</v>
      </c>
      <c r="L126" s="1">
        <f t="shared" si="6"/>
        <v>830623.1475</v>
      </c>
      <c r="M126" s="11">
        <f t="shared" si="9"/>
        <v>6808.386455</v>
      </c>
      <c r="N126" s="11">
        <f t="shared" si="7"/>
        <v>132.046378</v>
      </c>
    </row>
    <row r="127">
      <c r="A127" s="5">
        <v>123.0</v>
      </c>
      <c r="B127" s="8">
        <f t="shared" si="2"/>
        <v>0.4440896214</v>
      </c>
      <c r="C127" s="1">
        <f t="shared" si="3"/>
        <v>3552.716971</v>
      </c>
      <c r="D127" s="1">
        <f t="shared" si="4"/>
        <v>6913.112543</v>
      </c>
      <c r="E127" s="1">
        <f t="shared" ref="E127:K127" si="130">(E$1-_xlfn.FLOOR.MATH(E$1*(180-MIN(180,$A127))/180))*E$2</f>
        <v>60600</v>
      </c>
      <c r="F127" s="1">
        <f t="shared" si="130"/>
        <v>94500</v>
      </c>
      <c r="G127" s="1">
        <f t="shared" si="130"/>
        <v>22000</v>
      </c>
      <c r="H127" s="1">
        <f t="shared" si="130"/>
        <v>600884.4375</v>
      </c>
      <c r="I127" s="1">
        <f t="shared" si="130"/>
        <v>3198</v>
      </c>
      <c r="J127" s="1">
        <f t="shared" si="130"/>
        <v>34850</v>
      </c>
      <c r="K127" s="1">
        <f t="shared" si="130"/>
        <v>14760.70996</v>
      </c>
      <c r="L127" s="1">
        <f t="shared" si="6"/>
        <v>830793.1475</v>
      </c>
      <c r="M127" s="11">
        <f t="shared" si="9"/>
        <v>6754.415833</v>
      </c>
      <c r="N127" s="11">
        <f t="shared" si="7"/>
        <v>158.6967104</v>
      </c>
    </row>
    <row r="128">
      <c r="A128" s="5">
        <v>124.0</v>
      </c>
      <c r="B128" s="8">
        <f t="shared" si="2"/>
        <v>0.4374745051</v>
      </c>
      <c r="C128" s="1">
        <f t="shared" si="3"/>
        <v>3499.796041</v>
      </c>
      <c r="D128" s="1">
        <f t="shared" si="4"/>
        <v>6885.806011</v>
      </c>
      <c r="E128" s="1">
        <f t="shared" ref="E128:K128" si="131">(E$1-_xlfn.FLOOR.MATH(E$1*(180-MIN(180,$A128))/180))*E$2</f>
        <v>60600</v>
      </c>
      <c r="F128" s="1">
        <f t="shared" si="131"/>
        <v>94500</v>
      </c>
      <c r="G128" s="1">
        <f t="shared" si="131"/>
        <v>22000</v>
      </c>
      <c r="H128" s="1">
        <f t="shared" si="131"/>
        <v>600884.4375</v>
      </c>
      <c r="I128" s="1">
        <f t="shared" si="131"/>
        <v>3237</v>
      </c>
      <c r="J128" s="1">
        <f t="shared" si="131"/>
        <v>35190</v>
      </c>
      <c r="K128" s="1">
        <f t="shared" si="131"/>
        <v>14760.70996</v>
      </c>
      <c r="L128" s="1">
        <f t="shared" si="6"/>
        <v>831172.1475</v>
      </c>
      <c r="M128" s="11">
        <f t="shared" si="9"/>
        <v>6703.001189</v>
      </c>
      <c r="N128" s="11">
        <f t="shared" si="7"/>
        <v>182.8048222</v>
      </c>
    </row>
    <row r="129">
      <c r="A129" s="5">
        <v>125.0</v>
      </c>
      <c r="B129" s="8">
        <f t="shared" si="2"/>
        <v>0.4311731394</v>
      </c>
      <c r="C129" s="1">
        <f t="shared" si="3"/>
        <v>3449.385115</v>
      </c>
      <c r="D129" s="1">
        <f t="shared" si="4"/>
        <v>6858.53283</v>
      </c>
      <c r="E129" s="1">
        <f t="shared" ref="E129:K129" si="132">(E$1-_xlfn.FLOOR.MATH(E$1*(180-MIN(180,$A129))/180))*E$2</f>
        <v>60600</v>
      </c>
      <c r="F129" s="1">
        <f t="shared" si="132"/>
        <v>94500</v>
      </c>
      <c r="G129" s="1">
        <f t="shared" si="132"/>
        <v>22000</v>
      </c>
      <c r="H129" s="1">
        <f t="shared" si="132"/>
        <v>600884.4375</v>
      </c>
      <c r="I129" s="1">
        <f t="shared" si="132"/>
        <v>3276</v>
      </c>
      <c r="J129" s="1">
        <f t="shared" si="132"/>
        <v>35530</v>
      </c>
      <c r="K129" s="1">
        <f t="shared" si="132"/>
        <v>14760.70996</v>
      </c>
      <c r="L129" s="1">
        <f t="shared" si="6"/>
        <v>831551.1475</v>
      </c>
      <c r="M129" s="11">
        <f t="shared" si="9"/>
        <v>6652.40918</v>
      </c>
      <c r="N129" s="11">
        <f t="shared" si="7"/>
        <v>206.12365</v>
      </c>
    </row>
    <row r="130">
      <c r="A130" s="5">
        <v>126.0</v>
      </c>
      <c r="B130" s="8">
        <f t="shared" si="2"/>
        <v>0.425178719</v>
      </c>
      <c r="C130" s="1">
        <f t="shared" si="3"/>
        <v>3401.429752</v>
      </c>
      <c r="D130" s="1">
        <f t="shared" si="4"/>
        <v>6831.311546</v>
      </c>
      <c r="E130" s="1">
        <f t="shared" ref="E130:K130" si="133">(E$1-_xlfn.FLOOR.MATH(E$1*(180-MIN(180,$A130))/180))*E$2</f>
        <v>60600</v>
      </c>
      <c r="F130" s="1">
        <f t="shared" si="133"/>
        <v>94500</v>
      </c>
      <c r="G130" s="1">
        <f t="shared" si="133"/>
        <v>22000</v>
      </c>
      <c r="H130" s="1">
        <f t="shared" si="133"/>
        <v>600884.4375</v>
      </c>
      <c r="I130" s="1">
        <f t="shared" si="133"/>
        <v>3276</v>
      </c>
      <c r="J130" s="1">
        <f t="shared" si="133"/>
        <v>35700</v>
      </c>
      <c r="K130" s="1">
        <f t="shared" si="133"/>
        <v>14760.70996</v>
      </c>
      <c r="L130" s="1">
        <f t="shared" si="6"/>
        <v>831721.1475</v>
      </c>
      <c r="M130" s="11">
        <f t="shared" si="9"/>
        <v>6600.961488</v>
      </c>
      <c r="N130" s="11">
        <f t="shared" si="7"/>
        <v>230.3500578</v>
      </c>
    </row>
    <row r="131">
      <c r="A131" s="5">
        <v>127.0</v>
      </c>
      <c r="B131" s="8">
        <f t="shared" si="2"/>
        <v>0.419483591</v>
      </c>
      <c r="C131" s="1">
        <f t="shared" si="3"/>
        <v>3355.868728</v>
      </c>
      <c r="D131" s="1">
        <f t="shared" si="4"/>
        <v>6804.159649</v>
      </c>
      <c r="E131" s="1">
        <f t="shared" ref="E131:K131" si="134">(E$1-_xlfn.FLOOR.MATH(E$1*(180-MIN(180,$A131))/180))*E$2</f>
        <v>60600</v>
      </c>
      <c r="F131" s="1">
        <f t="shared" si="134"/>
        <v>94500</v>
      </c>
      <c r="G131" s="1">
        <f t="shared" si="134"/>
        <v>22000</v>
      </c>
      <c r="H131" s="1">
        <f t="shared" si="134"/>
        <v>600884.4375</v>
      </c>
      <c r="I131" s="1">
        <f t="shared" si="134"/>
        <v>3315</v>
      </c>
      <c r="J131" s="1">
        <f t="shared" si="134"/>
        <v>36040</v>
      </c>
      <c r="K131" s="1">
        <f t="shared" si="134"/>
        <v>14760.70996</v>
      </c>
      <c r="L131" s="1">
        <f t="shared" si="6"/>
        <v>832100.1475</v>
      </c>
      <c r="M131" s="11">
        <f t="shared" si="9"/>
        <v>6551.969665</v>
      </c>
      <c r="N131" s="11">
        <f t="shared" si="7"/>
        <v>252.1899835</v>
      </c>
    </row>
    <row r="132">
      <c r="A132" s="5">
        <v>128.0</v>
      </c>
      <c r="B132" s="8">
        <f t="shared" si="2"/>
        <v>0.4140793923</v>
      </c>
      <c r="C132" s="1">
        <f t="shared" si="3"/>
        <v>3312.635138</v>
      </c>
      <c r="D132" s="1">
        <f t="shared" si="4"/>
        <v>6777.093567</v>
      </c>
      <c r="E132" s="1">
        <f t="shared" ref="E132:K132" si="135">(E$1-_xlfn.FLOOR.MATH(E$1*(180-MIN(180,$A132))/180))*E$2</f>
        <v>60600</v>
      </c>
      <c r="F132" s="1">
        <f t="shared" si="135"/>
        <v>94500</v>
      </c>
      <c r="G132" s="1">
        <f t="shared" si="135"/>
        <v>22000</v>
      </c>
      <c r="H132" s="1">
        <f t="shared" si="135"/>
        <v>600884.4375</v>
      </c>
      <c r="I132" s="1">
        <f t="shared" si="135"/>
        <v>3354</v>
      </c>
      <c r="J132" s="1">
        <f t="shared" si="135"/>
        <v>36380</v>
      </c>
      <c r="K132" s="1">
        <f t="shared" si="135"/>
        <v>14760.70996</v>
      </c>
      <c r="L132" s="1">
        <f t="shared" si="6"/>
        <v>832479.1475</v>
      </c>
      <c r="M132" s="11">
        <f t="shared" si="9"/>
        <v>6503.74334</v>
      </c>
      <c r="N132" s="11">
        <f t="shared" si="7"/>
        <v>273.3502276</v>
      </c>
    </row>
    <row r="133">
      <c r="A133" s="5">
        <v>129.0</v>
      </c>
      <c r="B133" s="8">
        <f t="shared" si="2"/>
        <v>0.4089571792</v>
      </c>
      <c r="C133" s="1">
        <f t="shared" si="3"/>
        <v>3271.657433</v>
      </c>
      <c r="D133" s="1">
        <f t="shared" si="4"/>
        <v>6750.128674</v>
      </c>
      <c r="E133" s="1">
        <f t="shared" ref="E133:K133" si="136">(E$1-_xlfn.FLOOR.MATH(E$1*(180-MIN(180,$A133))/180))*E$2</f>
        <v>60600</v>
      </c>
      <c r="F133" s="1">
        <f t="shared" si="136"/>
        <v>94500</v>
      </c>
      <c r="G133" s="1">
        <f t="shared" si="136"/>
        <v>22000</v>
      </c>
      <c r="H133" s="1">
        <f t="shared" si="136"/>
        <v>600884.4375</v>
      </c>
      <c r="I133" s="1">
        <f t="shared" si="136"/>
        <v>3354</v>
      </c>
      <c r="J133" s="1">
        <f t="shared" si="136"/>
        <v>36550</v>
      </c>
      <c r="K133" s="1">
        <f t="shared" si="136"/>
        <v>14760.70996</v>
      </c>
      <c r="L133" s="1">
        <f t="shared" si="6"/>
        <v>832649.1475</v>
      </c>
      <c r="M133" s="11">
        <f t="shared" si="9"/>
        <v>6454.644554</v>
      </c>
      <c r="N133" s="11">
        <f t="shared" si="7"/>
        <v>295.4841198</v>
      </c>
    </row>
    <row r="134">
      <c r="A134" s="5">
        <v>130.0</v>
      </c>
      <c r="B134" s="8">
        <f t="shared" si="2"/>
        <v>0.4041075488</v>
      </c>
      <c r="C134" s="1">
        <f t="shared" si="3"/>
        <v>3232.86039</v>
      </c>
      <c r="D134" s="1">
        <f t="shared" si="4"/>
        <v>6723.279298</v>
      </c>
      <c r="E134" s="1">
        <f t="shared" ref="E134:K134" si="137">(E$1-_xlfn.FLOOR.MATH(E$1*(180-MIN(180,$A134))/180))*E$2</f>
        <v>60600</v>
      </c>
      <c r="F134" s="1">
        <f t="shared" si="137"/>
        <v>94500</v>
      </c>
      <c r="G134" s="1">
        <f t="shared" si="137"/>
        <v>22000</v>
      </c>
      <c r="H134" s="1">
        <f t="shared" si="137"/>
        <v>600884.4375</v>
      </c>
      <c r="I134" s="1">
        <f t="shared" si="137"/>
        <v>3393</v>
      </c>
      <c r="J134" s="1">
        <f t="shared" si="137"/>
        <v>36890</v>
      </c>
      <c r="K134" s="1">
        <f t="shared" si="137"/>
        <v>14760.70996</v>
      </c>
      <c r="L134" s="1">
        <f t="shared" si="6"/>
        <v>833028.1475</v>
      </c>
      <c r="M134" s="11">
        <f t="shared" si="9"/>
        <v>6407.908827</v>
      </c>
      <c r="N134" s="11">
        <f t="shared" si="7"/>
        <v>315.3704709</v>
      </c>
    </row>
    <row r="135">
      <c r="A135" s="5">
        <v>131.0</v>
      </c>
      <c r="B135" s="8">
        <f t="shared" si="2"/>
        <v>0.3995207511</v>
      </c>
      <c r="C135" s="1">
        <f t="shared" si="3"/>
        <v>3196.166009</v>
      </c>
      <c r="D135" s="1">
        <f t="shared" si="4"/>
        <v>6696.558742</v>
      </c>
      <c r="E135" s="1">
        <f t="shared" ref="E135:K135" si="138">(E$1-_xlfn.FLOOR.MATH(E$1*(180-MIN(180,$A135))/180))*E$2</f>
        <v>60600</v>
      </c>
      <c r="F135" s="1">
        <f t="shared" si="138"/>
        <v>94500</v>
      </c>
      <c r="G135" s="1">
        <f t="shared" si="138"/>
        <v>22000</v>
      </c>
      <c r="H135" s="1">
        <f t="shared" si="138"/>
        <v>600884.4375</v>
      </c>
      <c r="I135" s="1">
        <f t="shared" si="138"/>
        <v>3432</v>
      </c>
      <c r="J135" s="1">
        <f t="shared" si="138"/>
        <v>37230</v>
      </c>
      <c r="K135" s="1">
        <f t="shared" si="138"/>
        <v>14760.70996</v>
      </c>
      <c r="L135" s="1">
        <f t="shared" si="6"/>
        <v>833407.1475</v>
      </c>
      <c r="M135" s="11">
        <f t="shared" si="9"/>
        <v>6361.886622</v>
      </c>
      <c r="N135" s="11">
        <f t="shared" si="7"/>
        <v>334.6721205</v>
      </c>
    </row>
    <row r="136">
      <c r="A136" s="5">
        <v>132.0</v>
      </c>
      <c r="B136" s="8">
        <f t="shared" si="2"/>
        <v>0.3951867915</v>
      </c>
      <c r="C136" s="1">
        <f t="shared" si="3"/>
        <v>3161.494332</v>
      </c>
      <c r="D136" s="1">
        <f t="shared" si="4"/>
        <v>6669.979311</v>
      </c>
      <c r="E136" s="1">
        <f t="shared" ref="E136:K136" si="139">(E$1-_xlfn.FLOOR.MATH(E$1*(180-MIN(180,$A136))/180))*E$2</f>
        <v>60600</v>
      </c>
      <c r="F136" s="1">
        <f t="shared" si="139"/>
        <v>94500</v>
      </c>
      <c r="G136" s="1">
        <f t="shared" si="139"/>
        <v>22000</v>
      </c>
      <c r="H136" s="1">
        <f t="shared" si="139"/>
        <v>600884.4375</v>
      </c>
      <c r="I136" s="1">
        <f t="shared" si="139"/>
        <v>3432</v>
      </c>
      <c r="J136" s="1">
        <f t="shared" si="139"/>
        <v>37400</v>
      </c>
      <c r="K136" s="1">
        <f t="shared" si="139"/>
        <v>14760.70996</v>
      </c>
      <c r="L136" s="1">
        <f t="shared" si="6"/>
        <v>833577.1475</v>
      </c>
      <c r="M136" s="11">
        <f t="shared" si="9"/>
        <v>6314.97839</v>
      </c>
      <c r="N136" s="11">
        <f t="shared" si="7"/>
        <v>355.0009208</v>
      </c>
    </row>
    <row r="137">
      <c r="A137" s="5">
        <v>133.0</v>
      </c>
      <c r="B137" s="8">
        <f t="shared" si="2"/>
        <v>0.3910955237</v>
      </c>
      <c r="C137" s="1">
        <f t="shared" si="3"/>
        <v>3128.76419</v>
      </c>
      <c r="D137" s="1">
        <f t="shared" si="4"/>
        <v>6643.552332</v>
      </c>
      <c r="E137" s="1">
        <f t="shared" ref="E137:K137" si="140">(E$1-_xlfn.FLOOR.MATH(E$1*(180-MIN(180,$A137))/180))*E$2</f>
        <v>60600</v>
      </c>
      <c r="F137" s="1">
        <f t="shared" si="140"/>
        <v>94500</v>
      </c>
      <c r="G137" s="1">
        <f t="shared" si="140"/>
        <v>22000</v>
      </c>
      <c r="H137" s="1">
        <f t="shared" si="140"/>
        <v>600884.4375</v>
      </c>
      <c r="I137" s="1">
        <f t="shared" si="140"/>
        <v>3471</v>
      </c>
      <c r="J137" s="1">
        <f t="shared" si="140"/>
        <v>37740</v>
      </c>
      <c r="K137" s="1">
        <f t="shared" si="140"/>
        <v>14760.70996</v>
      </c>
      <c r="L137" s="1">
        <f t="shared" si="6"/>
        <v>833956.1475</v>
      </c>
      <c r="M137" s="11">
        <f t="shared" si="9"/>
        <v>6270.346973</v>
      </c>
      <c r="N137" s="11">
        <f t="shared" si="7"/>
        <v>373.2053588</v>
      </c>
    </row>
    <row r="138">
      <c r="A138" s="5">
        <v>134.0</v>
      </c>
      <c r="B138" s="8">
        <f t="shared" si="2"/>
        <v>0.3872367328</v>
      </c>
      <c r="C138" s="1">
        <f t="shared" si="3"/>
        <v>3097.893862</v>
      </c>
      <c r="D138" s="1">
        <f t="shared" si="4"/>
        <v>6617.288195</v>
      </c>
      <c r="E138" s="1">
        <f t="shared" ref="E138:K138" si="141">(E$1-_xlfn.FLOOR.MATH(E$1*(180-MIN(180,$A138))/180))*E$2</f>
        <v>60600</v>
      </c>
      <c r="F138" s="1">
        <f t="shared" si="141"/>
        <v>94500</v>
      </c>
      <c r="G138" s="1">
        <f t="shared" si="141"/>
        <v>22000</v>
      </c>
      <c r="H138" s="1">
        <f t="shared" si="141"/>
        <v>600884.4375</v>
      </c>
      <c r="I138" s="1">
        <f t="shared" si="141"/>
        <v>3510</v>
      </c>
      <c r="J138" s="1">
        <f t="shared" si="141"/>
        <v>38080</v>
      </c>
      <c r="K138" s="1">
        <f t="shared" si="141"/>
        <v>14760.70996</v>
      </c>
      <c r="L138" s="1">
        <f t="shared" si="6"/>
        <v>834335.1475</v>
      </c>
      <c r="M138" s="11">
        <f t="shared" si="9"/>
        <v>6226.381697</v>
      </c>
      <c r="N138" s="11">
        <f t="shared" si="7"/>
        <v>390.9064979</v>
      </c>
    </row>
    <row r="139">
      <c r="A139" s="5">
        <v>135.0</v>
      </c>
      <c r="B139" s="8">
        <f t="shared" si="2"/>
        <v>0.3836002089</v>
      </c>
      <c r="C139" s="1">
        <f t="shared" si="3"/>
        <v>3068.801671</v>
      </c>
      <c r="D139" s="1">
        <f t="shared" si="4"/>
        <v>6591.196383</v>
      </c>
      <c r="E139" s="1">
        <f t="shared" ref="E139:K139" si="142">(E$1-_xlfn.FLOOR.MATH(E$1*(180-MIN(180,$A139))/180))*E$2</f>
        <v>60600</v>
      </c>
      <c r="F139" s="1">
        <f t="shared" si="142"/>
        <v>94500</v>
      </c>
      <c r="G139" s="1">
        <f t="shared" si="142"/>
        <v>22000</v>
      </c>
      <c r="H139" s="1">
        <f t="shared" si="142"/>
        <v>600884.4375</v>
      </c>
      <c r="I139" s="1">
        <f t="shared" si="142"/>
        <v>3510</v>
      </c>
      <c r="J139" s="1">
        <f t="shared" si="142"/>
        <v>38250</v>
      </c>
      <c r="K139" s="1">
        <f t="shared" si="142"/>
        <v>14760.70996</v>
      </c>
      <c r="L139" s="1">
        <f t="shared" si="6"/>
        <v>834505.1475</v>
      </c>
      <c r="M139" s="11">
        <f t="shared" si="9"/>
        <v>6181.519611</v>
      </c>
      <c r="N139" s="11">
        <f t="shared" si="7"/>
        <v>409.6767719</v>
      </c>
    </row>
    <row r="140">
      <c r="A140" s="5">
        <v>136.0</v>
      </c>
      <c r="B140" s="8">
        <f t="shared" si="2"/>
        <v>0.3801758116</v>
      </c>
      <c r="C140" s="1">
        <f t="shared" si="3"/>
        <v>3041.406493</v>
      </c>
      <c r="D140" s="1">
        <f t="shared" si="4"/>
        <v>6565.285508</v>
      </c>
      <c r="E140" s="1">
        <f t="shared" ref="E140:K140" si="143">(E$1-_xlfn.FLOOR.MATH(E$1*(180-MIN(180,$A140))/180))*E$2</f>
        <v>70700</v>
      </c>
      <c r="F140" s="1">
        <f t="shared" si="143"/>
        <v>105000</v>
      </c>
      <c r="G140" s="1">
        <f t="shared" si="143"/>
        <v>22000</v>
      </c>
      <c r="H140" s="1">
        <f t="shared" si="143"/>
        <v>701031.8438</v>
      </c>
      <c r="I140" s="1">
        <f t="shared" si="143"/>
        <v>3549</v>
      </c>
      <c r="J140" s="1">
        <f t="shared" si="143"/>
        <v>38590</v>
      </c>
      <c r="K140" s="1">
        <f t="shared" si="143"/>
        <v>14760.70996</v>
      </c>
      <c r="L140" s="1">
        <f t="shared" si="6"/>
        <v>955631.5537</v>
      </c>
      <c r="M140" s="11">
        <f t="shared" si="9"/>
        <v>7026.702601</v>
      </c>
      <c r="N140" s="11">
        <f t="shared" si="7"/>
        <v>-461.4170932</v>
      </c>
    </row>
    <row r="141">
      <c r="A141" s="5">
        <v>137.0</v>
      </c>
      <c r="B141" s="8">
        <f t="shared" si="2"/>
        <v>0.3769535264</v>
      </c>
      <c r="C141" s="1">
        <f t="shared" si="3"/>
        <v>3015.628211</v>
      </c>
      <c r="D141" s="1">
        <f t="shared" si="4"/>
        <v>6539.563353</v>
      </c>
      <c r="E141" s="1">
        <f t="shared" ref="E141:K141" si="144">(E$1-_xlfn.FLOOR.MATH(E$1*(180-MIN(180,$A141))/180))*E$2</f>
        <v>70700</v>
      </c>
      <c r="F141" s="1">
        <f t="shared" si="144"/>
        <v>105000</v>
      </c>
      <c r="G141" s="1">
        <f t="shared" si="144"/>
        <v>22000</v>
      </c>
      <c r="H141" s="1">
        <f t="shared" si="144"/>
        <v>701031.8438</v>
      </c>
      <c r="I141" s="1">
        <f t="shared" si="144"/>
        <v>3588</v>
      </c>
      <c r="J141" s="1">
        <f t="shared" si="144"/>
        <v>38930</v>
      </c>
      <c r="K141" s="1">
        <f t="shared" si="144"/>
        <v>14760.70996</v>
      </c>
      <c r="L141" s="1">
        <f t="shared" si="6"/>
        <v>956010.5537</v>
      </c>
      <c r="M141" s="11">
        <f t="shared" si="9"/>
        <v>6978.179224</v>
      </c>
      <c r="N141" s="11">
        <f t="shared" si="7"/>
        <v>-438.6158709</v>
      </c>
    </row>
    <row r="142">
      <c r="A142" s="5">
        <v>138.0</v>
      </c>
      <c r="B142" s="8">
        <f t="shared" si="2"/>
        <v>0.3739235116</v>
      </c>
      <c r="C142" s="1">
        <f t="shared" si="3"/>
        <v>2991.388093</v>
      </c>
      <c r="D142" s="1">
        <f t="shared" si="4"/>
        <v>6514.036913</v>
      </c>
      <c r="E142" s="1">
        <f t="shared" ref="E142:K142" si="145">(E$1-_xlfn.FLOOR.MATH(E$1*(180-MIN(180,$A142))/180))*E$2</f>
        <v>70700</v>
      </c>
      <c r="F142" s="1">
        <f t="shared" si="145"/>
        <v>105000</v>
      </c>
      <c r="G142" s="1">
        <f t="shared" si="145"/>
        <v>22000</v>
      </c>
      <c r="H142" s="1">
        <f t="shared" si="145"/>
        <v>701031.8438</v>
      </c>
      <c r="I142" s="1">
        <f t="shared" si="145"/>
        <v>3588</v>
      </c>
      <c r="J142" s="1">
        <f t="shared" si="145"/>
        <v>39100</v>
      </c>
      <c r="K142" s="1">
        <f t="shared" si="145"/>
        <v>14760.70996</v>
      </c>
      <c r="L142" s="1">
        <f t="shared" si="6"/>
        <v>956180.5537</v>
      </c>
      <c r="M142" s="11">
        <f t="shared" si="9"/>
        <v>6928.844592</v>
      </c>
      <c r="N142" s="11">
        <f t="shared" si="7"/>
        <v>-414.8076796</v>
      </c>
    </row>
    <row r="143">
      <c r="A143" s="5">
        <v>139.0</v>
      </c>
      <c r="B143" s="8">
        <f t="shared" si="2"/>
        <v>0.3710761393</v>
      </c>
      <c r="C143" s="1">
        <f t="shared" si="3"/>
        <v>2968.609115</v>
      </c>
      <c r="D143" s="1">
        <f t="shared" si="4"/>
        <v>6488.712428</v>
      </c>
      <c r="E143" s="1">
        <f t="shared" ref="E143:K143" si="146">(E$1-_xlfn.FLOOR.MATH(E$1*(180-MIN(180,$A143))/180))*E$2</f>
        <v>70700</v>
      </c>
      <c r="F143" s="1">
        <f t="shared" si="146"/>
        <v>105000</v>
      </c>
      <c r="G143" s="1">
        <f t="shared" si="146"/>
        <v>22000</v>
      </c>
      <c r="H143" s="1">
        <f t="shared" si="146"/>
        <v>701031.8438</v>
      </c>
      <c r="I143" s="1">
        <f t="shared" si="146"/>
        <v>3627</v>
      </c>
      <c r="J143" s="1">
        <f t="shared" si="146"/>
        <v>39440</v>
      </c>
      <c r="K143" s="1">
        <f t="shared" si="146"/>
        <v>14760.70996</v>
      </c>
      <c r="L143" s="1">
        <f t="shared" si="6"/>
        <v>956559.5537</v>
      </c>
      <c r="M143" s="11">
        <f t="shared" si="9"/>
        <v>6881.723408</v>
      </c>
      <c r="N143" s="11">
        <f t="shared" si="7"/>
        <v>-393.0109797</v>
      </c>
    </row>
    <row r="144">
      <c r="A144" s="5">
        <v>140.0</v>
      </c>
      <c r="B144" s="8">
        <f t="shared" si="2"/>
        <v>0.368402028</v>
      </c>
      <c r="C144" s="1">
        <f t="shared" si="3"/>
        <v>2947.216224</v>
      </c>
      <c r="D144" s="1">
        <f t="shared" si="4"/>
        <v>6463.595434</v>
      </c>
      <c r="E144" s="1">
        <f t="shared" ref="E144:K144" si="147">(E$1-_xlfn.FLOOR.MATH(E$1*(180-MIN(180,$A144))/180))*E$2</f>
        <v>70700</v>
      </c>
      <c r="F144" s="1">
        <f t="shared" si="147"/>
        <v>105000</v>
      </c>
      <c r="G144" s="1">
        <f t="shared" si="147"/>
        <v>22000</v>
      </c>
      <c r="H144" s="1">
        <f t="shared" si="147"/>
        <v>701031.8438</v>
      </c>
      <c r="I144" s="1">
        <f t="shared" si="147"/>
        <v>3666</v>
      </c>
      <c r="J144" s="1">
        <f t="shared" si="147"/>
        <v>39780</v>
      </c>
      <c r="K144" s="1">
        <f t="shared" si="147"/>
        <v>14760.70996</v>
      </c>
      <c r="L144" s="1">
        <f t="shared" si="6"/>
        <v>956938.5537</v>
      </c>
      <c r="M144" s="11">
        <f t="shared" si="9"/>
        <v>6835.275384</v>
      </c>
      <c r="N144" s="11">
        <f t="shared" si="7"/>
        <v>-371.6799497</v>
      </c>
    </row>
    <row r="145">
      <c r="A145" s="5">
        <v>141.0</v>
      </c>
      <c r="B145" s="8">
        <f t="shared" si="2"/>
        <v>0.3658920699</v>
      </c>
      <c r="C145" s="1">
        <f t="shared" si="3"/>
        <v>2927.136559</v>
      </c>
      <c r="D145" s="1">
        <f t="shared" si="4"/>
        <v>6438.690794</v>
      </c>
      <c r="E145" s="1">
        <f t="shared" ref="E145:K145" si="148">(E$1-_xlfn.FLOOR.MATH(E$1*(180-MIN(180,$A145))/180))*E$2</f>
        <v>70700</v>
      </c>
      <c r="F145" s="1">
        <f t="shared" si="148"/>
        <v>105000</v>
      </c>
      <c r="G145" s="1">
        <f t="shared" si="148"/>
        <v>22000</v>
      </c>
      <c r="H145" s="1">
        <f t="shared" si="148"/>
        <v>701031.8438</v>
      </c>
      <c r="I145" s="1">
        <f t="shared" si="148"/>
        <v>3666</v>
      </c>
      <c r="J145" s="1">
        <f t="shared" si="148"/>
        <v>39950</v>
      </c>
      <c r="K145" s="1">
        <f t="shared" si="148"/>
        <v>14760.70996</v>
      </c>
      <c r="L145" s="1">
        <f t="shared" si="6"/>
        <v>957108.5537</v>
      </c>
      <c r="M145" s="11">
        <f t="shared" si="9"/>
        <v>6788.003927</v>
      </c>
      <c r="N145" s="11">
        <f t="shared" si="7"/>
        <v>-349.3131331</v>
      </c>
    </row>
    <row r="146">
      <c r="A146" s="5">
        <v>142.0</v>
      </c>
      <c r="B146" s="8">
        <f t="shared" si="2"/>
        <v>0.3635374517</v>
      </c>
      <c r="C146" s="1">
        <f t="shared" si="3"/>
        <v>2908.299614</v>
      </c>
      <c r="D146" s="1">
        <f t="shared" si="4"/>
        <v>6414.002744</v>
      </c>
      <c r="E146" s="1">
        <f t="shared" ref="E146:K146" si="149">(E$1-_xlfn.FLOOR.MATH(E$1*(180-MIN(180,$A146))/180))*E$2</f>
        <v>70700</v>
      </c>
      <c r="F146" s="1">
        <f t="shared" si="149"/>
        <v>105000</v>
      </c>
      <c r="G146" s="1">
        <f t="shared" si="149"/>
        <v>22000</v>
      </c>
      <c r="H146" s="1">
        <f t="shared" si="149"/>
        <v>701031.8438</v>
      </c>
      <c r="I146" s="1">
        <f t="shared" si="149"/>
        <v>3705</v>
      </c>
      <c r="J146" s="1">
        <f t="shared" si="149"/>
        <v>40290</v>
      </c>
      <c r="K146" s="1">
        <f t="shared" si="149"/>
        <v>14760.70996</v>
      </c>
      <c r="L146" s="1">
        <f t="shared" si="6"/>
        <v>957487.5537</v>
      </c>
      <c r="M146" s="11">
        <f t="shared" si="9"/>
        <v>6742.870097</v>
      </c>
      <c r="N146" s="11">
        <f t="shared" si="7"/>
        <v>-328.8673528</v>
      </c>
    </row>
    <row r="147">
      <c r="A147" s="5">
        <v>143.0</v>
      </c>
      <c r="B147" s="8">
        <f t="shared" si="2"/>
        <v>0.361329671</v>
      </c>
      <c r="C147" s="1">
        <f t="shared" si="3"/>
        <v>2890.637368</v>
      </c>
      <c r="D147" s="1">
        <f t="shared" si="4"/>
        <v>6389.534929</v>
      </c>
      <c r="E147" s="1">
        <f t="shared" ref="E147:K147" si="150">(E$1-_xlfn.FLOOR.MATH(E$1*(180-MIN(180,$A147))/180))*E$2</f>
        <v>70700</v>
      </c>
      <c r="F147" s="1">
        <f t="shared" si="150"/>
        <v>105000</v>
      </c>
      <c r="G147" s="1">
        <f t="shared" si="150"/>
        <v>22000</v>
      </c>
      <c r="H147" s="1">
        <f t="shared" si="150"/>
        <v>701031.8438</v>
      </c>
      <c r="I147" s="1">
        <f t="shared" si="150"/>
        <v>3744</v>
      </c>
      <c r="J147" s="1">
        <f t="shared" si="150"/>
        <v>40630</v>
      </c>
      <c r="K147" s="1">
        <f t="shared" si="150"/>
        <v>14760.70996</v>
      </c>
      <c r="L147" s="1">
        <f t="shared" si="6"/>
        <v>957866.5537</v>
      </c>
      <c r="M147" s="11">
        <f t="shared" si="9"/>
        <v>6698.367508</v>
      </c>
      <c r="N147" s="11">
        <f t="shared" si="7"/>
        <v>-308.8325798</v>
      </c>
    </row>
    <row r="148">
      <c r="A148" s="5">
        <v>144.0</v>
      </c>
      <c r="B148" s="8">
        <f t="shared" si="2"/>
        <v>0.3592605474</v>
      </c>
      <c r="C148" s="1">
        <f t="shared" si="3"/>
        <v>2874.084379</v>
      </c>
      <c r="D148" s="1">
        <f t="shared" si="4"/>
        <v>6365.290442</v>
      </c>
      <c r="E148" s="1">
        <f t="shared" ref="E148:K148" si="151">(E$1-_xlfn.FLOOR.MATH(E$1*(180-MIN(180,$A148))/180))*E$2</f>
        <v>70700</v>
      </c>
      <c r="F148" s="1">
        <f t="shared" si="151"/>
        <v>105000</v>
      </c>
      <c r="G148" s="1">
        <f t="shared" si="151"/>
        <v>22000</v>
      </c>
      <c r="H148" s="1">
        <f t="shared" si="151"/>
        <v>701031.8438</v>
      </c>
      <c r="I148" s="1">
        <f t="shared" si="151"/>
        <v>3744</v>
      </c>
      <c r="J148" s="1">
        <f t="shared" si="151"/>
        <v>40800</v>
      </c>
      <c r="K148" s="1">
        <f t="shared" si="151"/>
        <v>14760.70996</v>
      </c>
      <c r="L148" s="1">
        <f t="shared" si="6"/>
        <v>958036.5537</v>
      </c>
      <c r="M148" s="11">
        <f t="shared" si="9"/>
        <v>6653.031623</v>
      </c>
      <c r="N148" s="11">
        <f t="shared" si="7"/>
        <v>-287.7411809</v>
      </c>
    </row>
    <row r="149">
      <c r="A149" s="5">
        <v>145.0</v>
      </c>
      <c r="B149" s="8">
        <f t="shared" si="2"/>
        <v>0.3573222302</v>
      </c>
      <c r="C149" s="1">
        <f t="shared" si="3"/>
        <v>2858.577841</v>
      </c>
      <c r="D149" s="1">
        <f t="shared" si="4"/>
        <v>6341.271863</v>
      </c>
      <c r="E149" s="1">
        <f t="shared" ref="E149:K149" si="152">(E$1-_xlfn.FLOOR.MATH(E$1*(180-MIN(180,$A149))/180))*E$2</f>
        <v>70700</v>
      </c>
      <c r="F149" s="1">
        <f t="shared" si="152"/>
        <v>105000</v>
      </c>
      <c r="G149" s="1">
        <f t="shared" si="152"/>
        <v>22000</v>
      </c>
      <c r="H149" s="1">
        <f t="shared" si="152"/>
        <v>701031.8438</v>
      </c>
      <c r="I149" s="1">
        <f t="shared" si="152"/>
        <v>3783</v>
      </c>
      <c r="J149" s="1">
        <f t="shared" si="152"/>
        <v>41140</v>
      </c>
      <c r="K149" s="1">
        <f t="shared" si="152"/>
        <v>14760.70996</v>
      </c>
      <c r="L149" s="1">
        <f t="shared" si="6"/>
        <v>958415.5537</v>
      </c>
      <c r="M149" s="11">
        <f t="shared" si="9"/>
        <v>6609.762439</v>
      </c>
      <c r="N149" s="11">
        <f t="shared" si="7"/>
        <v>-268.4905768</v>
      </c>
    </row>
    <row r="150">
      <c r="A150" s="5">
        <v>146.0</v>
      </c>
      <c r="B150" s="8">
        <f t="shared" si="2"/>
        <v>0.3555072021</v>
      </c>
      <c r="C150" s="1">
        <f t="shared" si="3"/>
        <v>2844.057617</v>
      </c>
      <c r="D150" s="1">
        <f t="shared" si="4"/>
        <v>6317.48129</v>
      </c>
      <c r="E150" s="1">
        <f t="shared" ref="E150:K150" si="153">(E$1-_xlfn.FLOOR.MATH(E$1*(180-MIN(180,$A150))/180))*E$2</f>
        <v>70700</v>
      </c>
      <c r="F150" s="1">
        <f t="shared" si="153"/>
        <v>105000</v>
      </c>
      <c r="G150" s="1">
        <f t="shared" si="153"/>
        <v>22000</v>
      </c>
      <c r="H150" s="1">
        <f t="shared" si="153"/>
        <v>701031.8438</v>
      </c>
      <c r="I150" s="1">
        <f t="shared" si="153"/>
        <v>3822</v>
      </c>
      <c r="J150" s="1">
        <f t="shared" si="153"/>
        <v>41480</v>
      </c>
      <c r="K150" s="1">
        <f t="shared" si="153"/>
        <v>14760.70996</v>
      </c>
      <c r="L150" s="1">
        <f t="shared" si="6"/>
        <v>958794.5537</v>
      </c>
      <c r="M150" s="11">
        <f t="shared" si="9"/>
        <v>6567.085984</v>
      </c>
      <c r="N150" s="11">
        <f t="shared" si="7"/>
        <v>-249.6046948</v>
      </c>
    </row>
    <row r="151">
      <c r="A151" s="5">
        <v>147.0</v>
      </c>
      <c r="B151" s="8">
        <f t="shared" si="2"/>
        <v>0.3538082805</v>
      </c>
      <c r="C151" s="1">
        <f t="shared" si="3"/>
        <v>2830.466244</v>
      </c>
      <c r="D151" s="1">
        <f t="shared" si="4"/>
        <v>6293.920377</v>
      </c>
      <c r="E151" s="1">
        <f t="shared" ref="E151:K151" si="154">(E$1-_xlfn.FLOOR.MATH(E$1*(180-MIN(180,$A151))/180))*E$2</f>
        <v>70700</v>
      </c>
      <c r="F151" s="1">
        <f t="shared" si="154"/>
        <v>105000</v>
      </c>
      <c r="G151" s="1">
        <f t="shared" si="154"/>
        <v>22000</v>
      </c>
      <c r="H151" s="1">
        <f t="shared" si="154"/>
        <v>701031.8438</v>
      </c>
      <c r="I151" s="1">
        <f t="shared" si="154"/>
        <v>3822</v>
      </c>
      <c r="J151" s="1">
        <f t="shared" si="154"/>
        <v>41650</v>
      </c>
      <c r="K151" s="1">
        <f t="shared" si="154"/>
        <v>14760.70996</v>
      </c>
      <c r="L151" s="1">
        <f t="shared" si="6"/>
        <v>958964.5537</v>
      </c>
      <c r="M151" s="11">
        <f t="shared" si="9"/>
        <v>6523.568393</v>
      </c>
      <c r="N151" s="11">
        <f t="shared" si="7"/>
        <v>-229.6480155</v>
      </c>
    </row>
    <row r="152">
      <c r="A152" s="5">
        <v>148.0</v>
      </c>
      <c r="B152" s="8">
        <f t="shared" si="2"/>
        <v>0.3522186154</v>
      </c>
      <c r="C152" s="1">
        <f t="shared" si="3"/>
        <v>2817.748923</v>
      </c>
      <c r="D152" s="1">
        <f t="shared" si="4"/>
        <v>6270.590367</v>
      </c>
      <c r="E152" s="1">
        <f t="shared" ref="E152:K152" si="155">(E$1-_xlfn.FLOOR.MATH(E$1*(180-MIN(180,$A152))/180))*E$2</f>
        <v>70700</v>
      </c>
      <c r="F152" s="1">
        <f t="shared" si="155"/>
        <v>105000</v>
      </c>
      <c r="G152" s="1">
        <f t="shared" si="155"/>
        <v>22000</v>
      </c>
      <c r="H152" s="1">
        <f t="shared" si="155"/>
        <v>701031.8438</v>
      </c>
      <c r="I152" s="1">
        <f t="shared" si="155"/>
        <v>3861</v>
      </c>
      <c r="J152" s="1">
        <f t="shared" si="155"/>
        <v>41990</v>
      </c>
      <c r="K152" s="1">
        <f t="shared" si="155"/>
        <v>14760.70996</v>
      </c>
      <c r="L152" s="1">
        <f t="shared" si="6"/>
        <v>959343.5537</v>
      </c>
      <c r="M152" s="11">
        <f t="shared" si="9"/>
        <v>6482.051039</v>
      </c>
      <c r="N152" s="11">
        <f t="shared" si="7"/>
        <v>-211.4606713</v>
      </c>
    </row>
    <row r="153">
      <c r="A153" s="5">
        <v>149.0</v>
      </c>
      <c r="B153" s="8">
        <f t="shared" si="2"/>
        <v>0.3507316861</v>
      </c>
      <c r="C153" s="1">
        <f t="shared" si="3"/>
        <v>2805.853489</v>
      </c>
      <c r="D153" s="1">
        <f t="shared" si="4"/>
        <v>6247.492121</v>
      </c>
      <c r="E153" s="1">
        <f t="shared" ref="E153:K153" si="156">(E$1-_xlfn.FLOOR.MATH(E$1*(180-MIN(180,$A153))/180))*E$2</f>
        <v>70700</v>
      </c>
      <c r="F153" s="1">
        <f t="shared" si="156"/>
        <v>105000</v>
      </c>
      <c r="G153" s="1">
        <f t="shared" si="156"/>
        <v>22000</v>
      </c>
      <c r="H153" s="1">
        <f t="shared" si="156"/>
        <v>701031.8438</v>
      </c>
      <c r="I153" s="1">
        <f t="shared" si="156"/>
        <v>3900</v>
      </c>
      <c r="J153" s="1">
        <f t="shared" si="156"/>
        <v>42330</v>
      </c>
      <c r="K153" s="1">
        <f t="shared" si="156"/>
        <v>14760.70996</v>
      </c>
      <c r="L153" s="1">
        <f t="shared" si="6"/>
        <v>959722.5537</v>
      </c>
      <c r="M153" s="11">
        <f t="shared" si="9"/>
        <v>6441.090965</v>
      </c>
      <c r="N153" s="11">
        <f t="shared" si="7"/>
        <v>-193.5988431</v>
      </c>
    </row>
    <row r="154">
      <c r="A154" s="5">
        <v>150.0</v>
      </c>
      <c r="B154" s="8">
        <f t="shared" si="2"/>
        <v>0.3493412949</v>
      </c>
      <c r="C154" s="1">
        <f t="shared" si="3"/>
        <v>2794.730359</v>
      </c>
      <c r="D154" s="1">
        <f t="shared" si="4"/>
        <v>6224.626149</v>
      </c>
      <c r="E154" s="1">
        <f t="shared" ref="E154:K154" si="157">(E$1-_xlfn.FLOOR.MATH(E$1*(180-MIN(180,$A154))/180))*E$2</f>
        <v>70700</v>
      </c>
      <c r="F154" s="1">
        <f t="shared" si="157"/>
        <v>105000</v>
      </c>
      <c r="G154" s="1">
        <f t="shared" si="157"/>
        <v>22000</v>
      </c>
      <c r="H154" s="1">
        <f t="shared" si="157"/>
        <v>701031.8438</v>
      </c>
      <c r="I154" s="1">
        <f t="shared" si="157"/>
        <v>3900</v>
      </c>
      <c r="J154" s="1">
        <f t="shared" si="157"/>
        <v>42500</v>
      </c>
      <c r="K154" s="1">
        <f t="shared" si="157"/>
        <v>14760.70996</v>
      </c>
      <c r="L154" s="1">
        <f t="shared" si="6"/>
        <v>959892.5537</v>
      </c>
      <c r="M154" s="11">
        <f t="shared" si="9"/>
        <v>6399.283691</v>
      </c>
      <c r="N154" s="11">
        <f t="shared" si="7"/>
        <v>-174.6575419</v>
      </c>
    </row>
    <row r="155">
      <c r="A155" s="5">
        <v>151.0</v>
      </c>
      <c r="B155" s="8">
        <f t="shared" si="2"/>
        <v>0.3480415606</v>
      </c>
      <c r="C155" s="1">
        <f t="shared" si="3"/>
        <v>2784.332485</v>
      </c>
      <c r="D155" s="1">
        <f t="shared" si="4"/>
        <v>6201.992639</v>
      </c>
      <c r="E155" s="1">
        <f t="shared" ref="E155:K155" si="158">(E$1-_xlfn.FLOOR.MATH(E$1*(180-MIN(180,$A155))/180))*E$2</f>
        <v>70700</v>
      </c>
      <c r="F155" s="1">
        <f t="shared" si="158"/>
        <v>115500</v>
      </c>
      <c r="G155" s="1">
        <f t="shared" si="158"/>
        <v>26400</v>
      </c>
      <c r="H155" s="1">
        <f t="shared" si="158"/>
        <v>701031.8438</v>
      </c>
      <c r="I155" s="1">
        <f t="shared" si="158"/>
        <v>3939</v>
      </c>
      <c r="J155" s="1">
        <f t="shared" si="158"/>
        <v>42840</v>
      </c>
      <c r="K155" s="1">
        <f t="shared" si="158"/>
        <v>14760.70996</v>
      </c>
      <c r="L155" s="1">
        <f t="shared" si="6"/>
        <v>975171.5537</v>
      </c>
      <c r="M155" s="11">
        <f t="shared" si="9"/>
        <v>6458.08976</v>
      </c>
      <c r="N155" s="11">
        <f t="shared" si="7"/>
        <v>-256.0971211</v>
      </c>
    </row>
    <row r="156">
      <c r="A156" s="5">
        <v>152.0</v>
      </c>
      <c r="B156" s="8">
        <f t="shared" si="2"/>
        <v>0.3468269095</v>
      </c>
      <c r="C156" s="1">
        <f t="shared" si="3"/>
        <v>2774.615276</v>
      </c>
      <c r="D156" s="1">
        <f t="shared" si="4"/>
        <v>6179.591479</v>
      </c>
      <c r="E156" s="1">
        <f t="shared" ref="E156:K156" si="159">(E$1-_xlfn.FLOOR.MATH(E$1*(180-MIN(180,$A156))/180))*E$2</f>
        <v>70700</v>
      </c>
      <c r="F156" s="1">
        <f t="shared" si="159"/>
        <v>115500</v>
      </c>
      <c r="G156" s="1">
        <f t="shared" si="159"/>
        <v>26400</v>
      </c>
      <c r="H156" s="1">
        <f t="shared" si="159"/>
        <v>701031.8438</v>
      </c>
      <c r="I156" s="1">
        <f t="shared" si="159"/>
        <v>3978</v>
      </c>
      <c r="J156" s="1">
        <f t="shared" si="159"/>
        <v>43180</v>
      </c>
      <c r="K156" s="1">
        <f t="shared" si="159"/>
        <v>14760.70996</v>
      </c>
      <c r="L156" s="1">
        <f t="shared" si="6"/>
        <v>975550.5537</v>
      </c>
      <c r="M156" s="11">
        <f t="shared" si="9"/>
        <v>6418.095748</v>
      </c>
      <c r="N156" s="11">
        <f t="shared" si="7"/>
        <v>-238.5042688</v>
      </c>
    </row>
    <row r="157">
      <c r="A157" s="5">
        <v>153.0</v>
      </c>
      <c r="B157" s="8">
        <f t="shared" si="2"/>
        <v>0.3456920668</v>
      </c>
      <c r="C157" s="1">
        <f t="shared" si="3"/>
        <v>2765.536535</v>
      </c>
      <c r="D157" s="1">
        <f t="shared" si="4"/>
        <v>6157.422291</v>
      </c>
      <c r="E157" s="1">
        <f t="shared" ref="E157:K157" si="160">(E$1-_xlfn.FLOOR.MATH(E$1*(180-MIN(180,$A157))/180))*E$2</f>
        <v>70700</v>
      </c>
      <c r="F157" s="1">
        <f t="shared" si="160"/>
        <v>115500</v>
      </c>
      <c r="G157" s="1">
        <f t="shared" si="160"/>
        <v>26400</v>
      </c>
      <c r="H157" s="1">
        <f t="shared" si="160"/>
        <v>701031.8438</v>
      </c>
      <c r="I157" s="1">
        <f t="shared" si="160"/>
        <v>3978</v>
      </c>
      <c r="J157" s="1">
        <f t="shared" si="160"/>
        <v>43350</v>
      </c>
      <c r="K157" s="1">
        <f t="shared" si="160"/>
        <v>14760.70996</v>
      </c>
      <c r="L157" s="1">
        <f t="shared" si="6"/>
        <v>975720.5537</v>
      </c>
      <c r="M157" s="11">
        <f t="shared" si="9"/>
        <v>6377.258521</v>
      </c>
      <c r="N157" s="11">
        <f t="shared" si="7"/>
        <v>-219.8362296</v>
      </c>
    </row>
    <row r="158">
      <c r="A158" s="5">
        <v>154.0</v>
      </c>
      <c r="B158" s="8">
        <f t="shared" si="2"/>
        <v>0.3446320458</v>
      </c>
      <c r="C158" s="1">
        <f t="shared" si="3"/>
        <v>2757.056366</v>
      </c>
      <c r="D158" s="1">
        <f t="shared" si="4"/>
        <v>6135.484447</v>
      </c>
      <c r="E158" s="1">
        <f t="shared" ref="E158:K158" si="161">(E$1-_xlfn.FLOOR.MATH(E$1*(180-MIN(180,$A158))/180))*E$2</f>
        <v>70700</v>
      </c>
      <c r="F158" s="1">
        <f t="shared" si="161"/>
        <v>115500</v>
      </c>
      <c r="G158" s="1">
        <f t="shared" si="161"/>
        <v>26400</v>
      </c>
      <c r="H158" s="1">
        <f t="shared" si="161"/>
        <v>701031.8438</v>
      </c>
      <c r="I158" s="1">
        <f t="shared" si="161"/>
        <v>4017</v>
      </c>
      <c r="J158" s="1">
        <f t="shared" si="161"/>
        <v>43690</v>
      </c>
      <c r="K158" s="1">
        <f t="shared" si="161"/>
        <v>14760.70996</v>
      </c>
      <c r="L158" s="1">
        <f t="shared" si="6"/>
        <v>976099.5537</v>
      </c>
      <c r="M158" s="11">
        <f t="shared" si="9"/>
        <v>6338.30879</v>
      </c>
      <c r="N158" s="11">
        <f t="shared" si="7"/>
        <v>-202.8243437</v>
      </c>
    </row>
    <row r="159">
      <c r="A159" s="5">
        <v>155.0</v>
      </c>
      <c r="B159" s="8">
        <f t="shared" si="2"/>
        <v>0.3436421377</v>
      </c>
      <c r="C159" s="1">
        <f t="shared" si="3"/>
        <v>2749.137101</v>
      </c>
      <c r="D159" s="1">
        <f t="shared" si="4"/>
        <v>6113.777092</v>
      </c>
      <c r="E159" s="1">
        <f t="shared" ref="E159:K159" si="162">(E$1-_xlfn.FLOOR.MATH(E$1*(180-MIN(180,$A159))/180))*E$2</f>
        <v>70700</v>
      </c>
      <c r="F159" s="1">
        <f t="shared" si="162"/>
        <v>115500</v>
      </c>
      <c r="G159" s="1">
        <f t="shared" si="162"/>
        <v>26400</v>
      </c>
      <c r="H159" s="1">
        <f t="shared" si="162"/>
        <v>701031.8438</v>
      </c>
      <c r="I159" s="1">
        <f t="shared" si="162"/>
        <v>4056</v>
      </c>
      <c r="J159" s="1">
        <f t="shared" si="162"/>
        <v>44030</v>
      </c>
      <c r="K159" s="1">
        <f t="shared" si="162"/>
        <v>14760.70996</v>
      </c>
      <c r="L159" s="1">
        <f t="shared" si="6"/>
        <v>976478.5537</v>
      </c>
      <c r="M159" s="11">
        <f t="shared" si="9"/>
        <v>6299.861637</v>
      </c>
      <c r="N159" s="11">
        <f t="shared" si="7"/>
        <v>-186.0845449</v>
      </c>
    </row>
    <row r="160">
      <c r="A160" s="5">
        <v>156.0</v>
      </c>
      <c r="B160" s="8">
        <f t="shared" si="2"/>
        <v>0.3427179007</v>
      </c>
      <c r="C160" s="1">
        <f t="shared" si="3"/>
        <v>2741.743205</v>
      </c>
      <c r="D160" s="1">
        <f t="shared" si="4"/>
        <v>6092.299169</v>
      </c>
      <c r="E160" s="1">
        <f t="shared" ref="E160:K160" si="163">(E$1-_xlfn.FLOOR.MATH(E$1*(180-MIN(180,$A160))/180))*E$2</f>
        <v>70700</v>
      </c>
      <c r="F160" s="1">
        <f t="shared" si="163"/>
        <v>115500</v>
      </c>
      <c r="G160" s="1">
        <f t="shared" si="163"/>
        <v>26400</v>
      </c>
      <c r="H160" s="1">
        <f t="shared" si="163"/>
        <v>701031.8438</v>
      </c>
      <c r="I160" s="1">
        <f t="shared" si="163"/>
        <v>4056</v>
      </c>
      <c r="J160" s="1">
        <f t="shared" si="163"/>
        <v>44200</v>
      </c>
      <c r="K160" s="1">
        <f t="shared" si="163"/>
        <v>14760.70996</v>
      </c>
      <c r="L160" s="1">
        <f t="shared" si="6"/>
        <v>976648.5537</v>
      </c>
      <c r="M160" s="11">
        <f t="shared" si="9"/>
        <v>6260.567652</v>
      </c>
      <c r="N160" s="11">
        <f t="shared" si="7"/>
        <v>-168.2684829</v>
      </c>
    </row>
    <row r="161">
      <c r="A161" s="5">
        <v>157.0</v>
      </c>
      <c r="B161" s="8">
        <f t="shared" si="2"/>
        <v>0.3418551485</v>
      </c>
      <c r="C161" s="1">
        <f t="shared" si="3"/>
        <v>2734.841188</v>
      </c>
      <c r="D161" s="1">
        <f t="shared" si="4"/>
        <v>6071.049435</v>
      </c>
      <c r="E161" s="1">
        <f t="shared" ref="E161:K161" si="164">(E$1-_xlfn.FLOOR.MATH(E$1*(180-MIN(180,$A161))/180))*E$2</f>
        <v>70700</v>
      </c>
      <c r="F161" s="1">
        <f t="shared" si="164"/>
        <v>115500</v>
      </c>
      <c r="G161" s="1">
        <f t="shared" si="164"/>
        <v>26400</v>
      </c>
      <c r="H161" s="1">
        <f t="shared" si="164"/>
        <v>701031.8438</v>
      </c>
      <c r="I161" s="1">
        <f t="shared" si="164"/>
        <v>4095</v>
      </c>
      <c r="J161" s="1">
        <f t="shared" si="164"/>
        <v>44540</v>
      </c>
      <c r="K161" s="1">
        <f t="shared" si="164"/>
        <v>14760.70996</v>
      </c>
      <c r="L161" s="1">
        <f t="shared" si="6"/>
        <v>977027.5537</v>
      </c>
      <c r="M161" s="11">
        <f t="shared" si="9"/>
        <v>6223.105438</v>
      </c>
      <c r="N161" s="11">
        <f t="shared" si="7"/>
        <v>-152.0560026</v>
      </c>
    </row>
    <row r="162">
      <c r="A162" s="5">
        <v>158.0</v>
      </c>
      <c r="B162" s="8">
        <f t="shared" si="2"/>
        <v>0.3410499395</v>
      </c>
      <c r="C162" s="1">
        <f t="shared" si="3"/>
        <v>2728.399516</v>
      </c>
      <c r="D162" s="1">
        <f t="shared" si="4"/>
        <v>6050.02648</v>
      </c>
      <c r="E162" s="1">
        <f t="shared" ref="E162:K162" si="165">(E$1-_xlfn.FLOOR.MATH(E$1*(180-MIN(180,$A162))/180))*E$2</f>
        <v>80800</v>
      </c>
      <c r="F162" s="1">
        <f t="shared" si="165"/>
        <v>115500</v>
      </c>
      <c r="G162" s="1">
        <f t="shared" si="165"/>
        <v>26400</v>
      </c>
      <c r="H162" s="1">
        <f t="shared" si="165"/>
        <v>801179.25</v>
      </c>
      <c r="I162" s="1">
        <f t="shared" si="165"/>
        <v>4134</v>
      </c>
      <c r="J162" s="1">
        <f t="shared" si="165"/>
        <v>44880</v>
      </c>
      <c r="K162" s="1">
        <f t="shared" si="165"/>
        <v>14760.70996</v>
      </c>
      <c r="L162" s="1">
        <f t="shared" si="6"/>
        <v>1087653.96</v>
      </c>
      <c r="M162" s="11">
        <f t="shared" si="9"/>
        <v>6883.885823</v>
      </c>
      <c r="N162" s="11">
        <f t="shared" si="7"/>
        <v>-833.859343</v>
      </c>
    </row>
    <row r="163">
      <c r="A163" s="5">
        <v>159.0</v>
      </c>
      <c r="B163" s="8">
        <f t="shared" si="2"/>
        <v>0.340298565</v>
      </c>
      <c r="C163" s="1">
        <f t="shared" si="3"/>
        <v>2722.38852</v>
      </c>
      <c r="D163" s="1">
        <f t="shared" si="4"/>
        <v>6029.228742</v>
      </c>
      <c r="E163" s="1">
        <f t="shared" ref="E163:K163" si="166">(E$1-_xlfn.FLOOR.MATH(E$1*(180-MIN(180,$A163))/180))*E$2</f>
        <v>80800</v>
      </c>
      <c r="F163" s="1">
        <f t="shared" si="166"/>
        <v>115500</v>
      </c>
      <c r="G163" s="1">
        <f t="shared" si="166"/>
        <v>26400</v>
      </c>
      <c r="H163" s="1">
        <f t="shared" si="166"/>
        <v>801179.25</v>
      </c>
      <c r="I163" s="1">
        <f t="shared" si="166"/>
        <v>4134</v>
      </c>
      <c r="J163" s="1">
        <f t="shared" si="166"/>
        <v>45050</v>
      </c>
      <c r="K163" s="1">
        <f t="shared" si="166"/>
        <v>14760.70996</v>
      </c>
      <c r="L163" s="1">
        <f t="shared" si="6"/>
        <v>1087823.96</v>
      </c>
      <c r="M163" s="11">
        <f t="shared" si="9"/>
        <v>6841.660126</v>
      </c>
      <c r="N163" s="11">
        <f t="shared" si="7"/>
        <v>-812.4313833</v>
      </c>
    </row>
    <row r="164">
      <c r="A164" s="5">
        <v>160.0</v>
      </c>
      <c r="B164" s="8">
        <f t="shared" si="2"/>
        <v>0.3395975383</v>
      </c>
      <c r="C164" s="1">
        <f t="shared" si="3"/>
        <v>2716.780306</v>
      </c>
      <c r="D164" s="1">
        <f t="shared" si="4"/>
        <v>6008.654528</v>
      </c>
      <c r="E164" s="1">
        <f t="shared" ref="E164:K164" si="167">(E$1-_xlfn.FLOOR.MATH(E$1*(180-MIN(180,$A164))/180))*E$2</f>
        <v>80800</v>
      </c>
      <c r="F164" s="1">
        <f t="shared" si="167"/>
        <v>115500</v>
      </c>
      <c r="G164" s="1">
        <f t="shared" si="167"/>
        <v>26400</v>
      </c>
      <c r="H164" s="1">
        <f t="shared" si="167"/>
        <v>801179.25</v>
      </c>
      <c r="I164" s="1">
        <f t="shared" si="167"/>
        <v>4173</v>
      </c>
      <c r="J164" s="1">
        <f t="shared" si="167"/>
        <v>45390</v>
      </c>
      <c r="K164" s="1">
        <f t="shared" si="167"/>
        <v>14760.70996</v>
      </c>
      <c r="L164" s="1">
        <f t="shared" si="6"/>
        <v>1088202.96</v>
      </c>
      <c r="M164" s="11">
        <f t="shared" si="9"/>
        <v>6801.2685</v>
      </c>
      <c r="N164" s="11">
        <f t="shared" si="7"/>
        <v>-792.6139714</v>
      </c>
    </row>
    <row r="165">
      <c r="A165" s="5">
        <v>161.0</v>
      </c>
      <c r="B165" s="8">
        <f t="shared" si="2"/>
        <v>0.3389435838</v>
      </c>
      <c r="C165" s="1">
        <f t="shared" si="3"/>
        <v>2711.548671</v>
      </c>
      <c r="D165" s="1">
        <f t="shared" si="4"/>
        <v>5988.302023</v>
      </c>
      <c r="E165" s="1">
        <f t="shared" ref="E165:K165" si="168">(E$1-_xlfn.FLOOR.MATH(E$1*(180-MIN(180,$A165))/180))*E$2</f>
        <v>80800</v>
      </c>
      <c r="F165" s="1">
        <f t="shared" si="168"/>
        <v>115500</v>
      </c>
      <c r="G165" s="1">
        <f t="shared" si="168"/>
        <v>26400</v>
      </c>
      <c r="H165" s="1">
        <f t="shared" si="168"/>
        <v>801179.25</v>
      </c>
      <c r="I165" s="1">
        <f t="shared" si="168"/>
        <v>4212</v>
      </c>
      <c r="J165" s="1">
        <f t="shared" si="168"/>
        <v>45730</v>
      </c>
      <c r="K165" s="1">
        <f t="shared" si="168"/>
        <v>14760.70996</v>
      </c>
      <c r="L165" s="1">
        <f t="shared" si="6"/>
        <v>1088581.96</v>
      </c>
      <c r="M165" s="11">
        <f t="shared" si="9"/>
        <v>6761.378633</v>
      </c>
      <c r="N165" s="11">
        <f t="shared" si="7"/>
        <v>-773.0766102</v>
      </c>
    </row>
    <row r="166">
      <c r="A166" s="5">
        <v>162.0</v>
      </c>
      <c r="B166" s="8">
        <f t="shared" si="2"/>
        <v>0.3383336261</v>
      </c>
      <c r="C166" s="1">
        <f t="shared" si="3"/>
        <v>2706.669008</v>
      </c>
      <c r="D166" s="1">
        <f t="shared" si="4"/>
        <v>5968.169305</v>
      </c>
      <c r="E166" s="1">
        <f t="shared" ref="E166:K166" si="169">(E$1-_xlfn.FLOOR.MATH(E$1*(180-MIN(180,$A166))/180))*E$2</f>
        <v>80800</v>
      </c>
      <c r="F166" s="1">
        <f t="shared" si="169"/>
        <v>115500</v>
      </c>
      <c r="G166" s="1">
        <f t="shared" si="169"/>
        <v>26400</v>
      </c>
      <c r="H166" s="1">
        <f t="shared" si="169"/>
        <v>801179.25</v>
      </c>
      <c r="I166" s="1">
        <f t="shared" si="169"/>
        <v>4212</v>
      </c>
      <c r="J166" s="1">
        <f t="shared" si="169"/>
        <v>45900</v>
      </c>
      <c r="K166" s="1">
        <f t="shared" si="169"/>
        <v>14760.70996</v>
      </c>
      <c r="L166" s="1">
        <f t="shared" si="6"/>
        <v>1088751.96</v>
      </c>
      <c r="M166" s="11">
        <f t="shared" si="9"/>
        <v>6720.691111</v>
      </c>
      <c r="N166" s="11">
        <f t="shared" si="7"/>
        <v>-752.5218056</v>
      </c>
    </row>
    <row r="167">
      <c r="A167" s="5">
        <v>163.0</v>
      </c>
      <c r="B167" s="8">
        <f t="shared" si="2"/>
        <v>0.3377647791</v>
      </c>
      <c r="C167" s="1">
        <f t="shared" si="3"/>
        <v>2702.118233</v>
      </c>
      <c r="D167" s="1">
        <f t="shared" si="4"/>
        <v>5948.25436</v>
      </c>
      <c r="E167" s="1">
        <f t="shared" ref="E167:K167" si="170">(E$1-_xlfn.FLOOR.MATH(E$1*(180-MIN(180,$A167))/180))*E$2</f>
        <v>80800</v>
      </c>
      <c r="F167" s="1">
        <f t="shared" si="170"/>
        <v>115500</v>
      </c>
      <c r="G167" s="1">
        <f t="shared" si="170"/>
        <v>26400</v>
      </c>
      <c r="H167" s="1">
        <f t="shared" si="170"/>
        <v>801179.25</v>
      </c>
      <c r="I167" s="1">
        <f t="shared" si="170"/>
        <v>4251</v>
      </c>
      <c r="J167" s="1">
        <f t="shared" si="170"/>
        <v>46240</v>
      </c>
      <c r="K167" s="1">
        <f t="shared" si="170"/>
        <v>14760.70996</v>
      </c>
      <c r="L167" s="1">
        <f t="shared" si="6"/>
        <v>1089130.96</v>
      </c>
      <c r="M167" s="11">
        <f t="shared" si="9"/>
        <v>6681.78503</v>
      </c>
      <c r="N167" s="11">
        <f t="shared" si="7"/>
        <v>-733.5306708</v>
      </c>
    </row>
    <row r="168">
      <c r="A168" s="5">
        <v>164.0</v>
      </c>
      <c r="B168" s="8">
        <f t="shared" si="2"/>
        <v>0.3372343367</v>
      </c>
      <c r="C168" s="1">
        <f t="shared" si="3"/>
        <v>2697.874694</v>
      </c>
      <c r="D168" s="1">
        <f t="shared" si="4"/>
        <v>5928.555089</v>
      </c>
      <c r="E168" s="1">
        <f t="shared" ref="E168:K168" si="171">(E$1-_xlfn.FLOOR.MATH(E$1*(180-MIN(180,$A168))/180))*E$2</f>
        <v>80800</v>
      </c>
      <c r="F168" s="1">
        <f t="shared" si="171"/>
        <v>115500</v>
      </c>
      <c r="G168" s="1">
        <f t="shared" si="171"/>
        <v>26400</v>
      </c>
      <c r="H168" s="1">
        <f t="shared" si="171"/>
        <v>801179.25</v>
      </c>
      <c r="I168" s="1">
        <f t="shared" si="171"/>
        <v>4290</v>
      </c>
      <c r="J168" s="1">
        <f t="shared" si="171"/>
        <v>46580</v>
      </c>
      <c r="K168" s="1">
        <f t="shared" si="171"/>
        <v>14760.70996</v>
      </c>
      <c r="L168" s="1">
        <f t="shared" si="6"/>
        <v>1089509.96</v>
      </c>
      <c r="M168" s="11">
        <f t="shared" si="9"/>
        <v>6643.353414</v>
      </c>
      <c r="N168" s="11">
        <f t="shared" si="7"/>
        <v>-714.7983254</v>
      </c>
    </row>
    <row r="169">
      <c r="A169" s="5">
        <v>165.0</v>
      </c>
      <c r="B169" s="8">
        <f t="shared" si="2"/>
        <v>0.3367397621</v>
      </c>
      <c r="C169" s="1">
        <f t="shared" si="3"/>
        <v>2693.918097</v>
      </c>
      <c r="D169" s="1">
        <f t="shared" si="4"/>
        <v>5909.069324</v>
      </c>
      <c r="E169" s="1">
        <f t="shared" ref="E169:K169" si="172">(E$1-_xlfn.FLOOR.MATH(E$1*(180-MIN(180,$A169))/180))*E$2</f>
        <v>80800</v>
      </c>
      <c r="F169" s="1">
        <f t="shared" si="172"/>
        <v>115500</v>
      </c>
      <c r="G169" s="1">
        <f t="shared" si="172"/>
        <v>26400</v>
      </c>
      <c r="H169" s="1">
        <f t="shared" si="172"/>
        <v>801179.25</v>
      </c>
      <c r="I169" s="1">
        <f t="shared" si="172"/>
        <v>4290</v>
      </c>
      <c r="J169" s="1">
        <f t="shared" si="172"/>
        <v>46750</v>
      </c>
      <c r="K169" s="1">
        <f t="shared" si="172"/>
        <v>14760.70996</v>
      </c>
      <c r="L169" s="1">
        <f t="shared" si="6"/>
        <v>1089679.96</v>
      </c>
      <c r="M169" s="11">
        <f t="shared" si="9"/>
        <v>6604.120969</v>
      </c>
      <c r="N169" s="11">
        <f t="shared" si="7"/>
        <v>-695.0516455</v>
      </c>
    </row>
    <row r="170">
      <c r="A170" s="5">
        <v>166.0</v>
      </c>
      <c r="B170" s="8">
        <f t="shared" si="2"/>
        <v>0.3362786787</v>
      </c>
      <c r="C170" s="1">
        <f t="shared" si="3"/>
        <v>2690.22943</v>
      </c>
      <c r="D170" s="1">
        <f t="shared" si="4"/>
        <v>5889.794834</v>
      </c>
      <c r="E170" s="1">
        <f t="shared" ref="E170:K170" si="173">(E$1-_xlfn.FLOOR.MATH(E$1*(180-MIN(180,$A170))/180))*E$2</f>
        <v>80800</v>
      </c>
      <c r="F170" s="1">
        <f t="shared" si="173"/>
        <v>126000</v>
      </c>
      <c r="G170" s="1">
        <f t="shared" si="173"/>
        <v>26400</v>
      </c>
      <c r="H170" s="1">
        <f t="shared" si="173"/>
        <v>801179.25</v>
      </c>
      <c r="I170" s="1">
        <f t="shared" si="173"/>
        <v>4329</v>
      </c>
      <c r="J170" s="1">
        <f t="shared" si="173"/>
        <v>47090</v>
      </c>
      <c r="K170" s="1">
        <f t="shared" si="173"/>
        <v>14760.70996</v>
      </c>
      <c r="L170" s="1">
        <f t="shared" si="6"/>
        <v>1100558.96</v>
      </c>
      <c r="M170" s="11">
        <f t="shared" si="9"/>
        <v>6629.873253</v>
      </c>
      <c r="N170" s="11">
        <f t="shared" si="7"/>
        <v>-740.0784192</v>
      </c>
    </row>
    <row r="171">
      <c r="A171" s="5">
        <v>167.0</v>
      </c>
      <c r="B171" s="8">
        <f t="shared" si="2"/>
        <v>0.335848861</v>
      </c>
      <c r="C171" s="1">
        <f t="shared" si="3"/>
        <v>2686.790888</v>
      </c>
      <c r="D171" s="1">
        <f t="shared" si="4"/>
        <v>5870.729334</v>
      </c>
      <c r="E171" s="1">
        <f t="shared" ref="E171:K171" si="174">(E$1-_xlfn.FLOOR.MATH(E$1*(180-MIN(180,$A171))/180))*E$2</f>
        <v>80800</v>
      </c>
      <c r="F171" s="1">
        <f t="shared" si="174"/>
        <v>126000</v>
      </c>
      <c r="G171" s="1">
        <f t="shared" si="174"/>
        <v>26400</v>
      </c>
      <c r="H171" s="1">
        <f t="shared" si="174"/>
        <v>801179.25</v>
      </c>
      <c r="I171" s="1">
        <f t="shared" si="174"/>
        <v>4368</v>
      </c>
      <c r="J171" s="1">
        <f t="shared" si="174"/>
        <v>47430</v>
      </c>
      <c r="K171" s="1">
        <f t="shared" si="174"/>
        <v>14760.70996</v>
      </c>
      <c r="L171" s="1">
        <f t="shared" si="6"/>
        <v>1100937.96</v>
      </c>
      <c r="M171" s="11">
        <f t="shared" si="9"/>
        <v>6592.442874</v>
      </c>
      <c r="N171" s="11">
        <f t="shared" si="7"/>
        <v>-721.7135401</v>
      </c>
    </row>
    <row r="172">
      <c r="A172" s="5">
        <v>168.0</v>
      </c>
      <c r="B172" s="8">
        <f t="shared" si="2"/>
        <v>0.3354482257</v>
      </c>
      <c r="C172" s="1">
        <f t="shared" si="3"/>
        <v>2683.585805</v>
      </c>
      <c r="D172" s="1">
        <f t="shared" si="4"/>
        <v>5851.870496</v>
      </c>
      <c r="E172" s="1">
        <f t="shared" ref="E172:K172" si="175">(E$1-_xlfn.FLOOR.MATH(E$1*(180-MIN(180,$A172))/180))*E$2</f>
        <v>80800</v>
      </c>
      <c r="F172" s="1">
        <f t="shared" si="175"/>
        <v>126000</v>
      </c>
      <c r="G172" s="1">
        <f t="shared" si="175"/>
        <v>26400</v>
      </c>
      <c r="H172" s="1">
        <f t="shared" si="175"/>
        <v>801179.25</v>
      </c>
      <c r="I172" s="1">
        <f t="shared" si="175"/>
        <v>4368</v>
      </c>
      <c r="J172" s="1">
        <f t="shared" si="175"/>
        <v>47600</v>
      </c>
      <c r="K172" s="1">
        <f t="shared" si="175"/>
        <v>14760.70996</v>
      </c>
      <c r="L172" s="1">
        <f t="shared" si="6"/>
        <v>1101107.96</v>
      </c>
      <c r="M172" s="11">
        <f t="shared" si="9"/>
        <v>6554.214047</v>
      </c>
      <c r="N172" s="11">
        <f t="shared" si="7"/>
        <v>-702.3435509</v>
      </c>
    </row>
    <row r="173">
      <c r="A173" s="5">
        <v>169.0</v>
      </c>
      <c r="B173" s="8">
        <f t="shared" si="2"/>
        <v>0.3350748234</v>
      </c>
      <c r="C173" s="1">
        <f t="shared" si="3"/>
        <v>2680.598587</v>
      </c>
      <c r="D173" s="1">
        <f t="shared" si="4"/>
        <v>5833.215956</v>
      </c>
      <c r="E173" s="1">
        <f t="shared" ref="E173:K173" si="176">(E$1-_xlfn.FLOOR.MATH(E$1*(180-MIN(180,$A173))/180))*E$2</f>
        <v>80800</v>
      </c>
      <c r="F173" s="1">
        <f t="shared" si="176"/>
        <v>126000</v>
      </c>
      <c r="G173" s="1">
        <f t="shared" si="176"/>
        <v>26400</v>
      </c>
      <c r="H173" s="1">
        <f t="shared" si="176"/>
        <v>801179.25</v>
      </c>
      <c r="I173" s="1">
        <f t="shared" si="176"/>
        <v>4407</v>
      </c>
      <c r="J173" s="1">
        <f t="shared" si="176"/>
        <v>47940</v>
      </c>
      <c r="K173" s="1">
        <f t="shared" si="176"/>
        <v>14760.70996</v>
      </c>
      <c r="L173" s="1">
        <f t="shared" si="6"/>
        <v>1101486.96</v>
      </c>
      <c r="M173" s="11">
        <f t="shared" si="9"/>
        <v>6517.674319</v>
      </c>
      <c r="N173" s="11">
        <f t="shared" si="7"/>
        <v>-684.4583635</v>
      </c>
    </row>
    <row r="174">
      <c r="A174" s="5">
        <v>170.0</v>
      </c>
      <c r="B174" s="8">
        <f t="shared" si="2"/>
        <v>0.3347268307</v>
      </c>
      <c r="C174" s="1">
        <f t="shared" si="3"/>
        <v>2677.814646</v>
      </c>
      <c r="D174" s="1">
        <f t="shared" si="4"/>
        <v>5814.763317</v>
      </c>
      <c r="E174" s="1">
        <f t="shared" ref="E174:K174" si="177">(E$1-_xlfn.FLOOR.MATH(E$1*(180-MIN(180,$A174))/180))*E$2</f>
        <v>80800</v>
      </c>
      <c r="F174" s="1">
        <f t="shared" si="177"/>
        <v>126000</v>
      </c>
      <c r="G174" s="1">
        <f t="shared" si="177"/>
        <v>26400</v>
      </c>
      <c r="H174" s="1">
        <f t="shared" si="177"/>
        <v>801179.25</v>
      </c>
      <c r="I174" s="1">
        <f t="shared" si="177"/>
        <v>4446</v>
      </c>
      <c r="J174" s="1">
        <f t="shared" si="177"/>
        <v>48280</v>
      </c>
      <c r="K174" s="1">
        <f t="shared" si="177"/>
        <v>14760.70996</v>
      </c>
      <c r="L174" s="1">
        <f t="shared" si="6"/>
        <v>1101865.96</v>
      </c>
      <c r="M174" s="11">
        <f t="shared" si="9"/>
        <v>6481.56447</v>
      </c>
      <c r="N174" s="11">
        <f t="shared" si="7"/>
        <v>-666.8011538</v>
      </c>
    </row>
    <row r="175">
      <c r="A175" s="5">
        <v>171.0</v>
      </c>
      <c r="B175" s="8">
        <f t="shared" si="2"/>
        <v>0.3344025427</v>
      </c>
      <c r="C175" s="1">
        <f t="shared" si="3"/>
        <v>2675.220342</v>
      </c>
      <c r="D175" s="1">
        <f t="shared" si="4"/>
        <v>5796.51016</v>
      </c>
      <c r="E175" s="1">
        <f t="shared" ref="E175:K175" si="178">(E$1-_xlfn.FLOOR.MATH(E$1*(180-MIN(180,$A175))/180))*E$2</f>
        <v>80800</v>
      </c>
      <c r="F175" s="1">
        <f t="shared" si="178"/>
        <v>126000</v>
      </c>
      <c r="G175" s="1">
        <f t="shared" si="178"/>
        <v>26400</v>
      </c>
      <c r="H175" s="1">
        <f t="shared" si="178"/>
        <v>801179.25</v>
      </c>
      <c r="I175" s="1">
        <f t="shared" si="178"/>
        <v>4446</v>
      </c>
      <c r="J175" s="1">
        <f t="shared" si="178"/>
        <v>48450</v>
      </c>
      <c r="K175" s="1">
        <f t="shared" si="178"/>
        <v>14760.70996</v>
      </c>
      <c r="L175" s="1">
        <f t="shared" si="6"/>
        <v>1102035.96</v>
      </c>
      <c r="M175" s="11">
        <f t="shared" si="9"/>
        <v>6444.654737</v>
      </c>
      <c r="N175" s="11">
        <f t="shared" si="7"/>
        <v>-648.1445769</v>
      </c>
    </row>
    <row r="176">
      <c r="A176" s="5">
        <v>172.0</v>
      </c>
      <c r="B176" s="8">
        <f t="shared" si="2"/>
        <v>0.3341003657</v>
      </c>
      <c r="C176" s="1">
        <f t="shared" si="3"/>
        <v>2672.802925</v>
      </c>
      <c r="D176" s="1">
        <f t="shared" si="4"/>
        <v>5778.454049</v>
      </c>
      <c r="E176" s="1">
        <f t="shared" ref="E176:K176" si="179">(E$1-_xlfn.FLOOR.MATH(E$1*(180-MIN(180,$A176))/180))*E$2</f>
        <v>80800</v>
      </c>
      <c r="F176" s="1">
        <f t="shared" si="179"/>
        <v>126000</v>
      </c>
      <c r="G176" s="1">
        <f t="shared" si="179"/>
        <v>26400</v>
      </c>
      <c r="H176" s="1">
        <f t="shared" si="179"/>
        <v>801179.25</v>
      </c>
      <c r="I176" s="1">
        <f t="shared" si="179"/>
        <v>4485</v>
      </c>
      <c r="J176" s="1">
        <f t="shared" si="179"/>
        <v>48790</v>
      </c>
      <c r="K176" s="1">
        <f t="shared" si="179"/>
        <v>14760.70996</v>
      </c>
      <c r="L176" s="1">
        <f t="shared" si="6"/>
        <v>1102414.96</v>
      </c>
      <c r="M176" s="11">
        <f t="shared" si="9"/>
        <v>6409.389302</v>
      </c>
      <c r="N176" s="11">
        <f t="shared" si="7"/>
        <v>-630.9352536</v>
      </c>
    </row>
    <row r="177">
      <c r="A177" s="5">
        <v>173.0</v>
      </c>
      <c r="B177" s="8">
        <f t="shared" si="2"/>
        <v>0.3338188101</v>
      </c>
      <c r="C177" s="1">
        <f t="shared" si="3"/>
        <v>2670.550481</v>
      </c>
      <c r="D177" s="1">
        <f t="shared" si="4"/>
        <v>5760.592534</v>
      </c>
      <c r="E177" s="1">
        <f t="shared" ref="E177:K177" si="180">(E$1-_xlfn.FLOOR.MATH(E$1*(180-MIN(180,$A177))/180))*E$2</f>
        <v>80800</v>
      </c>
      <c r="F177" s="1">
        <f t="shared" si="180"/>
        <v>126000</v>
      </c>
      <c r="G177" s="1">
        <f t="shared" si="180"/>
        <v>26400</v>
      </c>
      <c r="H177" s="1">
        <f t="shared" si="180"/>
        <v>801179.25</v>
      </c>
      <c r="I177" s="1">
        <f t="shared" si="180"/>
        <v>4524</v>
      </c>
      <c r="J177" s="1">
        <f t="shared" si="180"/>
        <v>49130</v>
      </c>
      <c r="K177" s="1">
        <f t="shared" si="180"/>
        <v>14760.70996</v>
      </c>
      <c r="L177" s="1">
        <f t="shared" si="6"/>
        <v>1102793.96</v>
      </c>
      <c r="M177" s="11">
        <f t="shared" si="9"/>
        <v>6374.53156</v>
      </c>
      <c r="N177" s="11">
        <f t="shared" si="7"/>
        <v>-613.9390267</v>
      </c>
    </row>
    <row r="178">
      <c r="A178" s="5">
        <v>174.0</v>
      </c>
      <c r="B178" s="8">
        <f t="shared" si="2"/>
        <v>0.3335564846</v>
      </c>
      <c r="C178" s="1">
        <f t="shared" si="3"/>
        <v>2668.451877</v>
      </c>
      <c r="D178" s="1">
        <f t="shared" si="4"/>
        <v>5742.923159</v>
      </c>
      <c r="E178" s="1">
        <f t="shared" ref="E178:K178" si="181">(E$1-_xlfn.FLOOR.MATH(E$1*(180-MIN(180,$A178))/180))*E$2</f>
        <v>80800</v>
      </c>
      <c r="F178" s="1">
        <f t="shared" si="181"/>
        <v>126000</v>
      </c>
      <c r="G178" s="1">
        <f t="shared" si="181"/>
        <v>26400</v>
      </c>
      <c r="H178" s="1">
        <f t="shared" si="181"/>
        <v>801179.25</v>
      </c>
      <c r="I178" s="1">
        <f t="shared" si="181"/>
        <v>4524</v>
      </c>
      <c r="J178" s="1">
        <f t="shared" si="181"/>
        <v>49300</v>
      </c>
      <c r="K178" s="1">
        <f t="shared" si="181"/>
        <v>14760.70996</v>
      </c>
      <c r="L178" s="1">
        <f t="shared" si="6"/>
        <v>1102963.96</v>
      </c>
      <c r="M178" s="11">
        <f t="shared" si="9"/>
        <v>6338.873333</v>
      </c>
      <c r="N178" s="11">
        <f t="shared" si="7"/>
        <v>-595.9501745</v>
      </c>
    </row>
    <row r="179">
      <c r="A179" s="5">
        <v>175.0</v>
      </c>
      <c r="B179" s="8">
        <f t="shared" si="2"/>
        <v>0.3333120894</v>
      </c>
      <c r="C179" s="1">
        <f t="shared" si="3"/>
        <v>2666.496715</v>
      </c>
      <c r="D179" s="1">
        <f t="shared" si="4"/>
        <v>5725.443463</v>
      </c>
      <c r="E179" s="1">
        <f t="shared" ref="E179:K179" si="182">(E$1-_xlfn.FLOOR.MATH(E$1*(180-MIN(180,$A179))/180))*E$2</f>
        <v>80800</v>
      </c>
      <c r="F179" s="1">
        <f t="shared" si="182"/>
        <v>126000</v>
      </c>
      <c r="G179" s="1">
        <f t="shared" si="182"/>
        <v>26400</v>
      </c>
      <c r="H179" s="1">
        <f t="shared" si="182"/>
        <v>801179.25</v>
      </c>
      <c r="I179" s="1">
        <f t="shared" si="182"/>
        <v>4563</v>
      </c>
      <c r="J179" s="1">
        <f t="shared" si="182"/>
        <v>49640</v>
      </c>
      <c r="K179" s="1">
        <f t="shared" si="182"/>
        <v>14760.70996</v>
      </c>
      <c r="L179" s="1">
        <f t="shared" si="6"/>
        <v>1103342.96</v>
      </c>
      <c r="M179" s="11">
        <f t="shared" si="9"/>
        <v>6304.816914</v>
      </c>
      <c r="N179" s="11">
        <f t="shared" si="7"/>
        <v>-579.3734512</v>
      </c>
    </row>
    <row r="180">
      <c r="A180" s="5">
        <v>176.0</v>
      </c>
      <c r="B180" s="8">
        <f t="shared" si="2"/>
        <v>0.3330844109</v>
      </c>
      <c r="C180" s="1">
        <f t="shared" si="3"/>
        <v>2664.675287</v>
      </c>
      <c r="D180" s="1">
        <f t="shared" si="4"/>
        <v>5708.150987</v>
      </c>
      <c r="E180" s="1">
        <f t="shared" ref="E180:K180" si="183">(E$1-_xlfn.FLOOR.MATH(E$1*(180-MIN(180,$A180))/180))*E$2</f>
        <v>80800</v>
      </c>
      <c r="F180" s="1">
        <f t="shared" si="183"/>
        <v>126000</v>
      </c>
      <c r="G180" s="1">
        <f t="shared" si="183"/>
        <v>26400</v>
      </c>
      <c r="H180" s="1">
        <f t="shared" si="183"/>
        <v>801179.25</v>
      </c>
      <c r="I180" s="1">
        <f t="shared" si="183"/>
        <v>4602</v>
      </c>
      <c r="J180" s="1">
        <f t="shared" si="183"/>
        <v>49980</v>
      </c>
      <c r="K180" s="1">
        <f t="shared" si="183"/>
        <v>14760.70996</v>
      </c>
      <c r="L180" s="1">
        <f t="shared" si="6"/>
        <v>1103721.96</v>
      </c>
      <c r="M180" s="11">
        <f t="shared" si="9"/>
        <v>6271.1475</v>
      </c>
      <c r="N180" s="11">
        <f t="shared" si="7"/>
        <v>-562.9965124</v>
      </c>
    </row>
    <row r="181">
      <c r="A181" s="5">
        <v>177.0</v>
      </c>
      <c r="B181" s="8">
        <f t="shared" si="2"/>
        <v>0.332872316</v>
      </c>
      <c r="C181" s="1">
        <f t="shared" si="3"/>
        <v>2662.978528</v>
      </c>
      <c r="D181" s="1">
        <f t="shared" si="4"/>
        <v>5691.043277</v>
      </c>
      <c r="E181" s="1">
        <f t="shared" ref="E181:K181" si="184">(E$1-_xlfn.FLOOR.MATH(E$1*(180-MIN(180,$A181))/180))*E$2</f>
        <v>80800</v>
      </c>
      <c r="F181" s="1">
        <f t="shared" si="184"/>
        <v>126000</v>
      </c>
      <c r="G181" s="1">
        <f t="shared" si="184"/>
        <v>26400</v>
      </c>
      <c r="H181" s="1">
        <f t="shared" si="184"/>
        <v>801179.25</v>
      </c>
      <c r="I181" s="1">
        <f t="shared" si="184"/>
        <v>4602</v>
      </c>
      <c r="J181" s="1">
        <f t="shared" si="184"/>
        <v>50150</v>
      </c>
      <c r="K181" s="1">
        <f t="shared" si="184"/>
        <v>14760.70996</v>
      </c>
      <c r="L181" s="1">
        <f t="shared" si="6"/>
        <v>1103891.96</v>
      </c>
      <c r="M181" s="11">
        <f t="shared" si="9"/>
        <v>6236.67774</v>
      </c>
      <c r="N181" s="11">
        <f t="shared" si="7"/>
        <v>-545.634463</v>
      </c>
    </row>
    <row r="182">
      <c r="A182" s="5">
        <v>178.0</v>
      </c>
      <c r="B182" s="8">
        <f t="shared" si="2"/>
        <v>0.3326747469</v>
      </c>
      <c r="C182" s="1">
        <f t="shared" si="3"/>
        <v>2661.397975</v>
      </c>
      <c r="D182" s="1">
        <f t="shared" si="4"/>
        <v>5674.117884</v>
      </c>
      <c r="E182" s="1">
        <f t="shared" ref="E182:K182" si="185">(E$1-_xlfn.FLOOR.MATH(E$1*(180-MIN(180,$A182))/180))*E$2</f>
        <v>80800</v>
      </c>
      <c r="F182" s="1">
        <f t="shared" si="185"/>
        <v>126000</v>
      </c>
      <c r="G182" s="1">
        <f t="shared" si="185"/>
        <v>26400</v>
      </c>
      <c r="H182" s="1">
        <f t="shared" si="185"/>
        <v>801179.25</v>
      </c>
      <c r="I182" s="1">
        <f t="shared" si="185"/>
        <v>4641</v>
      </c>
      <c r="J182" s="1">
        <f t="shared" si="185"/>
        <v>50490</v>
      </c>
      <c r="K182" s="1">
        <f t="shared" si="185"/>
        <v>14760.70996</v>
      </c>
      <c r="L182" s="1">
        <f t="shared" si="6"/>
        <v>1104270.96</v>
      </c>
      <c r="M182" s="11">
        <f t="shared" si="9"/>
        <v>6203.769438</v>
      </c>
      <c r="N182" s="11">
        <f t="shared" si="7"/>
        <v>-529.6515538</v>
      </c>
    </row>
    <row r="183">
      <c r="A183" s="5">
        <v>179.0</v>
      </c>
      <c r="B183" s="8">
        <f t="shared" si="2"/>
        <v>0.3324907167</v>
      </c>
      <c r="C183" s="1">
        <f t="shared" si="3"/>
        <v>2659.925734</v>
      </c>
      <c r="D183" s="1">
        <f t="shared" si="4"/>
        <v>5657.372372</v>
      </c>
      <c r="E183" s="1">
        <f t="shared" ref="E183:K183" si="186">(E$1-_xlfn.FLOOR.MATH(E$1*(180-MIN(180,$A183))/180))*E$2</f>
        <v>80800</v>
      </c>
      <c r="F183" s="1">
        <f t="shared" si="186"/>
        <v>126000</v>
      </c>
      <c r="G183" s="1">
        <f t="shared" si="186"/>
        <v>26400</v>
      </c>
      <c r="H183" s="1">
        <f t="shared" si="186"/>
        <v>801179.25</v>
      </c>
      <c r="I183" s="1">
        <f t="shared" si="186"/>
        <v>4680</v>
      </c>
      <c r="J183" s="1">
        <f t="shared" si="186"/>
        <v>50830</v>
      </c>
      <c r="K183" s="1">
        <f t="shared" si="186"/>
        <v>14760.70996</v>
      </c>
      <c r="L183" s="1">
        <f t="shared" si="6"/>
        <v>1104649.96</v>
      </c>
      <c r="M183" s="11">
        <f t="shared" si="9"/>
        <v>6171.228827</v>
      </c>
      <c r="N183" s="11">
        <f t="shared" si="7"/>
        <v>-513.8564544</v>
      </c>
    </row>
    <row r="184">
      <c r="A184" s="5">
        <v>180.0</v>
      </c>
      <c r="B184" s="8">
        <f t="shared" si="2"/>
        <v>0.3323193043</v>
      </c>
      <c r="C184" s="1">
        <f t="shared" si="3"/>
        <v>2658.554434</v>
      </c>
      <c r="D184" s="1">
        <f t="shared" si="4"/>
        <v>5640.804317</v>
      </c>
      <c r="E184" s="1">
        <f t="shared" ref="E184:K184" si="187">(E$1-_xlfn.FLOOR.MATH(E$1*(180-MIN(180,$A184))/180))*E$2</f>
        <v>80800</v>
      </c>
      <c r="F184" s="1">
        <f t="shared" si="187"/>
        <v>126000</v>
      </c>
      <c r="G184" s="1">
        <f t="shared" si="187"/>
        <v>26400</v>
      </c>
      <c r="H184" s="1">
        <f t="shared" si="187"/>
        <v>801179.25</v>
      </c>
      <c r="I184" s="1">
        <f t="shared" si="187"/>
        <v>4680</v>
      </c>
      <c r="J184" s="1">
        <f t="shared" si="187"/>
        <v>51000</v>
      </c>
      <c r="K184" s="1">
        <f t="shared" si="187"/>
        <v>14760.70996</v>
      </c>
      <c r="L184" s="1">
        <f t="shared" si="6"/>
        <v>1104819.96</v>
      </c>
      <c r="M184" s="11">
        <f t="shared" si="9"/>
        <v>6137.888666</v>
      </c>
      <c r="N184" s="11">
        <f t="shared" si="7"/>
        <v>-497.0843492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sheetData>
    <row r="1">
      <c r="A1" s="12" t="s">
        <v>37</v>
      </c>
    </row>
    <row r="2">
      <c r="A2" s="13" t="s">
        <v>38</v>
      </c>
    </row>
    <row r="3">
      <c r="A3" s="14" t="s">
        <v>39</v>
      </c>
      <c r="I3" s="15" t="s">
        <v>40</v>
      </c>
    </row>
    <row r="4">
      <c r="A4" s="16" t="s">
        <v>41</v>
      </c>
    </row>
    <row r="5">
      <c r="A5" s="15" t="s">
        <v>42</v>
      </c>
      <c r="I5" s="17"/>
      <c r="J5" s="17"/>
      <c r="K5" s="17"/>
      <c r="L5" s="17"/>
    </row>
    <row r="6" ht="43.5" customHeight="1">
      <c r="A6" s="18"/>
      <c r="I6" s="17" t="s">
        <v>43</v>
      </c>
    </row>
    <row r="7">
      <c r="A7" s="19" t="s">
        <v>44</v>
      </c>
    </row>
    <row r="8">
      <c r="I8" s="20" t="s">
        <v>45</v>
      </c>
    </row>
    <row r="9">
      <c r="I9" s="21" t="s">
        <v>46</v>
      </c>
    </row>
    <row r="14">
      <c r="I14" s="19"/>
      <c r="J14" s="19"/>
      <c r="K14" s="19"/>
      <c r="L14" s="19"/>
    </row>
    <row r="27">
      <c r="A27" s="19" t="s">
        <v>47</v>
      </c>
      <c r="I27" s="19" t="s">
        <v>48</v>
      </c>
      <c r="M27" s="19"/>
      <c r="N27" s="19"/>
      <c r="O27" s="19"/>
      <c r="P27" s="19"/>
    </row>
    <row r="28">
      <c r="A28" s="22" t="s">
        <v>49</v>
      </c>
    </row>
    <row r="29" ht="60.75" customHeight="1">
      <c r="A29" s="18"/>
    </row>
    <row r="30">
      <c r="A30" s="19" t="s">
        <v>50</v>
      </c>
      <c r="I30" s="19" t="s">
        <v>51</v>
      </c>
    </row>
    <row r="31">
      <c r="A31" s="19" t="s">
        <v>52</v>
      </c>
      <c r="I31" s="15" t="s">
        <v>53</v>
      </c>
    </row>
    <row r="32">
      <c r="A32" s="19" t="s">
        <v>54</v>
      </c>
    </row>
    <row r="33">
      <c r="A33" s="19" t="s">
        <v>55</v>
      </c>
    </row>
    <row r="50" ht="47.25" customHeight="1">
      <c r="I50" s="19" t="s">
        <v>56</v>
      </c>
    </row>
    <row r="51">
      <c r="A51" s="19" t="s">
        <v>57</v>
      </c>
    </row>
    <row r="52">
      <c r="A52" s="5" t="s">
        <v>58</v>
      </c>
    </row>
    <row r="53">
      <c r="A53" s="5" t="s">
        <v>59</v>
      </c>
    </row>
    <row r="54">
      <c r="A54" s="19" t="s">
        <v>60</v>
      </c>
    </row>
    <row r="55" ht="31.5" customHeight="1">
      <c r="A55" s="18"/>
      <c r="I55" s="19" t="s">
        <v>61</v>
      </c>
    </row>
    <row r="56">
      <c r="A56" s="5" t="s">
        <v>62</v>
      </c>
    </row>
    <row r="57">
      <c r="A57" s="19" t="s">
        <v>63</v>
      </c>
    </row>
    <row r="58">
      <c r="I58" s="5" t="s">
        <v>64</v>
      </c>
    </row>
    <row r="77">
      <c r="A77" s="19" t="s">
        <v>65</v>
      </c>
    </row>
    <row r="78">
      <c r="A78" s="19" t="s">
        <v>66</v>
      </c>
    </row>
    <row r="79">
      <c r="A79" s="19" t="s">
        <v>67</v>
      </c>
    </row>
    <row r="80">
      <c r="A80" s="16" t="s">
        <v>68</v>
      </c>
    </row>
    <row r="81">
      <c r="A81" s="19" t="s">
        <v>69</v>
      </c>
    </row>
    <row r="82">
      <c r="A82" s="1">
        <f>GuidePlot12!L1</f>
        <v>1900</v>
      </c>
      <c r="B82" s="5" t="s">
        <v>70</v>
      </c>
      <c r="C82" s="1">
        <f>GuidePlot12!M1</f>
        <v>2900</v>
      </c>
      <c r="D82" s="5" t="s">
        <v>71</v>
      </c>
      <c r="E82" s="1">
        <f>GuidePlot12!O1</f>
        <v>2690</v>
      </c>
      <c r="F82" s="5" t="s">
        <v>72</v>
      </c>
      <c r="G82" s="1">
        <f>GuidePlot12!N1</f>
        <v>1780</v>
      </c>
      <c r="H82" s="5" t="s">
        <v>73</v>
      </c>
    </row>
    <row r="83">
      <c r="A83" s="5" t="s">
        <v>74</v>
      </c>
    </row>
    <row r="103">
      <c r="A103" s="19" t="s">
        <v>75</v>
      </c>
    </row>
    <row r="120">
      <c r="I120" s="19" t="s">
        <v>76</v>
      </c>
    </row>
    <row r="123">
      <c r="A123" s="1" t="str">
        <f>"Thus, two possible strategies emerge: either repair on day 45 for "&amp;floor(GuidePlot12!P48,1)&amp;" ICA, or on day 60 for "&amp;floor(GuidePlot12!P63,1)&amp;" ICA. Which one is more efficient?"</f>
        <v>Thus, two possible strategies emerge: either repair on day 45 for 9270 ICA, or on day 60 for 11170 ICA. Which one is more efficient?</v>
      </c>
    </row>
    <row r="124">
      <c r="A124" s="5" t="s">
        <v>77</v>
      </c>
      <c r="B124" s="23">
        <f>GuidePlot12!P48</f>
        <v>9270</v>
      </c>
      <c r="C124" s="5" t="s">
        <v>78</v>
      </c>
      <c r="D124" s="23">
        <f>B124/45</f>
        <v>206</v>
      </c>
      <c r="E124" s="5" t="s">
        <v>79</v>
      </c>
    </row>
    <row r="125">
      <c r="A125" s="5" t="s">
        <v>80</v>
      </c>
      <c r="B125" s="23">
        <f>GuidePlot12!P63</f>
        <v>11170</v>
      </c>
      <c r="C125" s="5" t="s">
        <v>81</v>
      </c>
      <c r="D125" s="23">
        <f>B125/60</f>
        <v>186.1666667</v>
      </c>
      <c r="E125" s="5" t="s">
        <v>79</v>
      </c>
    </row>
    <row r="126">
      <c r="A126" s="19" t="s">
        <v>82</v>
      </c>
    </row>
    <row r="127">
      <c r="A127" s="19" t="s">
        <v>83</v>
      </c>
    </row>
    <row r="128">
      <c r="A128" s="16" t="s">
        <v>84</v>
      </c>
    </row>
    <row r="129">
      <c r="A129" s="5" t="s">
        <v>85</v>
      </c>
    </row>
    <row r="130">
      <c r="A130" s="19" t="s">
        <v>86</v>
      </c>
    </row>
    <row r="131">
      <c r="A131" s="5" t="s">
        <v>87</v>
      </c>
    </row>
    <row r="132">
      <c r="I132" s="5" t="s">
        <v>88</v>
      </c>
    </row>
    <row r="151">
      <c r="A151" s="19" t="s">
        <v>89</v>
      </c>
    </row>
    <row r="169">
      <c r="I169" s="19" t="s">
        <v>90</v>
      </c>
    </row>
    <row r="171">
      <c r="A171" s="19" t="s">
        <v>91</v>
      </c>
      <c r="I171" s="19" t="s">
        <v>92</v>
      </c>
    </row>
    <row r="172">
      <c r="A172" s="19" t="s">
        <v>93</v>
      </c>
    </row>
    <row r="191">
      <c r="I191" s="5" t="s">
        <v>94</v>
      </c>
      <c r="J191" s="5"/>
      <c r="K191" s="5"/>
      <c r="L191" s="5"/>
    </row>
    <row r="192">
      <c r="A192" s="19" t="s">
        <v>95</v>
      </c>
    </row>
    <row r="211">
      <c r="I211" s="5" t="s">
        <v>96</v>
      </c>
    </row>
    <row r="212">
      <c r="A212" s="19" t="s">
        <v>97</v>
      </c>
    </row>
    <row r="213">
      <c r="A213" s="19" t="s">
        <v>98</v>
      </c>
    </row>
    <row r="233">
      <c r="A233" s="5" t="s">
        <v>99</v>
      </c>
    </row>
    <row r="234">
      <c r="A234" s="24" t="s">
        <v>100</v>
      </c>
    </row>
    <row r="235">
      <c r="A235" s="24" t="s">
        <v>101</v>
      </c>
    </row>
    <row r="236">
      <c r="A236" s="25" t="s">
        <v>102</v>
      </c>
    </row>
    <row r="237">
      <c r="A237" s="19" t="s">
        <v>103</v>
      </c>
    </row>
    <row r="238">
      <c r="A238" s="19" t="s">
        <v>104</v>
      </c>
    </row>
    <row r="239">
      <c r="A239" s="5" t="s">
        <v>105</v>
      </c>
      <c r="D239" s="11">
        <f>GuidePlot3!N49</f>
        <v>1537.688864</v>
      </c>
      <c r="E239" s="5" t="s">
        <v>106</v>
      </c>
    </row>
    <row r="240">
      <c r="A240" s="5" t="s">
        <v>107</v>
      </c>
      <c r="D240" s="11">
        <f>GuidePlot3!N64</f>
        <v>1020.01291</v>
      </c>
      <c r="E240" s="5" t="s">
        <v>106</v>
      </c>
    </row>
    <row r="241">
      <c r="A241" s="15" t="s">
        <v>108</v>
      </c>
    </row>
    <row r="242" ht="339.75" customHeight="1">
      <c r="A242" s="18"/>
    </row>
    <row r="243">
      <c r="A243" s="16" t="s">
        <v>109</v>
      </c>
    </row>
    <row r="244">
      <c r="A244" s="19" t="s">
        <v>110</v>
      </c>
    </row>
  </sheetData>
  <mergeCells count="64">
    <mergeCell ref="A151:H151"/>
    <mergeCell ref="A171:H171"/>
    <mergeCell ref="A172:H172"/>
    <mergeCell ref="A192:H192"/>
    <mergeCell ref="A212:H212"/>
    <mergeCell ref="A213:H213"/>
    <mergeCell ref="A233:H233"/>
    <mergeCell ref="A243:H243"/>
    <mergeCell ref="A244:H244"/>
    <mergeCell ref="A234:H234"/>
    <mergeCell ref="A235:H235"/>
    <mergeCell ref="A236:H236"/>
    <mergeCell ref="A237:H237"/>
    <mergeCell ref="A238:H238"/>
    <mergeCell ref="A241:H241"/>
    <mergeCell ref="A242:H242"/>
    <mergeCell ref="A1:H1"/>
    <mergeCell ref="A2:H2"/>
    <mergeCell ref="A3:H3"/>
    <mergeCell ref="I3:L3"/>
    <mergeCell ref="A4:H4"/>
    <mergeCell ref="A5:H5"/>
    <mergeCell ref="I6:L6"/>
    <mergeCell ref="A6:H6"/>
    <mergeCell ref="A7:H7"/>
    <mergeCell ref="I8:L8"/>
    <mergeCell ref="I9:L13"/>
    <mergeCell ref="A27:H27"/>
    <mergeCell ref="I27:L27"/>
    <mergeCell ref="A29:H29"/>
    <mergeCell ref="A30:H30"/>
    <mergeCell ref="I30:L30"/>
    <mergeCell ref="A31:H31"/>
    <mergeCell ref="I31:L31"/>
    <mergeCell ref="A32:H32"/>
    <mergeCell ref="A33:H33"/>
    <mergeCell ref="I50:L50"/>
    <mergeCell ref="I55:L56"/>
    <mergeCell ref="I58:L58"/>
    <mergeCell ref="I120:L122"/>
    <mergeCell ref="I132:L132"/>
    <mergeCell ref="I169:L170"/>
    <mergeCell ref="I171:L171"/>
    <mergeCell ref="A51:H51"/>
    <mergeCell ref="A52:H52"/>
    <mergeCell ref="A53:H53"/>
    <mergeCell ref="A54:H54"/>
    <mergeCell ref="A55:H55"/>
    <mergeCell ref="A56:H56"/>
    <mergeCell ref="A57:H57"/>
    <mergeCell ref="A77:H77"/>
    <mergeCell ref="A78:H78"/>
    <mergeCell ref="A79:H79"/>
    <mergeCell ref="A80:H80"/>
    <mergeCell ref="A81:H81"/>
    <mergeCell ref="A83:H83"/>
    <mergeCell ref="A103:H103"/>
    <mergeCell ref="A123:H123"/>
    <mergeCell ref="A126:H126"/>
    <mergeCell ref="A127:H127"/>
    <mergeCell ref="A128:H128"/>
    <mergeCell ref="A129:H129"/>
    <mergeCell ref="A130:H130"/>
    <mergeCell ref="A131:H131"/>
  </mergeCells>
  <hyperlinks>
    <hyperlink display="Yadda yadda I don't care, just tell me when! -- okay, okay!&#10;Head on to the &quot;Calculator&quot; sheet :)" location="Calculator!A1" ref="I3"/>
    <hyperlink r:id="rId1" ref="A5"/>
    <hyperlink r:id="rId2" ref="A28"/>
    <hyperlink r:id="rId3" ref="I31"/>
    <hyperlink display="Yay! Now we know how often to repair any building, how flexible can we be about it, and how much it impacts our business! Isn't it cool?&#10;Takeaways from all this:&#10;1) We know how exactly does the Calculator work.&#10;2) We moved to the right side of the graph below:" location="Calculator!A1" ref="A241"/>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sheetData>
    <row r="1">
      <c r="A1" s="12" t="s">
        <v>111</v>
      </c>
    </row>
    <row r="2">
      <c r="A2" s="13" t="s">
        <v>112</v>
      </c>
    </row>
    <row r="3">
      <c r="A3" s="26" t="s">
        <v>113</v>
      </c>
    </row>
    <row r="4">
      <c r="B4" s="27" t="s">
        <v>114</v>
      </c>
      <c r="C4" s="28" t="s">
        <v>115</v>
      </c>
      <c r="E4" s="27" t="s">
        <v>116</v>
      </c>
    </row>
    <row r="5">
      <c r="B5" s="27" t="s">
        <v>117</v>
      </c>
      <c r="C5" s="3">
        <v>8000.0</v>
      </c>
      <c r="D5" s="5" t="s">
        <v>118</v>
      </c>
      <c r="E5" s="27" t="s">
        <v>119</v>
      </c>
      <c r="F5" s="5" t="b">
        <v>1</v>
      </c>
    </row>
    <row r="6">
      <c r="B6" s="27" t="s">
        <v>120</v>
      </c>
      <c r="C6" s="5" t="s">
        <v>121</v>
      </c>
      <c r="E6" s="27" t="s">
        <v>122</v>
      </c>
      <c r="F6" s="5" t="s">
        <v>123</v>
      </c>
    </row>
    <row r="7">
      <c r="E7" s="27" t="s">
        <v>124</v>
      </c>
      <c r="F7" s="5" t="s">
        <v>125</v>
      </c>
    </row>
    <row r="8">
      <c r="B8" s="27" t="s">
        <v>126</v>
      </c>
      <c r="C8" s="5" t="b">
        <v>0</v>
      </c>
      <c r="E8" s="27" t="s">
        <v>127</v>
      </c>
      <c r="F8" s="5" t="s">
        <v>128</v>
      </c>
    </row>
    <row r="29">
      <c r="B29" s="29" t="s">
        <v>129</v>
      </c>
      <c r="C29" s="30">
        <f>Plot!$AK$7</f>
        <v>45</v>
      </c>
      <c r="D29" s="31" t="s">
        <v>130</v>
      </c>
      <c r="E29" s="32"/>
      <c r="F29" s="32"/>
      <c r="G29" s="33"/>
    </row>
    <row r="30">
      <c r="B30" s="7" t="s">
        <v>131</v>
      </c>
      <c r="G30" s="10"/>
    </row>
    <row r="31">
      <c r="B31" s="4"/>
      <c r="C31" s="1" t="str">
        <f>Plot!X2</f>
        <v>LBH</v>
      </c>
      <c r="D31" s="1" t="str">
        <f>Plot!Y2</f>
        <v>LDE</v>
      </c>
      <c r="E31" s="1" t="str">
        <f>Plot!Z2</f>
        <v>LSE</v>
      </c>
      <c r="F31" s="1" t="str">
        <f>Plot!AA2</f>
        <v>TRU</v>
      </c>
      <c r="G31" s="10" t="str">
        <f>Plot!AB2</f>
        <v/>
      </c>
    </row>
    <row r="32">
      <c r="B32" s="4"/>
      <c r="C32" s="1">
        <f t="array" ref="C32">INDEX(Plot!K3:K183,Plot!$AK$5,1)</f>
        <v>2</v>
      </c>
      <c r="D32" s="1">
        <f t="array" ref="D32">INDEX(Plot!L3:L183,Plot!$AK$5,1)</f>
        <v>2</v>
      </c>
      <c r="E32" s="1">
        <f t="array" ref="E32">INDEX(Plot!M3:M183,Plot!$AK$5,1)</f>
        <v>3</v>
      </c>
      <c r="F32" s="1">
        <f t="array" ref="F32">INDEX(Plot!N3:N183,Plot!$AK$5,1)</f>
        <v>2</v>
      </c>
      <c r="G32" s="10" t="str">
        <f t="array" ref="G32">INDEX(Plot!O3:O183,Plot!$AK$5,1)</f>
        <v/>
      </c>
    </row>
    <row r="33">
      <c r="B33" s="4"/>
      <c r="C33" s="1" t="str">
        <f>IF($F$5,"MCG","AEF")</f>
        <v>MCG</v>
      </c>
      <c r="D33" s="1" t="str">
        <f>if($F$6="low","MGC",if($F$6="high","BL",""))</f>
        <v/>
      </c>
      <c r="E33" s="1" t="str">
        <f>if($F$7="low","INS",if($F$7="high","TSH",""))</f>
        <v>INS</v>
      </c>
      <c r="F33" s="1" t="str">
        <f>if($F$8="low","SEA",if($F$8="high","HSE",""))</f>
        <v>HSE</v>
      </c>
      <c r="G33" s="10"/>
    </row>
    <row r="34">
      <c r="B34" s="34"/>
      <c r="C34" s="35">
        <f t="array" ref="C34">IF($F$5,INDEX(Plot!C3:C183,Plot!$AK$5,1),INDEX(Plot!D3:D183,Plot!$AK$5,1))</f>
        <v>30</v>
      </c>
      <c r="D34" s="35" t="str">
        <f t="array" ref="D34">if($F$6="low",INDEX(Plot!E3:E183,Plot!$AK$5,1),if($F$6="high",INDEX(Plot!F3:F183,Plot!$AK$5,1),""))</f>
        <v/>
      </c>
      <c r="E34" s="35">
        <f t="array" ref="E34">if($F$7="low",INDEX(Plot!G3:G183,Plot!$AK$5,1),if($F$7="high",INDEX(Plot!H3:H183,Plot!$AK$5,1),""))</f>
        <v>75</v>
      </c>
      <c r="F34" s="35">
        <f t="array" ref="F34">if($F$8="low",INDEX(Plot!I3:I183,Plot!$AK$5,1),if($F$8="high",INDEX(Plot!J3:J183,Plot!$AK$5,1),""))</f>
        <v>1</v>
      </c>
      <c r="G34" s="36"/>
    </row>
  </sheetData>
  <customSheetViews>
    <customSheetView guid="{72AF063F-D992-4A4D-89DD-CAB3FE28CC53}" filter="1" showAutoFilter="1">
      <autoFilter ref="$B$4:$F$8"/>
    </customSheetView>
  </customSheetViews>
  <mergeCells count="3">
    <mergeCell ref="A1:H1"/>
    <mergeCell ref="A2:H2"/>
    <mergeCell ref="A3:H3"/>
  </mergeCells>
  <dataValidations>
    <dataValidation type="list" allowBlank="1" showErrorMessage="1" sqref="F6:F8">
      <formula1>"normal,high,low"</formula1>
    </dataValidation>
    <dataValidation type="list" allowBlank="1" showErrorMessage="1" sqref="C6">
      <formula1>"AI1,CI1,IC1,NC1"</formula1>
    </dataValidation>
  </dataValidations>
  <drawing r:id="rId1"/>
</worksheet>
</file>